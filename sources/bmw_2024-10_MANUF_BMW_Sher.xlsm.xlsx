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 codeName="{DC747B9D-DBBB-FA85-71B4-595EBAB97821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2C15382F-6AF5-4167-A0E4-FA4F275BEFAF}" xr6:coauthVersionLast="47" xr6:coauthVersionMax="47" xr10:uidLastSave="{00000000-0000-0000-0000-000000000000}"/>
  <bookViews>
    <workbookView xWindow="2868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<sst xmlns="http://schemas.openxmlformats.org/spreadsheetml/2006/main" count="13785" uniqueCount="2364">
  <si>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</si>
  <si>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</si>
  <si>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</si>
  <si>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</si>
  <si>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</si>
  <si>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</si>
  <si>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</si>
  <si>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</si>
  <si>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</si>
  <si>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</si>
  <si>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</si>
  <si>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</si>
  <si>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</si>
  <si>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</si>
  <si>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</si>
  <si>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</si>
  <si>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</si>
  <si>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</si>
  <si>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</si>
  <si>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</si>
  <si>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</si>
  <si>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</si>
  <si>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</si>
  <si>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</si>
  <si>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</si>
  <si>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</si>
  <si>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</si>
  <si>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</si>
  <si>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</si>
  <si>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</si>
  <si>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</si>
  <si>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</si>
  <si>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</si>
  <si>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</si>
  <si>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</si>
  <si>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</si>
  <si>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</si>
  <si>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</si>
  <si>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</si>
  <si>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</si>
  <si>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</si>
  <si>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</si>
  <si>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</si>
  <si>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</si>
  <si>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</si>
  <si>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</si>
  <si>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</si>
  <si>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</si>
  <si>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</si>
  <si>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</si>
  <si>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</si>
  <si>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</si>
  <si>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</si>
  <si>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</si>
  <si>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</si>
  <si>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</si>
  <si>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</si>
  <si>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</si>
  <si>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</si>
  <si>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</si>
  <si>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</si>
  <si>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</si>
  <si>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</si>
  <si>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</si>
  <si>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</si>
  <si>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</si>
  <si>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</si>
  <si>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</si>
  <si>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</si>
  <si>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</si>
  <si>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</si>
  <si>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</si>
  <si>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</si>
  <si>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</si>
  <si>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</si>
  <si>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</si>
  <si>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</si>
  <si>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</si>
  <si>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</si>
  <si>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</si>
  <si>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</si>
  <si>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</si>
  <si>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</si>
  <si>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</si>
  <si>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</si>
  <si>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</si>
  <si>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</si>
  <si>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</si>
  <si>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</si>
  <si>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</si>
  <si>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</si>
  <si>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</si>
  <si>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</si>
  <si>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</si>
  <si>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</si>
  <si>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</si>
  <si>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</si>
  <si>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</si>
  <si>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</si>
  <si>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</si>
  <si>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</si>
  <si>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</si>
  <si>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</si>
  <si>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</si>
  <si>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</si>
  <si>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</si>
  <si>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</si>
  <si>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</si>
  <si>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</si>
  <si>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</si>
  <si>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</si>
  <si>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</si>
  <si>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</si>
  <si>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</si>
  <si>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</si>
  <si>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</si>
  <si>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</si>
  <si>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</si>
  <si>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</si>
  <si>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</si>
  <si>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</si>
  <si>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</si>
  <si>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</si>
  <si>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</si>
  <si>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</si>
  <si>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</si>
  <si>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</si>
  <si>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</si>
  <si>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</si>
  <si>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</si>
  <si>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</si>
  <si>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</si>
  <si>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</si>
  <si>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</si>
  <si>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</si>
  <si>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</si>
  <si>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</si>
  <si>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</si>
  <si>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</si>
  <si>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</si>
  <si>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</si>
  <si>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</si>
  <si>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</si>
  <si>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</si>
  <si>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</si>
  <si>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</si>
  <si>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</si>
  <si>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</si>
  <si>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</si>
  <si>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</si>
  <si>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</si>
  <si>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</si>
  <si>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</si>
  <si>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</si>
  <si>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</si>
  <si>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</si>
  <si>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</si>
  <si>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</si>
  <si>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</si>
  <si>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</si>
  <si>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</si>
  <si>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</si>
  <si>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</si>
  <si>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</si>
  <si>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</si>
  <si>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</si>
  <si>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</si>
  <si>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</si>
  <si>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</si>
  <si>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</si>
  <si>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</si>
  <si>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</si>
  <si>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</si>
  <si>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</si>
  <si>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</si>
  <si>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</si>
  <si>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</si>
  <si>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</si>
  <si>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</si>
  <si>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</si>
  <si>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</si>
  <si>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</si>
  <si>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</si>
  <si>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</si>
  <si>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</si>
  <si>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</si>
  <si>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</si>
  <si>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</si>
  <si>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</si>
  <si>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</si>
  <si>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</si>
  <si>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</si>
  <si>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</si>
  <si>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</si>
  <si>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</si>
  <si>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</si>
  <si>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</si>
  <si>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</si>
  <si>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</si>
  <si>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</si>
  <si>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</si>
  <si>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</si>
  <si>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</si>
  <si>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</si>
  <si>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</si>
  <si>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</si>
  <si>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</si>
  <si>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</si>
  <si>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</si>
  <si>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</si>
  <si>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</si>
  <si>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</si>
  <si>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</si>
  <si>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</si>
  <si>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</si>
  <si>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</si>
  <si>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</si>
  <si>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</si>
  <si>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</si>
  <si>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</si>
  <si>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</si>
  <si>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</si>
  <si>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</si>
  <si>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</si>
  <si>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</si>
  <si>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</si>
  <si>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</si>
  <si>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</si>
  <si>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</si>
  <si>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</si>
  <si>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</si>
  <si>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</si>
  <si>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</si>
  <si>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</si>
  <si>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</si>
  <si>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</si>
  <si>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</si>
  <si>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</si>
  <si>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</si>
  <si>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</si>
  <si>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</si>
  <si>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</si>
  <si>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</si>
  <si>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</si>
  <si>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</si>
  <si>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</si>
  <si>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</si>
  <si>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</si>
  <si>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</si>
  <si>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</si>
  <si>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</si>
  <si>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</si>
  <si>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</si>
  <si>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</si>
  <si>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</si>
  <si>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</si>
  <si>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</si>
  <si>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</si>
  <si>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</si>
  <si>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</si>
  <si>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</si>
  <si>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</si>
  <si>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</si>
  <si>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</si>
  <si>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</si>
  <si>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</si>
  <si>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</si>
  <si>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</si>
  <si>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</si>
  <si>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</si>
  <si>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</si>
  <si>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</si>
  <si>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</si>
  <si>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</si>
  <si>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</si>
  <si>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</si>
  <si>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</si>
  <si>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</si>
  <si>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</si>
  <si>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</si>
  <si>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</si>
  <si>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</si>
  <si>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</si>
  <si>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</si>
  <si>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</si>
  <si>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</si>
  <si>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</si>
  <si>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</si>
  <si>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</si>
  <si>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</si>
  <si>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</si>
  <si>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</si>
  <si>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</si>
  <si>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</si>
  <si>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</si>
  <si>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</si>
  <si>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</si>
  <si>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</si>
  <si>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</si>
  <si>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</si>
  <si>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</si>
  <si>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</si>
  <si>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</si>
  <si>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</si>
  <si>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</si>
  <si>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</si>
  <si>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</si>
  <si>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</si>
  <si>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</si>
  <si>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</si>
  <si>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</si>
  <si>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</si>
  <si>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</si>
  <si>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</si>
  <si>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</si>
  <si>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</si>
  <si>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</si>
  <si>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</si>
  <si>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</si>
  <si>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</si>
  <si>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</si>
  <si>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</si>
  <si>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</si>
  <si>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</si>
  <si>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</si>
  <si>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</si>
  <si>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</si>
  <si>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</si>
  <si>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</si>
  <si>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</si>
  <si>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</si>
  <si>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</si>
  <si>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</si>
  <si>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</si>
  <si>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</si>
  <si>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</si>
  <si>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</si>
  <si>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</si>
  <si>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</si>
  <si>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</si>
  <si>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</si>
  <si>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</si>
  <si>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</si>
  <si>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</si>
  <si>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</si>
  <si>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</si>
  <si>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</si>
  <si>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</si>
  <si>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</si>
  <si>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</si>
  <si>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</si>
  <si>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</si>
  <si>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</si>
  <si>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</si>
  <si>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</si>
  <si>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</si>
  <si>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</si>
  <si>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</si>
  <si>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</si>
  <si>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</si>
  <si>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</si>
  <si>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</si>
  <si>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</si>
  <si>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</si>
  <si>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</si>
  <si>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</si>
  <si>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</si>
  <si>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</si>
  <si>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</si>
  <si>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</si>
  <si>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</si>
  <si>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</si>
  <si>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</si>
  <si>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</si>
  <si>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</si>
  <si>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</si>
  <si>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</si>
  <si>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</si>
  <si>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</si>
  <si>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</si>
  <si>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</si>
  <si>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</si>
  <si>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</si>
  <si>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</si>
  <si>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</si>
  <si>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</si>
  <si>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</si>
  <si>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</si>
  <si>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</si>
  <si>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</si>
  <si>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</si>
  <si>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</si>
  <si>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</si>
  <si>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</si>
  <si>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</si>
  <si>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</si>
  <si>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</si>
  <si>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</si>
  <si>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</si>
  <si>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</si>
  <si>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</si>
  <si>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</si>
  <si>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</si>
  <si>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</si>
  <si>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</si>
  <si>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</si>
  <si>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</si>
  <si>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</si>
  <si>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</si>
  <si>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</si>
  <si>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</si>
  <si>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</si>
  <si>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</si>
  <si>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</si>
  <si>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</si>
  <si>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</si>
  <si>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</si>
  <si>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</si>
  <si>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</si>
  <si>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</si>
  <si>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</si>
  <si>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</si>
  <si>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</si>
  <si>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</si>
  <si>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</si>
  <si>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</si>
  <si>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</si>
  <si>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</si>
  <si>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</si>
  <si>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</si>
  <si>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</si>
  <si>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</si>
  <si>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</si>
  <si>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</si>
  <si>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</si>
  <si>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</si>
  <si>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</si>
  <si>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</si>
  <si>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</si>
  <si>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</si>
  <si>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</si>
  <si>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</si>
  <si>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</si>
  <si>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</si>
  <si>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</si>
  <si>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</si>
  <si>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</si>
  <si>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</si>
  <si>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</si>
  <si>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</si>
  <si>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</si>
  <si>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</si>
  <si>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</si>
  <si>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</si>
  <si>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</si>
  <si>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</si>
  <si>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</si>
  <si>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</si>
  <si>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</si>
  <si>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</si>
  <si>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</si>
  <si>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</si>
  <si>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</si>
  <si>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</si>
  <si>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</si>
  <si>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</si>
  <si>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</si>
  <si>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</si>
  <si>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</si>
  <si>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</si>
  <si>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</si>
  <si>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</si>
  <si>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</si>
  <si>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</si>
  <si>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</si>
  <si>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</si>
  <si>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</si>
  <si>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</si>
  <si>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</si>
  <si>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</si>
  <si>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</si>
  <si>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</si>
  <si>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</si>
  <si>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</si>
  <si>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</si>
  <si>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</si>
  <si>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</si>
  <si>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</si>
  <si>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</si>
  <si>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</si>
  <si>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</si>
  <si>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</si>
  <si>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</si>
  <si>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</si>
  <si>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</si>
  <si>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</si>
  <si>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</si>
  <si>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</si>
  <si>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</si>
  <si>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</si>
  <si>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</si>
  <si>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</si>
  <si>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</si>
  <si>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</si>
  <si>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</si>
  <si>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</si>
  <si>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</si>
  <si>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</si>
  <si>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</si>
  <si>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</si>
  <si>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</si>
  <si>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</si>
  <si>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</si>
  <si>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</si>
  <si>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</si>
  <si>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</si>
  <si>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</si>
  <si>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</si>
  <si>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</si>
  <si>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</si>
  <si>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</si>
  <si>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</si>
  <si>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</si>
  <si>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</si>
  <si>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</si>
  <si>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</si>
  <si>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</si>
  <si>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</si>
  <si>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</si>
  <si>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</si>
  <si>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</si>
  <si>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</si>
  <si>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</si>
  <si>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</si>
  <si>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</si>
  <si>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</si>
  <si>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</si>
  <si>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</si>
  <si>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</si>
  <si>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</si>
  <si>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</si>
  <si>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</si>
  <si>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</si>
  <si>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</si>
  <si>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</si>
  <si>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</si>
  <si>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</si>
  <si>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</si>
  <si>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</si>
  <si>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</si>
  <si>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</si>
  <si>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</si>
  <si>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</si>
  <si>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</si>
  <si>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</si>
  <si>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</si>
  <si>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</si>
  <si>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</si>
  <si>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</si>
  <si>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</si>
  <si>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</si>
  <si>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</si>
  <si>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</si>
  <si>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</si>
  <si>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</si>
  <si>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</si>
  <si>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</si>
  <si>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</si>
  <si>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</si>
  <si>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</si>
  <si>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</si>
  <si>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</si>
  <si>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</si>
  <si>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</si>
  <si>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</si>
  <si>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</si>
  <si>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</si>
  <si>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</si>
  <si>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</si>
  <si>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</si>
  <si>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</si>
  <si>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</si>
  <si>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</si>
  <si>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</si>
  <si>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</si>
  <si>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</si>
  <si>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</si>
  <si>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</si>
  <si>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</si>
  <si>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</si>
  <si>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</si>
  <si>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</si>
  <si>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</si>
  <si>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</si>
  <si>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</si>
  <si>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</si>
  <si>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</si>
  <si>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</si>
  <si>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</si>
  <si>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</si>
  <si>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</si>
  <si>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</si>
  <si>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</si>
  <si>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</si>
  <si>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</si>
  <si>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</si>
  <si>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</si>
  <si>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</si>
  <si>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</si>
  <si>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</si>
  <si>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</si>
  <si>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</si>
  <si>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</si>
  <si>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</si>
  <si>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</si>
  <si>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</si>
  <si>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</si>
  <si>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</si>
  <si>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</si>
  <si>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</si>
  <si>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</si>
  <si>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</si>
  <si>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</si>
  <si>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</si>
  <si>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</si>
  <si>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</si>
  <si>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</si>
  <si>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</si>
  <si>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</si>
  <si>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</si>
  <si>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</si>
  <si>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</si>
  <si>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</si>
  <si>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</si>
  <si>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</si>
  <si>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</si>
  <si>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</si>
  <si>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</si>
  <si>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</si>
  <si>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</si>
  <si>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</si>
  <si>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</si>
  <si>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</si>
  <si>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</si>
  <si>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</si>
  <si>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</si>
  <si>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</si>
  <si>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</si>
  <si>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</si>
  <si>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</si>
  <si>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</si>
  <si>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</si>
  <si>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</si>
  <si>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</si>
  <si>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</si>
  <si>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</si>
  <si>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</si>
  <si>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</si>
  <si>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</si>
  <si>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</si>
  <si>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</si>
  <si>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</si>
  <si>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</si>
  <si>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</si>
  <si>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</si>
  <si>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</si>
  <si>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</si>
  <si>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</si>
  <si>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</si>
  <si>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</si>
  <si>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</si>
  <si>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</si>
  <si>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</si>
  <si>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</si>
  <si>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</si>
  <si>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</si>
  <si>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</si>
  <si>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</si>
  <si>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</si>
  <si>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</si>
  <si>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</si>
  <si>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</si>
  <si>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</si>
  <si>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</si>
  <si>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</si>
  <si>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</si>
  <si>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</si>
  <si>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</si>
  <si>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</si>
  <si>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</si>
  <si>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</si>
  <si>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</si>
  <si>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</si>
  <si>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</si>
  <si>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</si>
  <si>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</si>
  <si>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</si>
  <si>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</si>
  <si>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</si>
  <si>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</si>
  <si>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</si>
  <si>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</si>
  <si>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</si>
  <si>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</si>
  <si>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</si>
  <si>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</si>
  <si>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</si>
  <si>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</si>
  <si>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</si>
  <si>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</si>
  <si>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</si>
  <si>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</si>
  <si>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</si>
  <si>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</si>
  <si>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</si>
  <si>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</si>
  <si>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</si>
  <si>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</si>
  <si>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</si>
  <si>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</si>
  <si>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</si>
  <si>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</si>
  <si>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</si>
  <si>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</si>
  <si>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</si>
  <si>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</si>
  <si>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</si>
  <si>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</si>
  <si>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</si>
  <si>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</si>
  <si>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</si>
  <si>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</si>
  <si>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</si>
  <si>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</si>
  <si>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</si>
  <si>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</si>
  <si>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</si>
  <si>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</si>
  <si>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</si>
  <si>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</si>
  <si>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</si>
  <si>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</si>
  <si>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</si>
  <si>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</si>
  <si>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</si>
  <si>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</si>
  <si>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</si>
  <si>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</si>
  <si>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</si>
  <si>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</si>
  <si>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</si>
  <si>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</si>
  <si>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</si>
  <si>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</si>
  <si>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</si>
  <si>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</si>
  <si>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</si>
  <si>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</si>
  <si>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</si>
  <si>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</si>
  <si>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</si>
  <si>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</si>
  <si>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</si>
  <si>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</si>
  <si>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</si>
  <si>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</si>
  <si>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</si>
  <si>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</si>
  <si>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</si>
  <si>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</si>
  <si>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</si>
  <si>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</si>
  <si>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</si>
  <si>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</si>
  <si>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</si>
  <si>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</si>
  <si>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</si>
  <si>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</si>
  <si>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</si>
  <si>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</si>
  <si>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</si>
  <si>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</si>
  <si>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</si>
  <si>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</si>
  <si>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</si>
  <si>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</si>
  <si>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</si>
  <si>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</si>
  <si>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</si>
  <si>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</si>
  <si>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</si>
  <si>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</si>
  <si>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</si>
  <si>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</si>
  <si>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</si>
  <si>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</si>
  <si>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</si>
  <si>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</si>
  <si>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</si>
  <si>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</si>
  <si>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</si>
  <si>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</si>
  <si>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</si>
  <si>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</si>
  <si>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</si>
  <si>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</si>
  <si>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</si>
  <si>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</si>
  <si>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</si>
  <si>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</si>
  <si>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</si>
  <si>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</si>
  <si>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</si>
  <si>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</si>
  <si>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</si>
  <si>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</si>
  <si>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</si>
  <si>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</si>
  <si>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</si>
  <si>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</si>
  <si>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</si>
  <si>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</si>
  <si>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</si>
  <si>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</si>
  <si>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</si>
  <si>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</si>
  <si>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</si>
  <si>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</si>
  <si>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</si>
  <si>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</si>
  <si>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</si>
  <si>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</si>
  <si>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</si>
  <si>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</si>
  <si>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</si>
  <si>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</si>
  <si>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</si>
  <si>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</si>
  <si>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</si>
  <si>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</si>
  <si>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</si>
  <si>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</si>
  <si>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</si>
  <si>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</si>
  <si>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</si>
  <si>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</si>
  <si>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</si>
  <si>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</si>
  <si>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</si>
  <si>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</si>
  <si>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</si>
  <si>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</si>
  <si>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</si>
  <si>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</si>
  <si>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</si>
  <si>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</si>
  <si>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</si>
  <si>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</si>
  <si>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</si>
  <si>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</si>
  <si>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</si>
  <si>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</si>
  <si>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</si>
  <si>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</si>
  <si>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</si>
  <si>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</si>
  <si>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</si>
  <si>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</si>
  <si>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</si>
  <si>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</si>
  <si>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</si>
  <si>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</si>
  <si>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</si>
  <si>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</si>
  <si>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</si>
  <si>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</si>
  <si>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</si>
  <si>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</si>
  <si>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</si>
  <si>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</si>
  <si>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</si>
  <si>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</si>
  <si>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</si>
  <si>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</si>
  <si>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</si>
  <si>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</si>
  <si>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</si>
  <si>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</si>
  <si>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</si>
  <si>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</si>
  <si>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</si>
  <si>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</si>
  <si>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</si>
  <si>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</si>
  <si>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</si>
  <si>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</si>
  <si>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</si>
  <si>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</si>
  <si>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</si>
  <si>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</si>
  <si>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</si>
  <si>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</si>
  <si>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</si>
  <si>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</si>
  <si>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</si>
  <si>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</si>
  <si>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</si>
  <si>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</si>
  <si>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</si>
  <si>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</si>
  <si>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</si>
  <si>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</si>
  <si>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</si>
  <si>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</si>
  <si>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</si>
  <si>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</si>
  <si>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</si>
  <si>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</si>
  <si>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</si>
  <si>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</si>
  <si>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142E</t>
  </si>
  <si>
    <t>144B</t>
  </si>
  <si>
    <t>144C</t>
  </si>
  <si>
    <t>144D</t>
  </si>
  <si>
    <t>144E</t>
  </si>
  <si>
    <t>143B</t>
  </si>
  <si>
    <t>143C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</si>
  <si>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</si>
  <si>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</si>
  <si>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</si>
  <si>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</si>
  <si>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</si>
  <si>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</si>
  <si>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</si>
  <si>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</si>
  <si>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</si>
  <si>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</si>
  <si>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</si>
  <si>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</si>
  <si>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</si>
  <si>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</si>
  <si>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</si>
  <si>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</si>
  <si>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</si>
  <si>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</si>
  <si>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</si>
  <si>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</si>
  <si>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</si>
  <si>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</si>
  <si>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</si>
  <si>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</si>
  <si>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</si>
  <si>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</si>
  <si>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</si>
  <si>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</si>
  <si>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</si>
  <si>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</si>
  <si>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</si>
  <si>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</si>
  <si>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</si>
  <si>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</si>
  <si>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</si>
  <si>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</si>
  <si>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</si>
  <si>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</si>
  <si>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</si>
  <si>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</si>
  <si>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</si>
  <si>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</si>
  <si>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</si>
  <si>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</si>
  <si>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</si>
  <si>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</si>
  <si>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</si>
  <si>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</si>
  <si>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</si>
  <si>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</si>
  <si>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</si>
  <si>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</si>
  <si>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</si>
  <si>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</si>
  <si>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</si>
  <si>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</si>
  <si>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</si>
  <si>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</si>
  <si>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472G@</t>
  </si>
  <si>
    <t>672G</t>
  </si>
  <si>
    <t>471A@</t>
  </si>
  <si>
    <t>671A</t>
  </si>
  <si>
    <t>471B@</t>
  </si>
  <si>
    <t>671B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</si>
  <si>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</si>
  <si>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</si>
  <si>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</si>
  <si>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</si>
  <si>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</si>
  <si>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</si>
  <si>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</si>
  <si>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</si>
  <si>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</si>
  <si>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</si>
  <si>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</si>
  <si>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</si>
  <si>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</si>
  <si>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</si>
  <si>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</si>
  <si>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</si>
  <si>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</si>
  <si>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</si>
  <si>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</si>
  <si>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</si>
  <si>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</si>
  <si>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</si>
  <si>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</si>
  <si>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</si>
  <si>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</si>
  <si>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</si>
  <si>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</si>
  <si>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</si>
  <si>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</si>
  <si>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</si>
  <si>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</si>
  <si>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</si>
  <si>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</si>
  <si>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</si>
  <si>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</si>
  <si>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</si>
  <si>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</si>
  <si>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</si>
  <si>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</si>
  <si>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</si>
  <si>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</si>
  <si>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</si>
  <si>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</si>
  <si>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</si>
  <si>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</si>
  <si>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</si>
  <si>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</si>
  <si>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</si>
  <si>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</si>
  <si>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</si>
  <si>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</si>
  <si>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</si>
  <si>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</si>
  <si>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</si>
  <si>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</si>
  <si>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</si>
  <si>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</si>
  <si>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</si>
  <si>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</si>
  <si>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</si>
  <si>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</si>
  <si>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</si>
  <si>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</si>
  <si>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</si>
  <si>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</si>
  <si>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</si>
  <si>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</si>
  <si>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</si>
  <si>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</si>
  <si>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</si>
  <si>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</si>
  <si>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</si>
  <si>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</si>
  <si>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</si>
  <si>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</si>
  <si>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</si>
  <si>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</si>
  <si>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</si>
  <si>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</si>
  <si>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</si>
  <si>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</si>
  <si>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</si>
  <si>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</si>
  <si>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</si>
  <si>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</si>
  <si>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</si>
  <si>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</si>
  <si>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</si>
  <si>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</si>
  <si>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</si>
  <si>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</si>
  <si>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</si>
  <si>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652A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</si>
  <si>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</si>
  <si>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</si>
  <si>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</si>
  <si>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</si>
  <si>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</si>
  <si>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</si>
  <si>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</si>
  <si>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</si>
  <si>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</si>
  <si>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429A@</t>
  </si>
  <si>
    <t>629A</t>
  </si>
  <si>
    <t>444C@</t>
  </si>
  <si>
    <t>444C</t>
  </si>
  <si>
    <t>416@</t>
  </si>
  <si>
    <t>416A@</t>
  </si>
  <si>
    <t>409@</t>
  </si>
  <si>
    <t>616A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</si>
  <si>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</si>
  <si>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</si>
  <si>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</si>
  <si>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</si>
  <si>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</si>
  <si>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</si>
  <si>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</si>
  <si>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</si>
  <si>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</si>
  <si>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</si>
  <si>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</si>
  <si>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</si>
  <si>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447@</t>
  </si>
  <si>
    <t>422A@</t>
  </si>
  <si>
    <t>422C@</t>
  </si>
  <si>
    <t>622C</t>
  </si>
  <si>
    <t>605B</t>
  </si>
  <si>
    <t>480@</t>
  </si>
  <si>
    <t>680C</t>
  </si>
  <si>
    <t>681A</t>
  </si>
  <si>
    <t>602B</t>
  </si>
  <si>
    <t>615A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</si>
  <si>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</si>
  <si>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</si>
  <si>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</si>
  <si>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</si>
  <si>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</si>
  <si>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</si>
  <si>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</si>
  <si>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</si>
  <si>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</si>
  <si>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</si>
  <si>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</si>
  <si>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406D@</t>
  </si>
  <si>
    <t>606D</t>
  </si>
  <si>
    <t>601F</t>
  </si>
  <si>
    <t>406G@</t>
  </si>
  <si>
    <t>606G</t>
  </si>
  <si>
    <t>405F</t>
  </si>
  <si>
    <t>605F</t>
  </si>
  <si>
    <t>411C@</t>
  </si>
  <si>
    <t>611C</t>
  </si>
  <si>
    <t>622A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</si>
  <si>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</si>
  <si>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</si>
  <si>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</si>
  <si>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</si>
  <si>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</si>
  <si>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</si>
  <si>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</si>
  <si>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</si>
  <si>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</si>
  <si>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405B@</t>
  </si>
  <si>
    <t>405J@</t>
  </si>
  <si>
    <t>605J</t>
  </si>
  <si>
    <t>405C@</t>
  </si>
  <si>
    <t>605C</t>
  </si>
  <si>
    <t>404I@</t>
  </si>
  <si>
    <t>604I</t>
  </si>
  <si>
    <t>405K@</t>
  </si>
  <si>
    <t>605K</t>
  </si>
  <si>
    <t>405L@</t>
  </si>
  <si>
    <t>605L</t>
  </si>
  <si>
    <t>405H@</t>
  </si>
  <si>
    <t>605H</t>
  </si>
  <si>
    <t>402B@</t>
  </si>
  <si>
    <t>424E@</t>
  </si>
  <si>
    <t>624E</t>
  </si>
  <si>
    <t>430F@</t>
  </si>
  <si>
    <t>430F</t>
  </si>
  <si>
    <t>415A@</t>
  </si>
  <si>
    <t>423C@</t>
  </si>
  <si>
    <t>450C@</t>
  </si>
  <si>
    <t>650C</t>
  </si>
  <si>
    <t>450E@</t>
  </si>
  <si>
    <t>650E</t>
  </si>
  <si>
    <t>450F@</t>
  </si>
  <si>
    <t>452A@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</si>
  <si>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</si>
  <si>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</si>
  <si>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</si>
  <si>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</si>
  <si>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</si>
  <si>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</si>
  <si>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</si>
  <si>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</si>
  <si>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</si>
  <si>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</si>
  <si>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</si>
  <si>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</si>
  <si>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</si>
  <si>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</si>
  <si>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</si>
  <si>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</si>
  <si>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</si>
  <si>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</si>
  <si>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</si>
  <si>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</si>
  <si>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</si>
  <si>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</si>
  <si>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</si>
  <si>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</si>
  <si>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</si>
  <si>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</si>
  <si>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</si>
  <si>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</si>
  <si>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</si>
  <si>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</si>
  <si>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</si>
  <si>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</si>
  <si>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51G</t>
  </si>
  <si>
    <t>51I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</si>
  <si>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</si>
  <si>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</si>
  <si>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</si>
  <si>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</si>
  <si>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</si>
  <si>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</si>
  <si>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</si>
  <si>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</si>
  <si>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</si>
  <si>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</si>
  <si>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</si>
  <si>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</si>
  <si>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</si>
  <si>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</si>
  <si>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</si>
  <si>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</si>
  <si>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</si>
  <si>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</si>
  <si>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</si>
  <si>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</si>
  <si>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</si>
  <si>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</si>
  <si>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</si>
  <si>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</si>
  <si>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</si>
  <si>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</si>
  <si>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</si>
  <si>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</si>
  <si>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</si>
  <si>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</si>
  <si>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</si>
  <si>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</si>
  <si>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</si>
  <si>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</si>
  <si>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</si>
  <si>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</si>
  <si>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</si>
  <si>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</si>
  <si>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</si>
  <si>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</si>
  <si>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</si>
  <si>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</si>
  <si>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</si>
  <si>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</si>
  <si>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</si>
  <si>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</si>
  <si>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</si>
  <si>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</si>
  <si>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</si>
  <si>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</si>
  <si>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</si>
  <si>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</si>
  <si>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</si>
  <si>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</si>
  <si>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</si>
  <si>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</si>
  <si>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</si>
  <si>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</si>
  <si>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</si>
  <si>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</si>
  <si>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</si>
  <si>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</si>
  <si>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</si>
  <si>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</si>
  <si>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</si>
  <si>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</si>
  <si>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</si>
  <si>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</si>
  <si>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</si>
  <si>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</si>
  <si>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</si>
  <si>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</si>
  <si>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</si>
  <si>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</si>
  <si>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</si>
  <si>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</si>
  <si>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</si>
  <si>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</si>
  <si>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</si>
  <si>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</si>
  <si>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</si>
  <si>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</si>
  <si>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</si>
  <si>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</si>
  <si>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</si>
  <si>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</si>
  <si>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</si>
  <si>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</si>
  <si>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</si>
  <si>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</si>
  <si>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</si>
  <si>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</si>
  <si>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</si>
  <si>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</si>
  <si>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</si>
  <si>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</si>
  <si>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</si>
  <si>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</si>
  <si>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</si>
  <si>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</si>
  <si>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</si>
  <si>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51A</t>
  </si>
  <si>
    <t>51C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</si>
  <si>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</si>
  <si>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</si>
  <si>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</si>
  <si>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</si>
  <si>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</si>
  <si>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</si>
  <si>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</si>
  <si>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</si>
  <si>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</si>
  <si>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</si>
  <si>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</si>
  <si>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</si>
  <si>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</si>
  <si>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</si>
  <si>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</si>
  <si>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</si>
  <si>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</si>
  <si>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</si>
  <si>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</si>
  <si>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</si>
  <si>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</si>
  <si>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</si>
  <si>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</si>
  <si>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</si>
  <si>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</si>
  <si>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</si>
  <si>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</si>
  <si>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</si>
  <si>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</si>
  <si>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</si>
  <si>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</si>
  <si>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</si>
  <si>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</si>
  <si>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</si>
  <si>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</si>
  <si>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</si>
  <si>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</si>
  <si>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</si>
  <si>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</si>
  <si>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</si>
  <si>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</si>
  <si>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</si>
  <si>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</si>
  <si>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</si>
  <si>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</si>
  <si>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</si>
  <si>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</si>
  <si>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</si>
  <si>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</si>
  <si>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</si>
  <si>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</si>
  <si>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</si>
  <si>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</si>
  <si>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</si>
  <si>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</si>
  <si>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</si>
  <si>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</si>
  <si>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</si>
  <si>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</si>
  <si>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</si>
  <si>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</si>
  <si>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</si>
  <si>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</si>
  <si>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</si>
  <si>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</si>
  <si>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</si>
  <si>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</si>
  <si>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</si>
  <si>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</si>
  <si>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</si>
  <si>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</si>
  <si>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120D</t>
  </si>
  <si>
    <t>126D</t>
  </si>
  <si>
    <t>122D</t>
  </si>
  <si>
    <t>124D</t>
  </si>
  <si>
    <t>127D</t>
  </si>
  <si>
    <t>120E</t>
  </si>
  <si>
    <t>126E</t>
  </si>
  <si>
    <t>122E</t>
  </si>
  <si>
    <t>124E</t>
  </si>
  <si>
    <t>127E</t>
  </si>
  <si>
    <t>120F</t>
  </si>
  <si>
    <t>126F</t>
  </si>
  <si>
    <t>122F</t>
  </si>
  <si>
    <t>124F</t>
  </si>
  <si>
    <t>127F</t>
  </si>
  <si>
    <t>EXPENSE % OF GP</t>
  </si>
  <si>
    <t>A/R VEHICULES 31-60 JRS</t>
  </si>
  <si>
    <t>A/R VEHICULES 61-90 JRS</t>
  </si>
  <si>
    <t>A/R VEHICULES 91-120 JRS</t>
  </si>
  <si>
    <t>A/R VEHICULES 120 +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</si>
  <si>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</si>
  <si>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</si>
  <si>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</si>
  <si>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</si>
  <si>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</si>
  <si>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A/R GARANTTIE BMW 61-90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</si>
  <si>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</si>
  <si>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</si>
  <si>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</si>
  <si>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</si>
  <si>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</si>
  <si>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</si>
  <si>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</si>
  <si>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</si>
  <si>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</si>
  <si>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</si>
  <si>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</si>
  <si>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</si>
  <si>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</si>
  <si>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</si>
  <si>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</si>
  <si>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</si>
  <si>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</si>
  <si>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</si>
  <si>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</si>
  <si>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</si>
  <si>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</si>
  <si>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</si>
  <si>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</si>
  <si>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</si>
  <si>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</si>
  <si>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</si>
  <si>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</si>
  <si>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</si>
  <si>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</si>
  <si>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</si>
  <si>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</si>
  <si>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</si>
  <si>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</si>
  <si>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</si>
  <si>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</si>
  <si>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</si>
  <si>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</si>
  <si>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</si>
  <si>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</si>
  <si>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</si>
  <si>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</si>
  <si>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</si>
  <si>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</si>
  <si>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</si>
  <si>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</si>
  <si>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</si>
  <si>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</si>
  <si>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</si>
  <si>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</si>
  <si>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</si>
  <si>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</si>
  <si>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</si>
  <si>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</si>
  <si>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</si>
  <si>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</si>
  <si>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</si>
  <si>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</si>
  <si>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</si>
  <si>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</si>
  <si>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</si>
  <si>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</si>
  <si>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</si>
  <si>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</si>
  <si>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</si>
  <si>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</si>
  <si>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</si>
  <si>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</si>
  <si>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</si>
  <si>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</si>
  <si>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PIECES ENTRETIEN BMW I</t>
  </si>
  <si>
    <t>VTE - PIECES ENTRETIEN BMW I</t>
  </si>
  <si>
    <t>C/V - PIECES ENTRETIEN BMW I</t>
  </si>
  <si>
    <t># DE VTE - PCS BT CARROSS BMW AUTO</t>
  </si>
  <si>
    <t>VTE - PIECES BT CARROSS. BMW AUTO</t>
  </si>
  <si>
    <t>C/V - PIECES BT CARROSS. BMW AUTO</t>
  </si>
  <si>
    <t># DE VTE - PCS BT CARROSS BMW CAMION</t>
  </si>
  <si>
    <t>VTE - PIECES BT CARROSS. BMW CAMION</t>
  </si>
  <si>
    <t>C/V - PIECES BT CARROSS. BMW CAMION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</si>
  <si>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</si>
  <si>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</si>
  <si>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</si>
  <si>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</si>
  <si>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</si>
  <si>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</si>
  <si>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</si>
  <si>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</si>
  <si>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</si>
  <si>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</si>
  <si>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</si>
  <si>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</si>
  <si>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</si>
  <si>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</si>
  <si>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</si>
  <si>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</si>
  <si>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</si>
  <si>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</si>
  <si>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</si>
  <si>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</si>
  <si>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</si>
  <si>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</si>
  <si>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</si>
  <si>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</si>
  <si>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</si>
  <si>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</si>
  <si>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</si>
  <si>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</si>
  <si>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</si>
  <si>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</si>
  <si>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</si>
  <si>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</si>
  <si>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</si>
  <si>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</si>
  <si>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</si>
  <si>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</si>
  <si>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</si>
  <si>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</si>
  <si>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</si>
  <si>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</si>
  <si>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</si>
  <si>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</si>
  <si>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</si>
  <si>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</si>
  <si>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</si>
  <si>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</si>
  <si>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</si>
  <si>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</si>
  <si>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</si>
  <si>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</si>
  <si>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</si>
  <si>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</si>
  <si>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</si>
  <si>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</si>
  <si>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</si>
  <si>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</si>
  <si>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</si>
  <si>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</si>
  <si>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</si>
  <si>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</si>
  <si>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</si>
  <si>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</si>
  <si>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</si>
  <si>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</si>
  <si>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</si>
  <si>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</si>
  <si>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</si>
  <si>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</si>
  <si>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</si>
  <si>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</si>
  <si>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</si>
  <si>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</si>
  <si>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</si>
  <si>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</si>
  <si>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</si>
  <si>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</si>
  <si>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</si>
  <si>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</si>
  <si>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</si>
  <si>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</si>
  <si>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</si>
  <si>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</si>
  <si>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</si>
  <si>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</si>
  <si>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</si>
  <si>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</si>
  <si>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</si>
  <si>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</si>
  <si>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</si>
  <si>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</si>
  <si>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</si>
  <si>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</si>
  <si>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</si>
  <si>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</si>
  <si>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</si>
  <si>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</si>
  <si>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</si>
  <si>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</si>
  <si>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</si>
  <si>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</si>
  <si>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</si>
  <si>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</si>
  <si>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</si>
  <si>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</si>
  <si>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</si>
  <si>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</si>
  <si>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</si>
  <si>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</si>
  <si>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</si>
  <si>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</si>
  <si>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</si>
  <si>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BMW SPA PROGRAMME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</si>
  <si>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</si>
  <si>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</si>
  <si>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</si>
  <si>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</si>
  <si>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</si>
  <si>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</si>
  <si>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</si>
  <si>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</si>
  <si>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</si>
  <si>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</si>
  <si>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</si>
  <si>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</si>
  <si>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</si>
  <si>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</si>
  <si>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</si>
  <si>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</si>
  <si>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</si>
  <si>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</si>
  <si>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</si>
  <si>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</si>
  <si>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</si>
  <si>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</si>
  <si>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</si>
  <si>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</si>
  <si>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</si>
  <si>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</si>
  <si>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</si>
  <si>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</si>
  <si>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</si>
  <si>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</si>
  <si>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</si>
  <si>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</si>
  <si>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</si>
  <si>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</si>
  <si>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</si>
  <si>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</si>
  <si>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</si>
  <si>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# DE VTE - ACCESSOIRES USAGE BMW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</si>
  <si>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</si>
  <si>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</si>
  <si>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</si>
  <si>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</si>
  <si>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</si>
  <si>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</si>
  <si>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</si>
  <si>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450T</t>
  </si>
  <si>
    <t>VTES -TRAITEMENT OTOPROTEC USAGE BMW CERT</t>
  </si>
  <si>
    <t>FRAIS ADMINISTRATION USAGE</t>
  </si>
  <si>
    <t>VTES -ACCESSOIRES USAGE BMW CERT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</si>
  <si>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</si>
  <si>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</si>
  <si>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</si>
  <si>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</si>
  <si>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</si>
  <si>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</si>
  <si>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C/V - ACCESSOIRES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</si>
  <si>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</si>
  <si>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</si>
  <si>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</si>
  <si>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</si>
  <si>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</si>
  <si>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</si>
  <si>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</si>
  <si>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</si>
  <si>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</si>
  <si>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</si>
  <si>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</si>
  <si>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</si>
  <si>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654P</t>
  </si>
  <si>
    <t>C/V - PROTEC PNEUS/JANTES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</si>
  <si>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</si>
  <si>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</si>
  <si>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</si>
  <si>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</si>
  <si>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</si>
  <si>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</si>
  <si>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</si>
  <si>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</si>
  <si>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</si>
  <si>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</si>
  <si>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</si>
  <si>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</si>
  <si>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</si>
  <si>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</si>
  <si>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454P</t>
  </si>
  <si>
    <t>VTES -PROTEC PNEUS/JANTES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</si>
  <si>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</si>
  <si>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</si>
  <si>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</si>
  <si>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</si>
  <si>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</si>
  <si>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</si>
  <si>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</si>
  <si>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</si>
  <si>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</si>
  <si>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</si>
  <si>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</si>
  <si>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</si>
  <si>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</si>
  <si>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</si>
  <si>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</si>
  <si>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</si>
  <si>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</si>
  <si>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</si>
  <si>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</si>
  <si>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</si>
  <si>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</si>
  <si>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</si>
  <si>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455@</t>
  </si>
  <si>
    <t># DE VTE - GAR PROLONGE USAGE AUTRE</t>
  </si>
  <si>
    <t>VTES -VTE - MARQUAGE USAGE AUTRE</t>
  </si>
  <si>
    <t>VTE - RIST FINANCE USAGE AUTRE</t>
  </si>
  <si>
    <t>VTE - GAR PROL USAGE AUTRE</t>
  </si>
  <si>
    <t>C/V - MARQUAGE OTOPROTEC USAGE AUTRE</t>
  </si>
  <si>
    <t>C/V - GAR PROL USAGE AUTRE</t>
  </si>
  <si>
    <t>REVENU PERFORMANCE 360</t>
  </si>
  <si>
    <t># DE VTE - X1 XDRIVE 28I</t>
  </si>
  <si>
    <t>VTE - X1 XDRIVE 28I</t>
  </si>
  <si>
    <t>C/V - X1 XDRIVE 28I</t>
  </si>
  <si>
    <t># DE VTE - X1 M35i xDRIVE</t>
  </si>
  <si>
    <t>VTES -VTE - X1 M35i xDRIVE</t>
  </si>
  <si>
    <t>C/V - X1 M35i xDRIVE</t>
  </si>
  <si>
    <t>X2 XDRIVE28I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</si>
  <si>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</si>
  <si>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</si>
  <si>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</si>
  <si>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</si>
  <si>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</si>
  <si>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</si>
  <si>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</si>
  <si>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</si>
  <si>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</si>
  <si>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</si>
  <si>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X4 XDRIVE 40I/ X4 XDRIVE 30I</t>
  </si>
  <si>
    <t>VTES -VTES -X4 XDRIVE 40I/ X4 XDRIVE 30I</t>
  </si>
  <si>
    <t>C/V - X4 XDRIVE 40I/ X4 XDRIVE 30I</t>
  </si>
  <si>
    <t>429C@</t>
  </si>
  <si>
    <t># DE VTE - X4 M40I XDRIVE</t>
  </si>
  <si>
    <t>VTE - X4 M40I XDRIVE</t>
  </si>
  <si>
    <t>629C</t>
  </si>
  <si>
    <t>C/V - X4 M40I XDRIVE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</si>
  <si>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</si>
  <si>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</si>
  <si>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</si>
  <si>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</si>
  <si>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</si>
  <si>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</si>
  <si>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# DE VTE - X5 M</t>
  </si>
  <si>
    <t>VTE - X5 M</t>
  </si>
  <si>
    <t>C/V - X5 M</t>
  </si>
  <si>
    <t># DE VTE - X6 XDRIVE 35I</t>
  </si>
  <si>
    <t>VTE - X6 XDRIVE 35I</t>
  </si>
  <si>
    <t>C/V - X6 XDRIVE 35I</t>
  </si>
  <si>
    <t># DE VTE - X6 M60i</t>
  </si>
  <si>
    <t>VTES -VTE - X6 M60i</t>
  </si>
  <si>
    <t>C/V - X6 M60i</t>
  </si>
  <si>
    <t># OF VTES -VTES - X7 XDR 40I</t>
  </si>
  <si>
    <t>VTES -VTES - X7 XDR 40I</t>
  </si>
  <si>
    <t>C/V - X7 XDR 40I</t>
  </si>
  <si>
    <t>480C@</t>
  </si>
  <si>
    <t># DE VTE - X7 M60i</t>
  </si>
  <si>
    <t>VTES -VTE - X7 M60i</t>
  </si>
  <si>
    <t>C/V - X7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</si>
  <si>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</si>
  <si>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</si>
  <si>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</si>
  <si>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</si>
  <si>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</si>
  <si>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</si>
  <si>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</si>
  <si>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</si>
  <si>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</si>
  <si>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</si>
  <si>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</si>
  <si>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</si>
  <si>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</si>
  <si>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</si>
  <si>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</si>
  <si>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</si>
  <si>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</si>
  <si>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</si>
  <si>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</si>
  <si>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</si>
  <si>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</si>
  <si>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</si>
  <si>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</si>
  <si>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</si>
  <si>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</si>
  <si>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</si>
  <si>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</si>
  <si>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</si>
  <si>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</si>
  <si>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</si>
  <si>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</si>
  <si>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</si>
  <si>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</si>
  <si>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</si>
  <si>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</si>
  <si>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</si>
  <si>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</si>
  <si>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</si>
  <si>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</si>
  <si>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</si>
  <si>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</si>
  <si>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</si>
  <si>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</si>
  <si>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</si>
  <si>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</si>
  <si>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</si>
  <si>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</si>
  <si>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</si>
  <si>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</si>
  <si>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</si>
  <si>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</si>
  <si>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</si>
  <si>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</si>
  <si>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</si>
  <si>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</si>
  <si>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</si>
  <si>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</si>
  <si>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- 228I XDR COUPE / 230I XDR COUPE</t>
  </si>
  <si>
    <t>VTES -VTE - 230I XDR COUPE</t>
  </si>
  <si>
    <t>C/V - 230I XDR OCUPE</t>
  </si>
  <si>
    <t># DE VTE - M240I XDRIVE COUPE</t>
  </si>
  <si>
    <t>VTES -VTE - M240I XDRIVE COUPE</t>
  </si>
  <si>
    <t>C/V - M240I XDRIVE COUPE</t>
  </si>
  <si>
    <t>C/V - M2</t>
  </si>
  <si>
    <t># DE VTE - 330I XDRIVE SEDAN</t>
  </si>
  <si>
    <t>VTES -VTE - 330I XDRIVE SEDAN</t>
  </si>
  <si>
    <t>C/V - 330I XDRIVE SEDAN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</si>
  <si>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</si>
  <si>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</si>
  <si>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</si>
  <si>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</si>
  <si>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</si>
  <si>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- 430I XDRIVE CABRIOLET</t>
  </si>
  <si>
    <t>VTES -VTE - 430I XDRIVE CABRIOLET</t>
  </si>
  <si>
    <t>C/V - 430I XDRIVE CABRIOLET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</si>
  <si>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</si>
  <si>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</si>
  <si>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</si>
  <si>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</si>
  <si>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</si>
  <si>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</si>
  <si>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</si>
  <si>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405F@</t>
  </si>
  <si>
    <t># DE VTE - 440I XDRIVE GRAN COUPE</t>
  </si>
  <si>
    <t>VTES -M440I XDR COUPE</t>
  </si>
  <si>
    <t>VTES -VTE - 440I XDRIVE GRAN COUPE</t>
  </si>
  <si>
    <t>C/V - M440I XDR COUPE</t>
  </si>
  <si>
    <t>C/V - 440I XDRIVE GRAN COUPE</t>
  </si>
  <si>
    <t>M440I XDRIVE CABRIOLET</t>
  </si>
  <si>
    <t>M4 CABRIOLET</t>
  </si>
  <si>
    <t>VTES -M4 COMPETITION CABRIOLET XDRIVE</t>
  </si>
  <si>
    <t>C/V - M4 COMPETITION CABRIOLET XDRIVE</t>
  </si>
  <si>
    <t># OF VTES -M4 COMPETITION</t>
  </si>
  <si>
    <t>VTES -M4 COMPETITION</t>
  </si>
  <si>
    <t>C/V - M4 COMPETITION</t>
  </si>
  <si>
    <t># OF VTES -VTE - i5 M60 xDRIVE</t>
  </si>
  <si>
    <t>VTES -VTE - i5 M60 xDRIVE</t>
  </si>
  <si>
    <t>C/V - i5 M60 xDRIVE</t>
  </si>
  <si>
    <t># DE VTE - 750e xDRIVE</t>
  </si>
  <si>
    <t>VTES -VTE - 750e xDRIVE</t>
  </si>
  <si>
    <t>C/V - 750e xDRIVE</t>
  </si>
  <si>
    <t># OF VTES -VTE - M850I XDR GRAN COUPE</t>
  </si>
  <si>
    <t>VTES -VTE - M850I XDR GRAN COUPE</t>
  </si>
  <si>
    <t>C/V - VTE - M850I XDR GRAN COUPE</t>
  </si>
  <si>
    <t># OF VTES -VTES - Z4 30I XDR</t>
  </si>
  <si>
    <t>VTES -VTES - Z4 30I XDR</t>
  </si>
  <si>
    <t>C/V - Z4 30I XDR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</si>
  <si>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</si>
  <si>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</si>
  <si>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</si>
  <si>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</si>
  <si>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</si>
  <si>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</si>
  <si>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</si>
  <si>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</si>
  <si>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</si>
  <si>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</si>
  <si>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</si>
  <si>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</si>
  <si>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</si>
  <si>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</si>
  <si>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</si>
  <si>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</si>
  <si>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</si>
  <si>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</si>
  <si>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</si>
  <si>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</si>
  <si>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</si>
  <si>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</si>
  <si>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</si>
  <si>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</si>
  <si>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</si>
  <si>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</si>
  <si>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</si>
  <si>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</si>
  <si>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</si>
  <si>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</si>
  <si>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</si>
  <si>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</si>
  <si>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UNIFOMRES - PIECE BMW</t>
  </si>
  <si>
    <t>UNIFORMES - CARROSSERIE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</si>
  <si>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</si>
  <si>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</si>
  <si>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</si>
  <si>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</si>
  <si>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</si>
  <si>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</si>
  <si>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</si>
  <si>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</si>
  <si>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</si>
  <si>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</si>
  <si>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</si>
  <si>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</si>
  <si>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</si>
  <si>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</si>
  <si>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</si>
  <si>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</si>
  <si>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</si>
  <si>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</si>
  <si>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</si>
  <si>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</si>
  <si>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</si>
  <si>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</si>
  <si>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</si>
  <si>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</si>
  <si>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</si>
  <si>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</si>
  <si>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</si>
  <si>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</si>
  <si>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</si>
  <si>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</si>
  <si>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</si>
  <si>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</si>
  <si>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</si>
  <si>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</si>
  <si>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</si>
  <si>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</si>
  <si>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</si>
  <si>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</si>
  <si>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</si>
  <si>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</si>
  <si>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</si>
  <si>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</si>
  <si>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</si>
  <si>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</si>
  <si>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</si>
  <si>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</si>
  <si>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</si>
  <si>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55E</t>
  </si>
  <si>
    <t>CHARGE PRET VEHICULES CLIENTS - SERV. BMW</t>
  </si>
  <si>
    <t>DEP. VEHICULES PRETS - PIECE BMW</t>
  </si>
  <si>
    <t>54G</t>
  </si>
  <si>
    <t>REV BMW CANADA MOBILITY - PIECES BMW</t>
  </si>
  <si>
    <t>55G</t>
  </si>
  <si>
    <t>CHARGE PRET VEHICULES CLIENTS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</si>
  <si>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</si>
  <si>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</si>
  <si>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</si>
  <si>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</si>
  <si>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</si>
  <si>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</si>
  <si>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</si>
  <si>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</si>
  <si>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</si>
  <si>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</si>
  <si>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</si>
  <si>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</si>
  <si>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</si>
  <si>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</si>
  <si>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</si>
  <si>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</si>
  <si>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</si>
  <si>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</si>
  <si>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</si>
  <si>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</si>
  <si>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</si>
  <si>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</si>
  <si>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</si>
  <si>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</si>
  <si>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</si>
  <si>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</si>
  <si>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</si>
  <si>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</si>
  <si>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</si>
  <si>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</si>
  <si>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</si>
  <si>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</si>
  <si>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</si>
  <si>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</si>
  <si>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</si>
  <si>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</si>
  <si>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</si>
  <si>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</si>
  <si>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</si>
  <si>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</si>
  <si>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</si>
  <si>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</si>
  <si>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</si>
  <si>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</si>
  <si>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</si>
  <si>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</si>
  <si>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</si>
  <si>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</si>
  <si>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</si>
  <si>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</si>
  <si>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</si>
  <si>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</si>
  <si>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</si>
  <si>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</si>
  <si>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</si>
  <si>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</si>
  <si>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</si>
  <si>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UNIFORMES - NEUF BMW</t>
  </si>
  <si>
    <t>UNIFORMES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</si>
  <si>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</si>
  <si>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</si>
  <si>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</si>
  <si>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</si>
  <si>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</si>
  <si>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</si>
  <si>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</si>
  <si>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</si>
  <si>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</si>
  <si>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</si>
  <si>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</si>
  <si>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</si>
  <si>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</si>
  <si>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</si>
  <si>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</si>
  <si>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</si>
  <si>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</si>
  <si>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</si>
  <si>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</si>
  <si>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</si>
  <si>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</si>
  <si>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</si>
  <si>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</si>
  <si>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</si>
  <si>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</si>
  <si>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</si>
  <si>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</si>
  <si>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</si>
  <si>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</si>
  <si>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</si>
  <si>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</si>
  <si>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</si>
  <si>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</si>
  <si>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</si>
  <si>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</si>
  <si>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</si>
  <si>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</si>
  <si>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</si>
  <si>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</si>
  <si>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</si>
  <si>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</si>
  <si>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</si>
  <si>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</si>
  <si>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</si>
  <si>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</si>
  <si>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</si>
  <si>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</si>
  <si>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</si>
  <si>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</si>
  <si>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</si>
  <si>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</si>
  <si>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</si>
  <si>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</si>
  <si>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</si>
  <si>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</si>
  <si>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</si>
  <si>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</si>
  <si>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</si>
  <si>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</si>
  <si>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</si>
  <si>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</si>
  <si>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</si>
  <si>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</si>
  <si>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</si>
  <si>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</si>
  <si>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</si>
  <si>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</si>
  <si>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</si>
  <si>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</si>
  <si>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</si>
  <si>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</si>
  <si>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</si>
  <si>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</si>
  <si>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</si>
  <si>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</si>
  <si>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</si>
  <si>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</si>
  <si>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</si>
  <si>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</si>
  <si>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</si>
  <si>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</si>
  <si>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</si>
  <si>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</si>
  <si>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</si>
  <si>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</si>
  <si>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</si>
  <si>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</si>
  <si>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</si>
  <si>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</si>
  <si>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</si>
  <si>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</si>
  <si>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</si>
  <si>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</si>
  <si>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</si>
  <si>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</si>
  <si>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</si>
  <si>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</si>
  <si>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</si>
  <si>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</si>
  <si>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</si>
  <si>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</si>
  <si>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</si>
  <si>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</si>
  <si>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</si>
  <si>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</si>
  <si>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</si>
  <si>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</si>
  <si>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</si>
  <si>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</si>
  <si>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</si>
  <si>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</si>
  <si>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</si>
  <si>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</si>
  <si>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</si>
  <si>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</si>
  <si>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</si>
  <si>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</si>
  <si>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</si>
  <si>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</si>
  <si>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</si>
  <si>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</si>
  <si>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</si>
  <si>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</si>
  <si>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TAXE DE LUXE</t>
  </si>
  <si>
    <t>TPS A PAYER</t>
  </si>
  <si>
    <t>324A</t>
  </si>
  <si>
    <t>TPS A RECEVOIR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</si>
  <si>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</si>
  <si>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</si>
  <si>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</si>
  <si>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</si>
  <si>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</si>
  <si>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</si>
  <si>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</si>
  <si>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</si>
  <si>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</si>
  <si>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</si>
  <si>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</si>
  <si>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</si>
  <si>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</si>
  <si>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</si>
  <si>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</si>
  <si>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</si>
  <si>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</si>
  <si>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</si>
  <si>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</si>
  <si>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</si>
  <si>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</si>
  <si>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</si>
  <si>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</si>
  <si>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</si>
  <si>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</si>
  <si>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</si>
  <si>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</si>
  <si>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</si>
  <si>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</si>
  <si>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</si>
  <si>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</si>
  <si>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</si>
  <si>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</si>
  <si>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</si>
  <si>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</si>
  <si>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</si>
  <si>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</si>
  <si>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</si>
  <si>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</si>
  <si>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</si>
  <si>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</si>
  <si>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</si>
  <si>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</si>
  <si>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</si>
  <si>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275C</t>
  </si>
  <si>
    <t>FPA PUB USAGE</t>
  </si>
  <si>
    <t>276B</t>
  </si>
  <si>
    <t>FPA FORMATION</t>
  </si>
  <si>
    <t>279B</t>
  </si>
  <si>
    <t>FPA AUTRES</t>
  </si>
  <si>
    <t>276A</t>
  </si>
  <si>
    <t>FPA CCAQ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</si>
  <si>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</si>
  <si>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</si>
  <si>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</si>
  <si>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</si>
  <si>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</si>
  <si>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</si>
  <si>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</si>
  <si>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</si>
  <si>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</si>
  <si>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</si>
  <si>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</si>
  <si>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</si>
  <si>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</si>
  <si>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</si>
  <si>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</si>
  <si>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</si>
  <si>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</si>
  <si>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AVRIL NB VENTE NEUF BMW AUTO</t>
  </si>
  <si>
    <t>AVRIL NB VENTE NEUF BMW CAMION</t>
  </si>
  <si>
    <t>AVRIL NB VENTE NEUF BMW I</t>
  </si>
  <si>
    <t>AVRIL NB VENTE USAGE DETAIL</t>
  </si>
  <si>
    <t>AVRIL NB VENTE USAGE GROS</t>
  </si>
  <si>
    <t>EQUIPEMENTS PIECES &amp; ACCESSOIRES</t>
  </si>
  <si>
    <t>AMORT.CUM. EQUIP. PIECES &amp; ACCESS.</t>
  </si>
  <si>
    <t>MAI NB VENTE NEUF BMW AUTO</t>
  </si>
  <si>
    <t>MAI NB VENTE NEUF BMW CAMION</t>
  </si>
  <si>
    <t>MAI NB VENTE NEUF BMW I</t>
  </si>
  <si>
    <t>MAI NB VENTE USAGE DETAIL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</si>
  <si>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</si>
  <si>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</si>
  <si>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</si>
  <si>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</si>
  <si>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</si>
  <si>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</si>
  <si>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</si>
  <si>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</si>
  <si>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</si>
  <si>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</si>
  <si>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</si>
  <si>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</si>
  <si>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</si>
  <si>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JUIN NB VENTE NEUF BMW AUTO</t>
  </si>
  <si>
    <t>JUIN NB VENTE NEUF BMW CAMION</t>
  </si>
  <si>
    <t>JUIN NB VENTE NEUF BMW I</t>
  </si>
  <si>
    <t>JUIN NB VENTE USAGE DETAIL</t>
  </si>
  <si>
    <t>JUIN NB VENTE USAGE GROS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</si>
  <si>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</si>
  <si>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</si>
  <si>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</si>
  <si>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</si>
  <si>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</si>
  <si>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</si>
  <si>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</si>
  <si>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</si>
  <si>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</si>
  <si>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</si>
  <si>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</si>
  <si>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PROFIT MAI</t>
  </si>
  <si>
    <t>BMW SHERBROOKE</t>
  </si>
  <si>
    <t>451V@</t>
  </si>
  <si>
    <t># DE VTE - ASS VIE/INV USAGE AUTRE</t>
  </si>
  <si>
    <t>451R@</t>
  </si>
  <si>
    <t># DE VTE - ASS. REMP. USAGE AUTRE</t>
  </si>
  <si>
    <t>451R</t>
  </si>
  <si>
    <t>VTE - ASS. REMP. USAGE AUTRE</t>
  </si>
  <si>
    <t>451V</t>
  </si>
  <si>
    <t>VTE - ASS VIE/INV USAGE AUTRE</t>
  </si>
  <si>
    <t>651R</t>
  </si>
  <si>
    <t>C/V - ASS. REMP. USAGE AUTRE</t>
  </si>
  <si>
    <t>651V</t>
  </si>
  <si>
    <t>C/V - ASS VIE/INV USAGE AUTRE</t>
  </si>
  <si>
    <t>423H@</t>
  </si>
  <si>
    <t># OF VTES -VTES -X3 M / M3 M COMPETITION</t>
  </si>
  <si>
    <t>VTES -X3 M / M3 M COMPETITION</t>
  </si>
  <si>
    <t>623H</t>
  </si>
  <si>
    <t>C/V - X3 M / M3 M COMPETITION</t>
  </si>
  <si>
    <t>481@</t>
  </si>
  <si>
    <t>402A@</t>
  </si>
  <si>
    <t># DE VTE - IX XDRIVE 40</t>
  </si>
  <si>
    <t>VTES -IX XDRIVE 40</t>
  </si>
  <si>
    <t>602A</t>
  </si>
  <si>
    <t>C/V - IX XDRIVE 40</t>
  </si>
  <si>
    <t>401F@</t>
  </si>
  <si>
    <t># OF VTES -VTE - M2</t>
  </si>
  <si>
    <t>VTES -VTE - M2</t>
  </si>
  <si>
    <t>407A@</t>
  </si>
  <si>
    <t># DE VTE - M3 SEDAN</t>
  </si>
  <si>
    <t>VTE - M3 SEDAN</t>
  </si>
  <si>
    <t>607A</t>
  </si>
  <si>
    <t>C/V - M3 SEDAN</t>
  </si>
  <si>
    <t>407C@</t>
  </si>
  <si>
    <t># OF VTES -M3 COMPETITION</t>
  </si>
  <si>
    <t>VTES -M3 COMPETITION</t>
  </si>
  <si>
    <t>607C</t>
  </si>
  <si>
    <t>C/V - M3 COMPETITION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</si>
  <si>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</si>
  <si>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</si>
  <si>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</si>
  <si>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</si>
  <si>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</si>
  <si>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</si>
  <si>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</si>
  <si>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</si>
  <si>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</si>
  <si>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</si>
  <si>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415@</t>
  </si>
  <si>
    <t># DE VTE - ACTIVEHYBRID 7 L</t>
  </si>
  <si>
    <t>VTES -VTES - 760i xDRIVE</t>
  </si>
  <si>
    <t>C/V - 760i xDRIVE</t>
  </si>
  <si>
    <t>61I</t>
  </si>
  <si>
    <t>AUTRES FOURNITURES - CARROSSERIE BMW</t>
  </si>
  <si>
    <t>88E</t>
  </si>
  <si>
    <t>ASS. AUTRES - SERV. BMW</t>
  </si>
  <si>
    <t>88G</t>
  </si>
  <si>
    <t>ASS. AUTRES - PIECE BMW</t>
  </si>
  <si>
    <t>88I</t>
  </si>
  <si>
    <t>ASS. AUTRES - CARROSSERIE BMW</t>
  </si>
  <si>
    <t>88A</t>
  </si>
  <si>
    <t>ASS. AUTRES - NEUF BMW</t>
  </si>
  <si>
    <t>88C</t>
  </si>
  <si>
    <t>ASS. AUTRES - USAGE BMW</t>
  </si>
  <si>
    <t>300E</t>
  </si>
  <si>
    <t>ASS VIE/INV A/P</t>
  </si>
  <si>
    <t>331Z</t>
  </si>
  <si>
    <t>RESERVE AZOTE</t>
  </si>
  <si>
    <t>275E</t>
  </si>
  <si>
    <t>FPA PUB FIXE</t>
  </si>
  <si>
    <t>120G</t>
  </si>
  <si>
    <t>JUIL. NB VENTE NEUF BMW AUTO</t>
  </si>
  <si>
    <t>126G</t>
  </si>
  <si>
    <t>JUIL. NB VENTE NEUF BMW CAMION</t>
  </si>
  <si>
    <t>124G</t>
  </si>
  <si>
    <t>JUIL. NB VENTE UDAGE DETAIL</t>
  </si>
  <si>
    <t>127G</t>
  </si>
  <si>
    <t>JUIL. NB VENTE USAGE GROS</t>
  </si>
  <si>
    <t>120H</t>
  </si>
  <si>
    <t>AOUT NB VENTE NEUF BMW AUTO</t>
  </si>
  <si>
    <t>126H</t>
  </si>
  <si>
    <t>AOUT NB VENTE NEUF BMW CAMION</t>
  </si>
  <si>
    <t>122H</t>
  </si>
  <si>
    <t>AOUT NB VENTE NEUF BMW I</t>
  </si>
  <si>
    <t>124H</t>
  </si>
  <si>
    <t>AOUT NB VENTE USAGE DETAIL</t>
  </si>
  <si>
    <t>127H</t>
  </si>
  <si>
    <t>AOUT NB VENTE USAGE GROS</t>
  </si>
  <si>
    <t>120Z</t>
  </si>
  <si>
    <t>SEPT. NB VENTE NEUF BMW AUTO</t>
  </si>
  <si>
    <t>126Z</t>
  </si>
  <si>
    <t>SEPT. NB VENTE NEUF BMW CAMION</t>
  </si>
  <si>
    <t>122Z</t>
  </si>
  <si>
    <t>SEPT. NB VENTE NEUF BMW I</t>
  </si>
  <si>
    <t>124Z</t>
  </si>
  <si>
    <t>SEPT. NB VENTE USAGE DETAIL</t>
  </si>
  <si>
    <t>127Z</t>
  </si>
  <si>
    <t>SEPT. NB VENTE USAGE GROS</t>
  </si>
  <si>
    <t>OCT. NB VENTE NEUF BMW AUTO</t>
  </si>
  <si>
    <t>121E</t>
  </si>
  <si>
    <t>OCT. NB VENTE NEUF BMW CAMION</t>
  </si>
  <si>
    <t>OCT. NB VENTE NEUF BMW I</t>
  </si>
  <si>
    <t>OCT. NB VENTE USAGE DETAIL</t>
  </si>
  <si>
    <t>OCT. NB VENTE USAGE GROS</t>
  </si>
  <si>
    <t>PROFIT JUIN</t>
  </si>
  <si>
    <t>PROFIT JUILLET</t>
  </si>
  <si>
    <t>PROFIT AOUT</t>
  </si>
  <si>
    <t>PROFIT SPTEMBRE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</si>
</sst>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7" fillId="0" borderId="14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2" fontId="1" fillId="0" borderId="17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vertical="center"/>
    </xf>
    <xf numFmtId="3" fontId="1" fillId="0" borderId="41" xfId="1" applyNumberFormat="1" applyBorder="1" applyAlignment="1">
      <alignment horizontal="right" vertical="center"/>
    </xf>
    <xf numFmtId="3" fontId="1" fillId="0" borderId="56" xfId="1" applyNumberFormat="1" applyBorder="1" applyAlignment="1">
      <alignment horizontal="right" vertical="center"/>
    </xf>
    <xf numFmtId="3" fontId="1" fillId="0" borderId="59" xfId="1" applyNumberFormat="1" applyBorder="1" applyAlignment="1">
      <alignment horizontal="right"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3" fontId="1" fillId="0" borderId="15" xfId="1" applyNumberFormat="1" applyBorder="1" applyAlignment="1">
      <alignment horizontal="right" vertical="center"/>
    </xf>
    <xf numFmtId="0" fontId="54" fillId="0" borderId="16" xfId="0" applyFont="1" applyBorder="1" applyAlignment="1">
      <alignment horizontal="right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0" fontId="54" fillId="0" borderId="56" xfId="0" applyFont="1" applyBorder="1" applyAlignment="1">
      <alignment horizontal="right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vertical="center" wrapText="1"/>
    </xf>
    <xf numFmtId="3" fontId="1" fillId="3" borderId="14" xfId="1" applyNumberForma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52" zoomScale="80" zoomScaleNormal="80" zoomScaleSheetLayoutView="75" workbookViewId="0">
      <selection activeCell="F6" sqref="F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45566</v>
      </c>
      <c r="W1" s="792" t="s">
        <v>53</v>
      </c>
      <c r="X1" s="793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150645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2291775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103854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-41952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2250523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254499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19237</v>
      </c>
      <c r="J11" s="10">
        <v>210</v>
      </c>
      <c r="K11" s="20">
        <f>VLOOKUP(AC11,'FS Data'!$A:$B,2,FALSE)</f>
        <v>147350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32232</v>
      </c>
      <c r="J12" s="10">
        <v>220</v>
      </c>
      <c r="K12" s="20">
        <f>VLOOKUP(AC12,'FS Data'!$A:$B,2,FALSE)</f>
        <v>332363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8697046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102809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820303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187617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36945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0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807084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9517349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28</v>
      </c>
      <c r="J20" s="10">
        <v>230</v>
      </c>
      <c r="K20" s="20">
        <f>VLOOKUP(AC20,'FS Data'!$A:$B,2,FALSE)</f>
        <v>2036073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54</v>
      </c>
      <c r="J21" s="10">
        <v>232</v>
      </c>
      <c r="K21" s="20">
        <f>VLOOKUP(AC21,'FS Data'!$A:$B,2,FALSE)</f>
        <v>3924858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18</v>
      </c>
      <c r="J22" s="10">
        <v>234</v>
      </c>
      <c r="K22" s="20">
        <f>VLOOKUP(AC22,'FS Data'!$A:$B,2,FALSE)</f>
        <v>1751033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198897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25351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56403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-57429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7711964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769562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83753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85">
        <f>VLOOKUP(Z29,'FS Data'!$A:$B,2,FALSE)</f>
        <v>8</v>
      </c>
      <c r="F29" s="785"/>
      <c r="G29" s="786" t="s">
        <v>498</v>
      </c>
      <c r="H29" s="787"/>
      <c r="I29" s="138">
        <f>VLOOKUP(AA29,'FS Data'!$A:$B,2,FALSE)</f>
        <v>5</v>
      </c>
      <c r="J29" s="10" t="s">
        <v>111</v>
      </c>
      <c r="K29" s="20">
        <f>VLOOKUP(AC29,'FS Data'!$A:$B,2,FALSE)</f>
        <v>364774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85">
        <f>VLOOKUP(Z30,'FS Data'!$A:$B,2,FALSE)</f>
        <v>12</v>
      </c>
      <c r="F30" s="785"/>
      <c r="G30" s="786" t="s">
        <v>498</v>
      </c>
      <c r="H30" s="787"/>
      <c r="I30" s="138">
        <f>VLOOKUP(AA30,'FS Data'!$A:$B,2,FALSE)</f>
        <v>5</v>
      </c>
      <c r="J30" s="23" t="s">
        <v>112</v>
      </c>
      <c r="K30" s="20">
        <f>VLOOKUP(AC30,'FS Data'!$A:$B,2,FALSE)</f>
        <v>414077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85">
        <f>VLOOKUP(Z31,'FS Data'!$A:$B,2,FALSE)</f>
        <v>0</v>
      </c>
      <c r="F31" s="785"/>
      <c r="G31" s="786" t="s">
        <v>498</v>
      </c>
      <c r="H31" s="787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349122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85">
        <f>VLOOKUP(Z32,'FS Data'!$A:$B,2,FALSE)</f>
        <v>15</v>
      </c>
      <c r="F32" s="785"/>
      <c r="G32" s="786" t="s">
        <v>498</v>
      </c>
      <c r="H32" s="787"/>
      <c r="I32" s="138">
        <f>VLOOKUP(AA32,'FS Data'!$A:$B,2,FALSE)</f>
        <v>6</v>
      </c>
      <c r="J32" s="10" t="s">
        <v>114</v>
      </c>
      <c r="K32" s="20">
        <f>VLOOKUP(AC32,'FS Data'!$A:$B,2,FALSE)</f>
        <v>451523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1414051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91">
        <f>VLOOKUP(Z33,'FS Data'!$A:$B,2,FALSE)</f>
        <v>0</v>
      </c>
      <c r="F33" s="791"/>
      <c r="G33" s="786" t="s">
        <v>498</v>
      </c>
      <c r="H33" s="787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1230374</v>
      </c>
      <c r="L34" s="13">
        <v>31</v>
      </c>
      <c r="M34" s="788" t="s">
        <v>525</v>
      </c>
      <c r="N34" s="789"/>
      <c r="O34" s="789"/>
      <c r="P34" s="789"/>
      <c r="Q34" s="789"/>
      <c r="R34" s="789"/>
      <c r="S34" s="789"/>
      <c r="T34" s="789"/>
      <c r="U34" s="789"/>
      <c r="V34" s="790"/>
      <c r="W34" s="20">
        <f>VLOOKUP(AL34,'FS Data'!$A:$B,2,FALSE)</f>
        <v>11185899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290524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290524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12287630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-1433</v>
      </c>
      <c r="L46" s="13">
        <v>43</v>
      </c>
      <c r="M46" s="48" t="s">
        <v>200</v>
      </c>
      <c r="N46" s="782">
        <f>VLOOKUP(AI46,'FS Data'!$A:$B,2,FALSE)</f>
        <v>1275130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2794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158155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159516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9392378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11044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11044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6" t="s">
        <v>547</v>
      </c>
      <c r="N60" s="777"/>
      <c r="O60" s="777"/>
      <c r="P60" s="777"/>
      <c r="Q60" s="777"/>
      <c r="R60" s="777"/>
      <c r="S60" s="777"/>
      <c r="T60" s="777"/>
      <c r="U60" s="778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9"/>
      <c r="N61" s="780"/>
      <c r="O61" s="780"/>
      <c r="P61" s="780"/>
      <c r="Q61" s="780"/>
      <c r="R61" s="780"/>
      <c r="S61" s="780"/>
      <c r="T61" s="780"/>
      <c r="U61" s="780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12461029</v>
      </c>
      <c r="L62" s="13">
        <v>59</v>
      </c>
      <c r="M62" s="54"/>
      <c r="N62" s="781" t="s">
        <v>548</v>
      </c>
      <c r="O62" s="774"/>
      <c r="P62" s="774"/>
      <c r="Q62" s="775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73" t="s">
        <v>201</v>
      </c>
      <c r="E64" s="774"/>
      <c r="F64" s="774"/>
      <c r="G64" s="774"/>
      <c r="H64" s="775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69">
        <f>VLOOKUP(Z65,'FS Data'!$A:$B,2,FALSE)</f>
        <v>0</v>
      </c>
      <c r="E65" s="770"/>
      <c r="F65" s="770"/>
      <c r="G65" s="770"/>
      <c r="H65" s="771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69">
        <f>VLOOKUP(Z66,'FS Data'!$A:$B,2,FALSE)</f>
        <v>0</v>
      </c>
      <c r="E66" s="770"/>
      <c r="F66" s="770"/>
      <c r="G66" s="770"/>
      <c r="H66" s="771"/>
      <c r="I66" s="769">
        <f>VLOOKUP(AA66,'FS Data'!$A:$B,2,FALSE)</f>
        <v>0</v>
      </c>
      <c r="J66" s="772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168782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69">
        <f>VLOOKUP(Z67,'FS Data'!$A:$B,2,FALSE)</f>
        <v>660240</v>
      </c>
      <c r="E67" s="770"/>
      <c r="F67" s="770"/>
      <c r="G67" s="770"/>
      <c r="H67" s="771"/>
      <c r="I67" s="769">
        <f>VLOOKUP(AA67,'FS Data'!$A:$B,2,FALSE)</f>
        <v>441279</v>
      </c>
      <c r="J67" s="772"/>
      <c r="K67" s="20">
        <f>VLOOKUP(AC67,'FS Data'!$A:$B,2,FALSE)</f>
        <v>218961</v>
      </c>
      <c r="L67" s="13">
        <v>64</v>
      </c>
      <c r="M67" s="681" t="s">
        <v>212</v>
      </c>
      <c r="N67" s="115">
        <f>VLOOKUP(AD67,'FS Data'!$A:$B,2,FALSE)</f>
        <v>8</v>
      </c>
      <c r="O67" s="115">
        <f>VLOOKUP(AE67,'FS Data'!$A:$B,2,FALSE)</f>
        <v>14</v>
      </c>
      <c r="P67" s="231">
        <f>VLOOKUP(AF67,'FS Data'!$A:$B,2,FALSE)</f>
        <v>8</v>
      </c>
      <c r="Q67" s="115">
        <f>VLOOKUP(AG67,'FS Data'!$A:$B,2,FALSE)</f>
        <v>0</v>
      </c>
      <c r="R67" s="115">
        <f>VLOOKUP(AH67,'FS Data'!$A:$B,2,FALSE)</f>
        <v>28</v>
      </c>
      <c r="S67" s="115">
        <f>VLOOKUP(AI67,'FS Data'!$A:$B,2,FALSE)</f>
        <v>0</v>
      </c>
      <c r="T67" s="584">
        <f>VLOOKUP(AJ67,'FS Data'!$A:$B,2,FALSE)</f>
        <v>16</v>
      </c>
      <c r="U67" s="584">
        <f>VLOOKUP(AK67,'FS Data'!$A:$B,2,FALSE)</f>
        <v>127079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69">
        <f>VLOOKUP(Z68,'FS Data'!$A:$B,2,FALSE)</f>
        <v>17171</v>
      </c>
      <c r="E68" s="770"/>
      <c r="F68" s="770"/>
      <c r="G68" s="770"/>
      <c r="H68" s="771"/>
      <c r="I68" s="769">
        <f>VLOOKUP(AA68,'FS Data'!$A:$B,2,FALSE)</f>
        <v>15236</v>
      </c>
      <c r="J68" s="772"/>
      <c r="K68" s="20">
        <f>VLOOKUP(AC68,'FS Data'!$A:$B,2,FALSE)</f>
        <v>1935</v>
      </c>
      <c r="L68" s="13">
        <v>65</v>
      </c>
      <c r="M68" s="681" t="s">
        <v>210</v>
      </c>
      <c r="N68" s="115">
        <f>VLOOKUP(AD68,'FS Data'!$A:$B,2,FALSE)</f>
        <v>6</v>
      </c>
      <c r="O68" s="115">
        <f>VLOOKUP(AE68,'FS Data'!$A:$B,2,FALSE)</f>
        <v>24</v>
      </c>
      <c r="P68" s="231">
        <f>VLOOKUP(AF68,'FS Data'!$A:$B,2,FALSE)</f>
        <v>9</v>
      </c>
      <c r="Q68" s="115">
        <f>VLOOKUP(AG68,'FS Data'!$A:$B,2,FALSE)</f>
        <v>0</v>
      </c>
      <c r="R68" s="115">
        <f>VLOOKUP(AH68,'FS Data'!$A:$B,2,FALSE)</f>
        <v>24</v>
      </c>
      <c r="S68" s="115">
        <f>VLOOKUP(AI68,'FS Data'!$A:$B,2,FALSE)</f>
        <v>0</v>
      </c>
      <c r="T68" s="584">
        <f>VLOOKUP(AJ68,'FS Data'!$A:$B,2,FALSE)</f>
        <v>21</v>
      </c>
      <c r="U68" s="584">
        <f>VLOOKUP(AK68,'FS Data'!$A:$B,2,FALSE)</f>
        <v>156307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69">
        <f>VLOOKUP(Z69,'FS Data'!$A:$B,2,FALSE)</f>
        <v>624075</v>
      </c>
      <c r="E69" s="770"/>
      <c r="F69" s="770"/>
      <c r="G69" s="770"/>
      <c r="H69" s="771"/>
      <c r="I69" s="769">
        <f>VLOOKUP(AA69,'FS Data'!$A:$B,2,FALSE)</f>
        <v>475646</v>
      </c>
      <c r="J69" s="772"/>
      <c r="K69" s="20">
        <f>VLOOKUP(AC69,'FS Data'!$A:$B,2,FALSE)</f>
        <v>148429</v>
      </c>
      <c r="L69" s="13">
        <v>66</v>
      </c>
      <c r="M69" s="681" t="s">
        <v>206</v>
      </c>
      <c r="N69" s="115">
        <f>VLOOKUP(AD69,'FS Data'!$A:$B,2,FALSE)</f>
        <v>4</v>
      </c>
      <c r="O69" s="115">
        <f>VLOOKUP(AE69,'FS Data'!$A:$B,2,FALSE)</f>
        <v>11</v>
      </c>
      <c r="P69" s="231">
        <f>VLOOKUP(AF69,'FS Data'!$A:$B,2,FALSE)</f>
        <v>3</v>
      </c>
      <c r="Q69" s="115">
        <f>VLOOKUP(AG69,'FS Data'!$A:$B,2,FALSE)</f>
        <v>0</v>
      </c>
      <c r="R69" s="115">
        <f>VLOOKUP(AH69,'FS Data'!$A:$B,2,FALSE)</f>
        <v>19</v>
      </c>
      <c r="S69" s="115">
        <f>VLOOKUP(AI69,'FS Data'!$A:$B,2,FALSE)</f>
        <v>0</v>
      </c>
      <c r="T69" s="584">
        <f>VLOOKUP(AJ69,'FS Data'!$A:$B,2,FALSE)</f>
        <v>27</v>
      </c>
      <c r="U69" s="584">
        <f>VLOOKUP(AK69,'FS Data'!$A:$B,2,FALSE)</f>
        <v>8396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69">
        <f>VLOOKUP(Z70,'FS Data'!$A:$B,2,FALSE)</f>
        <v>2145</v>
      </c>
      <c r="E70" s="770"/>
      <c r="F70" s="770"/>
      <c r="G70" s="770"/>
      <c r="H70" s="771"/>
      <c r="I70" s="769">
        <f>VLOOKUP(AA70,'FS Data'!$A:$B,2,FALSE)</f>
        <v>2145</v>
      </c>
      <c r="J70" s="772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13</v>
      </c>
      <c r="O70" s="115">
        <f>VLOOKUP(AE70,'FS Data'!$A:$B,2,FALSE)</f>
        <v>1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18</v>
      </c>
      <c r="S70" s="115">
        <f>VLOOKUP(AI70,'FS Data'!$A:$B,2,FALSE)</f>
        <v>0</v>
      </c>
      <c r="T70" s="584">
        <f>VLOOKUP(AJ70,'FS Data'!$A:$B,2,FALSE)</f>
        <v>20</v>
      </c>
      <c r="U70" s="584">
        <f>VLOOKUP(AK70,'FS Data'!$A:$B,2,FALSE)</f>
        <v>-2692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69">
        <f>VLOOKUP(Z71,'FS Data'!$A:$B,2,FALSE)</f>
        <v>1380660</v>
      </c>
      <c r="E71" s="770"/>
      <c r="F71" s="770"/>
      <c r="G71" s="770"/>
      <c r="H71" s="771"/>
      <c r="I71" s="769">
        <f>VLOOKUP(AA71,'FS Data'!$A:$B,2,FALSE)</f>
        <v>715405</v>
      </c>
      <c r="J71" s="772"/>
      <c r="K71" s="20">
        <f>VLOOKUP(AC71,'FS Data'!$A:$B,2,FALSE)</f>
        <v>665255</v>
      </c>
      <c r="L71" s="13">
        <v>68</v>
      </c>
      <c r="M71" s="681" t="s">
        <v>212</v>
      </c>
      <c r="N71" s="115">
        <f>VLOOKUP(AD71,'FS Data'!$A:$B,2,FALSE)</f>
        <v>2</v>
      </c>
      <c r="O71" s="115">
        <f>VLOOKUP(AE71,'FS Data'!$A:$B,2,FALSE)</f>
        <v>5</v>
      </c>
      <c r="P71" s="231">
        <f>VLOOKUP(AF71,'FS Data'!$A:$B,2,FALSE)</f>
        <v>8</v>
      </c>
      <c r="Q71" s="115">
        <f>VLOOKUP(AG71,'FS Data'!$A:$B,2,FALSE)</f>
        <v>0</v>
      </c>
      <c r="R71" s="115">
        <f>VLOOKUP(AH71,'FS Data'!$A:$B,2,FALSE)</f>
        <v>19</v>
      </c>
      <c r="S71" s="115">
        <f>VLOOKUP(AI71,'FS Data'!$A:$B,2,FALSE)</f>
        <v>0</v>
      </c>
      <c r="T71" s="584">
        <f>VLOOKUP(AJ71,'FS Data'!$A:$B,2,FALSE)</f>
        <v>17</v>
      </c>
      <c r="U71" s="584">
        <f>VLOOKUP(AK71,'FS Data'!$A:$B,2,FALSE)</f>
        <v>-18001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69">
        <f>VLOOKUP(Z72,'FS Data'!$A:$B,2,FALSE)</f>
        <v>0</v>
      </c>
      <c r="E72" s="770"/>
      <c r="F72" s="770"/>
      <c r="G72" s="770"/>
      <c r="H72" s="771"/>
      <c r="I72" s="769">
        <f>VLOOKUP(AA72,'FS Data'!$A:$B,2,FALSE)</f>
        <v>0</v>
      </c>
      <c r="J72" s="772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5</v>
      </c>
      <c r="O72" s="115">
        <f>VLOOKUP(AE72,'FS Data'!$A:$B,2,FALSE)</f>
        <v>19</v>
      </c>
      <c r="P72" s="231">
        <f>VLOOKUP(AF72,'FS Data'!$A:$B,2,FALSE)</f>
        <v>5</v>
      </c>
      <c r="Q72" s="115">
        <f>VLOOKUP(AG72,'FS Data'!$A:$B,2,FALSE)</f>
        <v>0</v>
      </c>
      <c r="R72" s="115">
        <f>VLOOKUP(AH72,'FS Data'!$A:$B,2,FALSE)</f>
        <v>17</v>
      </c>
      <c r="S72" s="115">
        <f>VLOOKUP(AI72,'FS Data'!$A:$B,2,FALSE)</f>
        <v>0</v>
      </c>
      <c r="T72" s="584">
        <f>VLOOKUP(AJ72,'FS Data'!$A:$B,2,FALSE)</f>
        <v>29</v>
      </c>
      <c r="U72" s="584">
        <f>VLOOKUP(AK72,'FS Data'!$A:$B,2,FALSE)</f>
        <v>82058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1034580</v>
      </c>
      <c r="L73" s="13">
        <v>70</v>
      </c>
      <c r="M73" s="681" t="s">
        <v>216</v>
      </c>
      <c r="N73" s="115">
        <f>VLOOKUP(AD73,'FS Data'!$A:$B,2,FALSE)</f>
        <v>4</v>
      </c>
      <c r="O73" s="115">
        <f>VLOOKUP(AE73,'FS Data'!$A:$B,2,FALSE)</f>
        <v>13</v>
      </c>
      <c r="P73" s="231">
        <f>VLOOKUP(AF73,'FS Data'!$A:$B,2,FALSE)</f>
        <v>7</v>
      </c>
      <c r="Q73" s="115">
        <f>VLOOKUP(AG73,'FS Data'!$A:$B,2,FALSE)</f>
        <v>0</v>
      </c>
      <c r="R73" s="115">
        <f>VLOOKUP(AH73,'FS Data'!$A:$B,2,FALSE)</f>
        <v>14</v>
      </c>
      <c r="S73" s="115">
        <f>VLOOKUP(AI73,'FS Data'!$A:$B,2,FALSE)</f>
        <v>0</v>
      </c>
      <c r="T73" s="584">
        <f>VLOOKUP(AJ73,'FS Data'!$A:$B,2,FALSE)</f>
        <v>20</v>
      </c>
      <c r="U73" s="584">
        <f>VLOOKUP(AK73,'FS Data'!$A:$B,2,FALSE)</f>
        <v>81576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51</v>
      </c>
      <c r="O76" s="115">
        <f>VLOOKUP(AE76,'FS Data'!$A:$B,2,FALSE)</f>
        <v>110</v>
      </c>
      <c r="P76" s="231">
        <f>VLOOKUP(AF76,'FS Data'!$A:$B,2,FALSE)</f>
        <v>47</v>
      </c>
      <c r="Q76" s="115">
        <f>VLOOKUP(AG76,'FS Data'!$A:$B,2,FALSE)</f>
        <v>0</v>
      </c>
      <c r="R76" s="115">
        <f>VLOOKUP(AH76,'FS Data'!$A:$B,2,FALSE)</f>
        <v>178</v>
      </c>
      <c r="S76" s="115">
        <f>VLOOKUP(AI76,'FS Data'!$A:$B,2,FALSE)</f>
        <v>0</v>
      </c>
      <c r="T76" s="588">
        <f>VLOOKUP(AJ76,'FS Data'!$A:$B,2,FALSE)</f>
        <v>187</v>
      </c>
      <c r="U76" s="576" t="s">
        <v>156</v>
      </c>
      <c r="V76" s="60">
        <v>399</v>
      </c>
      <c r="W76" s="20">
        <f>VLOOKUP(AL76,'FS Data'!$A:$B,2,FALSE)</f>
        <v>383361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8115940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2050000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20403570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6907961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20403570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W1:X1"/>
    <mergeCell ref="E31:F31"/>
    <mergeCell ref="E29:F29"/>
    <mergeCell ref="G29:H29"/>
    <mergeCell ref="G30:H30"/>
    <mergeCell ref="E30:F30"/>
    <mergeCell ref="E32:F32"/>
    <mergeCell ref="G31:H31"/>
    <mergeCell ref="M34:V34"/>
    <mergeCell ref="E33:F33"/>
    <mergeCell ref="G32:H32"/>
    <mergeCell ref="G33:H33"/>
    <mergeCell ref="M60:U60"/>
    <mergeCell ref="M61:U61"/>
    <mergeCell ref="N62:Q62"/>
    <mergeCell ref="V46:W46"/>
    <mergeCell ref="N46:R46"/>
    <mergeCell ref="D64:H64"/>
    <mergeCell ref="D69:H69"/>
    <mergeCell ref="I67:J67"/>
    <mergeCell ref="I68:J68"/>
    <mergeCell ref="D65:H65"/>
    <mergeCell ref="D66:H66"/>
    <mergeCell ref="D67:H67"/>
    <mergeCell ref="I66:J66"/>
    <mergeCell ref="D70:H70"/>
    <mergeCell ref="D71:H71"/>
    <mergeCell ref="D72:H72"/>
    <mergeCell ref="D68:H68"/>
    <mergeCell ref="I69:J69"/>
    <mergeCell ref="I71:J71"/>
    <mergeCell ref="I72:J72"/>
    <mergeCell ref="I70:J7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A6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4" t="s">
        <v>629</v>
      </c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188"/>
      <c r="Q1" s="217" t="s">
        <v>45</v>
      </c>
    </row>
    <row r="2" spans="2:30" ht="18.75" customHeight="1" x14ac:dyDescent="0.25">
      <c r="B2" s="796" t="s">
        <v>494</v>
      </c>
      <c r="C2" s="798" t="s">
        <v>557</v>
      </c>
      <c r="D2" s="799"/>
      <c r="E2" s="802" t="s">
        <v>493</v>
      </c>
      <c r="F2" s="804" t="s">
        <v>622</v>
      </c>
      <c r="G2" s="805"/>
      <c r="H2" s="805"/>
      <c r="I2" s="806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7"/>
      <c r="C3" s="800"/>
      <c r="D3" s="801"/>
      <c r="E3" s="803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4042886</v>
      </c>
      <c r="G4" s="491"/>
      <c r="H4" s="118">
        <f>VLOOKUP(U4,'FS Data'!$A:$B,2,FALSE)</f>
        <v>37653284</v>
      </c>
      <c r="I4" s="492"/>
      <c r="J4" s="20">
        <f>VLOOKUP(W4,'FS Data'!$A:$B,2,FALSE)</f>
        <v>4036371</v>
      </c>
      <c r="K4" s="491"/>
      <c r="L4" s="118">
        <f>VLOOKUP(Y4,'FS Data'!$A:$B,2,FALSE)</f>
        <v>37628527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516147</v>
      </c>
      <c r="G5" s="272">
        <f>VLOOKUP(T5,'FS Data'!$A:$B,2,FALSE)/10</f>
        <v>12.8</v>
      </c>
      <c r="H5" s="118">
        <f>VLOOKUP(U5,'FS Data'!$A:$B,2,FALSE)</f>
        <v>4248739</v>
      </c>
      <c r="I5" s="191">
        <f>VLOOKUP(V5,'FS Data'!$A:$B,2,FALSE)/10</f>
        <v>11.3</v>
      </c>
      <c r="J5" s="20">
        <f>VLOOKUP(W5,'FS Data'!$A:$B,2,FALSE)</f>
        <v>515458</v>
      </c>
      <c r="K5" s="272">
        <f>VLOOKUP(X5,'FS Data'!$A:$B,2,FALSE)/10</f>
        <v>12.8</v>
      </c>
      <c r="L5" s="118">
        <f>VLOOKUP(Y5,'FS Data'!$A:$B,2,FALSE)</f>
        <v>4245266</v>
      </c>
      <c r="M5" s="191">
        <f>VLOOKUP(Z5,'FS Data'!$A:$B,2,FALSE)/10</f>
        <v>11.3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1402</v>
      </c>
      <c r="H6" s="763"/>
      <c r="I6" s="762" t="s">
        <v>1402</v>
      </c>
      <c r="J6" s="764"/>
      <c r="K6" s="762" t="s">
        <v>1402</v>
      </c>
      <c r="L6" s="763"/>
      <c r="M6" s="762" t="s">
        <v>1402</v>
      </c>
      <c r="N6" s="761"/>
      <c r="O6" s="762" t="s">
        <v>1402</v>
      </c>
      <c r="P6" s="763"/>
      <c r="Q6" s="762" t="s">
        <v>1402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40088</v>
      </c>
      <c r="G7" s="272">
        <f>VLOOKUP(T7,'FS Data'!$A:$B,2,FALSE)/10</f>
        <v>7.8</v>
      </c>
      <c r="H7" s="118">
        <f>VLOOKUP(U7,'FS Data'!$A:$B,2,FALSE)</f>
        <v>370918</v>
      </c>
      <c r="I7" s="191">
        <f>VLOOKUP(V7,'FS Data'!$A:$B,2,FALSE)/10</f>
        <v>8.6999999999999993</v>
      </c>
      <c r="J7" s="20">
        <f>VLOOKUP(W7,'FS Data'!$A:$B,2,FALSE)</f>
        <v>40088</v>
      </c>
      <c r="K7" s="272">
        <f>VLOOKUP(X7,'FS Data'!$A:$B,2,FALSE)/10</f>
        <v>7.8</v>
      </c>
      <c r="L7" s="118">
        <f>VLOOKUP(Y7,'FS Data'!$A:$B,2,FALSE)</f>
        <v>370918</v>
      </c>
      <c r="M7" s="191">
        <f>VLOOKUP(Z7,'FS Data'!$A:$B,2,FALSE)/10</f>
        <v>8.6999999999999993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13482</v>
      </c>
      <c r="G8" s="272">
        <f>VLOOKUP(T8,'FS Data'!$A:$B,2,FALSE)/10</f>
        <v>2.6</v>
      </c>
      <c r="H8" s="118">
        <f>VLOOKUP(U8,'FS Data'!$A:$B,2,FALSE)</f>
        <v>201604</v>
      </c>
      <c r="I8" s="191">
        <f>VLOOKUP(V8,'FS Data'!$A:$B,2,FALSE)/10</f>
        <v>4.7</v>
      </c>
      <c r="J8" s="20">
        <f>VLOOKUP(W8,'FS Data'!$A:$B,2,FALSE)</f>
        <v>13482</v>
      </c>
      <c r="K8" s="272">
        <f>VLOOKUP(X8,'FS Data'!$A:$B,2,FALSE)/10</f>
        <v>2.6</v>
      </c>
      <c r="L8" s="118">
        <f>VLOOKUP(Y8,'FS Data'!$A:$B,2,FALSE)</f>
        <v>201604</v>
      </c>
      <c r="M8" s="191">
        <f>VLOOKUP(Z8,'FS Data'!$A:$B,2,FALSE)/10</f>
        <v>4.7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7843</v>
      </c>
      <c r="G9" s="272">
        <f>VLOOKUP(T9,'FS Data'!$A:$B,2,FALSE)/10</f>
        <v>1.5</v>
      </c>
      <c r="H9" s="118">
        <f>VLOOKUP(U9,'FS Data'!$A:$B,2,FALSE)</f>
        <v>73329</v>
      </c>
      <c r="I9" s="191">
        <f>VLOOKUP(V9,'FS Data'!$A:$B,2,FALSE)/10</f>
        <v>1.7</v>
      </c>
      <c r="J9" s="20">
        <f>VLOOKUP(W9,'FS Data'!$A:$B,2,FALSE)</f>
        <v>7843</v>
      </c>
      <c r="K9" s="272">
        <f>VLOOKUP(X9,'FS Data'!$A:$B,2,FALSE)/10</f>
        <v>1.5</v>
      </c>
      <c r="L9" s="118">
        <f>VLOOKUP(Y9,'FS Data'!$A:$B,2,FALSE)</f>
        <v>73329</v>
      </c>
      <c r="M9" s="191">
        <f>VLOOKUP(Z9,'FS Data'!$A:$B,2,FALSE)/10</f>
        <v>1.7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46970</v>
      </c>
      <c r="G10" s="272">
        <f>VLOOKUP(T10,'FS Data'!$A:$B,2,FALSE)/10</f>
        <v>9.1</v>
      </c>
      <c r="H10" s="118">
        <f>VLOOKUP(U10,'FS Data'!$A:$B,2,FALSE)</f>
        <v>329871</v>
      </c>
      <c r="I10" s="191">
        <f>VLOOKUP(V10,'FS Data'!$A:$B,2,FALSE)/10</f>
        <v>7.8</v>
      </c>
      <c r="J10" s="20">
        <f>VLOOKUP(W10,'FS Data'!$A:$B,2,FALSE)</f>
        <v>46963</v>
      </c>
      <c r="K10" s="272">
        <f>VLOOKUP(X10,'FS Data'!$A:$B,2,FALSE)/10</f>
        <v>9.1</v>
      </c>
      <c r="L10" s="118">
        <f>VLOOKUP(Y10,'FS Data'!$A:$B,2,FALSE)</f>
        <v>329760</v>
      </c>
      <c r="M10" s="191">
        <f>VLOOKUP(Z10,'FS Data'!$A:$B,2,FALSE)/10</f>
        <v>7.8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315</v>
      </c>
      <c r="G11" s="272">
        <f>VLOOKUP(T11,'FS Data'!$A:$B,2,FALSE)/10</f>
        <v>0.1</v>
      </c>
      <c r="H11" s="118">
        <f>VLOOKUP(U11,'FS Data'!$A:$B,2,FALSE)</f>
        <v>-3988</v>
      </c>
      <c r="I11" s="191">
        <f>VLOOKUP(V11,'FS Data'!$A:$B,2,FALSE)/10</f>
        <v>-0.1</v>
      </c>
      <c r="J11" s="20">
        <f>VLOOKUP(W11,'FS Data'!$A:$B,2,FALSE)</f>
        <v>315</v>
      </c>
      <c r="K11" s="272">
        <f>VLOOKUP(X11,'FS Data'!$A:$B,2,FALSE)/10</f>
        <v>0.1</v>
      </c>
      <c r="L11" s="118">
        <f>VLOOKUP(Y11,'FS Data'!$A:$B,2,FALSE)</f>
        <v>-3988</v>
      </c>
      <c r="M11" s="191">
        <f>VLOOKUP(Z11,'FS Data'!$A:$B,2,FALSE)/10</f>
        <v>-0.1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3500</v>
      </c>
      <c r="G12" s="272">
        <f>VLOOKUP(T12,'FS Data'!$A:$B,2,FALSE)/10</f>
        <v>0.7</v>
      </c>
      <c r="H12" s="120">
        <f>VLOOKUP(U12,'FS Data'!$A:$B,2,FALSE)</f>
        <v>35100</v>
      </c>
      <c r="I12" s="191">
        <f>VLOOKUP(V12,'FS Data'!$A:$B,2,FALSE)/10</f>
        <v>0.8</v>
      </c>
      <c r="J12" s="116">
        <f>VLOOKUP(W12,'FS Data'!$A:$B,2,FALSE)</f>
        <v>3500</v>
      </c>
      <c r="K12" s="272">
        <f>VLOOKUP(X12,'FS Data'!$A:$B,2,FALSE)/10</f>
        <v>0.7</v>
      </c>
      <c r="L12" s="120">
        <f>VLOOKUP(Y12,'FS Data'!$A:$B,2,FALSE)</f>
        <v>35100</v>
      </c>
      <c r="M12" s="191">
        <f>VLOOKUP(Z12,'FS Data'!$A:$B,2,FALSE)/10</f>
        <v>0.8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19964</v>
      </c>
      <c r="G13" s="272">
        <f>VLOOKUP(T13,'FS Data'!$A:$B,2,FALSE)/10</f>
        <v>3.9</v>
      </c>
      <c r="H13" s="118">
        <f>VLOOKUP(U13,'FS Data'!$A:$B,2,FALSE)</f>
        <v>317239</v>
      </c>
      <c r="I13" s="191">
        <f>VLOOKUP(V13,'FS Data'!$A:$B,2,FALSE)/10</f>
        <v>7.5</v>
      </c>
      <c r="J13" s="20">
        <f>VLOOKUP(W13,'FS Data'!$A:$B,2,FALSE)</f>
        <v>19964</v>
      </c>
      <c r="K13" s="272">
        <f>VLOOKUP(X13,'FS Data'!$A:$B,2,FALSE)/10</f>
        <v>3.9</v>
      </c>
      <c r="L13" s="118">
        <f>VLOOKUP(Y13,'FS Data'!$A:$B,2,FALSE)</f>
        <v>317239</v>
      </c>
      <c r="M13" s="191">
        <f>VLOOKUP(Z13,'FS Data'!$A:$B,2,FALSE)/10</f>
        <v>7.5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125162</v>
      </c>
      <c r="G15" s="272">
        <f>VLOOKUP(T15,'FS Data'!$A:$B,2,FALSE)/10</f>
        <v>24.2</v>
      </c>
      <c r="H15" s="126">
        <f>VLOOKUP(U15,'FS Data'!$A:$B,2,FALSE)</f>
        <v>1253873</v>
      </c>
      <c r="I15" s="191">
        <f>VLOOKUP(V15,'FS Data'!$A:$B,2,FALSE)/10</f>
        <v>29.5</v>
      </c>
      <c r="J15" s="115">
        <f>VLOOKUP(W15,'FS Data'!$A:$B,2,FALSE)</f>
        <v>125155</v>
      </c>
      <c r="K15" s="272">
        <f>VLOOKUP(X15,'FS Data'!$A:$B,2,FALSE)/10</f>
        <v>24.3</v>
      </c>
      <c r="L15" s="126">
        <f>VLOOKUP(Y15,'FS Data'!$A:$B,2,FALSE)</f>
        <v>1253762</v>
      </c>
      <c r="M15" s="191">
        <f>VLOOKUP(Z15,'FS Data'!$A:$B,2,FALSE)/10</f>
        <v>29.5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15620</v>
      </c>
      <c r="G16" s="274">
        <f>VLOOKUP(T16,'FS Data'!$A:$B,2,FALSE)/10</f>
        <v>3</v>
      </c>
      <c r="H16" s="118">
        <f>VLOOKUP(U16,'FS Data'!$A:$B,2,FALSE)</f>
        <v>134111</v>
      </c>
      <c r="I16" s="193">
        <f>VLOOKUP(V16,'FS Data'!$A:$B,2,FALSE)/10</f>
        <v>3.2</v>
      </c>
      <c r="J16" s="20">
        <f>VLOOKUP(W16,'FS Data'!$A:$B,2,FALSE)</f>
        <v>15230</v>
      </c>
      <c r="K16" s="274">
        <f>VLOOKUP(X16,'FS Data'!$A:$B,2,FALSE)/10</f>
        <v>3</v>
      </c>
      <c r="L16" s="118">
        <f>VLOOKUP(Y16,'FS Data'!$A:$B,2,FALSE)</f>
        <v>130758</v>
      </c>
      <c r="M16" s="193">
        <f>VLOOKUP(Z16,'FS Data'!$A:$B,2,FALSE)/10</f>
        <v>3.1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34750</v>
      </c>
      <c r="G17" s="272">
        <f>VLOOKUP(T17,'FS Data'!$A:$B,2,FALSE)/10</f>
        <v>6.7</v>
      </c>
      <c r="H17" s="118">
        <f>VLOOKUP(U17,'FS Data'!$A:$B,2,FALSE)</f>
        <v>285366</v>
      </c>
      <c r="I17" s="191">
        <f>VLOOKUP(V17,'FS Data'!$A:$B,2,FALSE)/10</f>
        <v>6.7</v>
      </c>
      <c r="J17" s="20">
        <f>VLOOKUP(W17,'FS Data'!$A:$B,2,FALSE)</f>
        <v>34446</v>
      </c>
      <c r="K17" s="272">
        <f>VLOOKUP(X17,'FS Data'!$A:$B,2,FALSE)/10</f>
        <v>6.7</v>
      </c>
      <c r="L17" s="118">
        <f>VLOOKUP(Y17,'FS Data'!$A:$B,2,FALSE)</f>
        <v>282323</v>
      </c>
      <c r="M17" s="191">
        <f>VLOOKUP(Z17,'FS Data'!$A:$B,2,FALSE)/10</f>
        <v>6.7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21192</v>
      </c>
      <c r="G18" s="272">
        <f>VLOOKUP(T18,'FS Data'!$A:$B,2,FALSE)/10</f>
        <v>4.0999999999999996</v>
      </c>
      <c r="H18" s="118">
        <f>VLOOKUP(U18,'FS Data'!$A:$B,2,FALSE)</f>
        <v>193662</v>
      </c>
      <c r="I18" s="191">
        <f>VLOOKUP(V18,'FS Data'!$A:$B,2,FALSE)/10</f>
        <v>4.5999999999999996</v>
      </c>
      <c r="J18" s="20">
        <f>VLOOKUP(W18,'FS Data'!$A:$B,2,FALSE)</f>
        <v>20814</v>
      </c>
      <c r="K18" s="272">
        <f>VLOOKUP(X18,'FS Data'!$A:$B,2,FALSE)/10</f>
        <v>4</v>
      </c>
      <c r="L18" s="118">
        <f>VLOOKUP(Y18,'FS Data'!$A:$B,2,FALSE)</f>
        <v>190293</v>
      </c>
      <c r="M18" s="191">
        <f>VLOOKUP(Z18,'FS Data'!$A:$B,2,FALSE)/10</f>
        <v>4.5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15814</v>
      </c>
      <c r="G19" s="272">
        <f>VLOOKUP(T19,'FS Data'!$A:$B,2,FALSE)/10</f>
        <v>3.1</v>
      </c>
      <c r="H19" s="118">
        <f>VLOOKUP(U19,'FS Data'!$A:$B,2,FALSE)</f>
        <v>113392</v>
      </c>
      <c r="I19" s="191">
        <f>VLOOKUP(V19,'FS Data'!$A:$B,2,FALSE)/10</f>
        <v>2.7</v>
      </c>
      <c r="J19" s="20">
        <f>VLOOKUP(W19,'FS Data'!$A:$B,2,FALSE)</f>
        <v>15814</v>
      </c>
      <c r="K19" s="272">
        <f>VLOOKUP(X19,'FS Data'!$A:$B,2,FALSE)/10</f>
        <v>3.1</v>
      </c>
      <c r="L19" s="118">
        <f>VLOOKUP(Y19,'FS Data'!$A:$B,2,FALSE)</f>
        <v>113392</v>
      </c>
      <c r="M19" s="191">
        <f>VLOOKUP(Z19,'FS Data'!$A:$B,2,FALSE)/10</f>
        <v>2.7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28028</v>
      </c>
      <c r="G20" s="272">
        <f>VLOOKUP(T20,'FS Data'!$A:$B,2,FALSE)/10</f>
        <v>5.4</v>
      </c>
      <c r="H20" s="118">
        <f>VLOOKUP(U20,'FS Data'!$A:$B,2,FALSE)</f>
        <v>209477</v>
      </c>
      <c r="I20" s="191">
        <f>VLOOKUP(V20,'FS Data'!$A:$B,2,FALSE)/10</f>
        <v>4.9000000000000004</v>
      </c>
      <c r="J20" s="20">
        <f>VLOOKUP(W20,'FS Data'!$A:$B,2,FALSE)</f>
        <v>28009</v>
      </c>
      <c r="K20" s="272">
        <f>VLOOKUP(X20,'FS Data'!$A:$B,2,FALSE)/10</f>
        <v>5.4</v>
      </c>
      <c r="L20" s="118">
        <f>VLOOKUP(Y20,'FS Data'!$A:$B,2,FALSE)</f>
        <v>209287</v>
      </c>
      <c r="M20" s="191">
        <f>VLOOKUP(Z20,'FS Data'!$A:$B,2,FALSE)/10</f>
        <v>4.9000000000000004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21093</v>
      </c>
      <c r="G21" s="272">
        <f>VLOOKUP(T21,'FS Data'!$A:$B,2,FALSE)/10</f>
        <v>4.0999999999999996</v>
      </c>
      <c r="H21" s="118">
        <f>VLOOKUP(U21,'FS Data'!$A:$B,2,FALSE)</f>
        <v>215338</v>
      </c>
      <c r="I21" s="191">
        <f>VLOOKUP(V21,'FS Data'!$A:$B,2,FALSE)/10</f>
        <v>5.0999999999999996</v>
      </c>
      <c r="J21" s="20">
        <f>VLOOKUP(W21,'FS Data'!$A:$B,2,FALSE)</f>
        <v>21042</v>
      </c>
      <c r="K21" s="272">
        <f>VLOOKUP(X21,'FS Data'!$A:$B,2,FALSE)/10</f>
        <v>4.0999999999999996</v>
      </c>
      <c r="L21" s="118">
        <f>VLOOKUP(Y21,'FS Data'!$A:$B,2,FALSE)</f>
        <v>214377</v>
      </c>
      <c r="M21" s="191">
        <f>VLOOKUP(Z21,'FS Data'!$A:$B,2,FALSE)/10</f>
        <v>5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25104</v>
      </c>
      <c r="G22" s="272">
        <f>VLOOKUP(T22,'FS Data'!$A:$B,2,FALSE)/10</f>
        <v>4.9000000000000004</v>
      </c>
      <c r="H22" s="118">
        <f>VLOOKUP(U22,'FS Data'!$A:$B,2,FALSE)</f>
        <v>258765</v>
      </c>
      <c r="I22" s="191">
        <f>VLOOKUP(V22,'FS Data'!$A:$B,2,FALSE)/10</f>
        <v>6.1</v>
      </c>
      <c r="J22" s="20">
        <f>VLOOKUP(W22,'FS Data'!$A:$B,2,FALSE)</f>
        <v>24885</v>
      </c>
      <c r="K22" s="272">
        <f>VLOOKUP(X22,'FS Data'!$A:$B,2,FALSE)/10</f>
        <v>4.8</v>
      </c>
      <c r="L22" s="118">
        <f>VLOOKUP(Y22,'FS Data'!$A:$B,2,FALSE)</f>
        <v>255937</v>
      </c>
      <c r="M22" s="191">
        <f>VLOOKUP(Z22,'FS Data'!$A:$B,2,FALSE)/10</f>
        <v>6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15109</v>
      </c>
      <c r="G23" s="272">
        <f>VLOOKUP(T23,'FS Data'!$A:$B,2,FALSE)/10</f>
        <v>2.9</v>
      </c>
      <c r="H23" s="118">
        <f>VLOOKUP(U23,'FS Data'!$A:$B,2,FALSE)</f>
        <v>128589</v>
      </c>
      <c r="I23" s="191">
        <f>VLOOKUP(V23,'FS Data'!$A:$B,2,FALSE)/10</f>
        <v>3</v>
      </c>
      <c r="J23" s="20">
        <f>VLOOKUP(W23,'FS Data'!$A:$B,2,FALSE)</f>
        <v>15061</v>
      </c>
      <c r="K23" s="272">
        <f>VLOOKUP(X23,'FS Data'!$A:$B,2,FALSE)/10</f>
        <v>2.9</v>
      </c>
      <c r="L23" s="118">
        <f>VLOOKUP(Y23,'FS Data'!$A:$B,2,FALSE)</f>
        <v>128102</v>
      </c>
      <c r="M23" s="191">
        <f>VLOOKUP(Z23,'FS Data'!$A:$B,2,FALSE)/10</f>
        <v>3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2123</v>
      </c>
      <c r="G24" s="272">
        <f>VLOOKUP(T24,'FS Data'!$A:$B,2,FALSE)/10</f>
        <v>0.4</v>
      </c>
      <c r="H24" s="118">
        <f>VLOOKUP(U24,'FS Data'!$A:$B,2,FALSE)</f>
        <v>26867</v>
      </c>
      <c r="I24" s="191">
        <f>VLOOKUP(V24,'FS Data'!$A:$B,2,FALSE)/10</f>
        <v>0.6</v>
      </c>
      <c r="J24" s="20">
        <f>VLOOKUP(W24,'FS Data'!$A:$B,2,FALSE)</f>
        <v>2118</v>
      </c>
      <c r="K24" s="272">
        <f>VLOOKUP(X24,'FS Data'!$A:$B,2,FALSE)/10</f>
        <v>0.4</v>
      </c>
      <c r="L24" s="118">
        <f>VLOOKUP(Y24,'FS Data'!$A:$B,2,FALSE)</f>
        <v>26820</v>
      </c>
      <c r="M24" s="191">
        <f>VLOOKUP(Z24,'FS Data'!$A:$B,2,FALSE)/10</f>
        <v>0.6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178833</v>
      </c>
      <c r="G26" s="272">
        <f>VLOOKUP(T26,'FS Data'!$A:$B,2,FALSE)/10</f>
        <v>34.6</v>
      </c>
      <c r="H26" s="126">
        <f>VLOOKUP(U26,'FS Data'!$A:$B,2,FALSE)</f>
        <v>1565567</v>
      </c>
      <c r="I26" s="191">
        <f>VLOOKUP(V26,'FS Data'!$A:$B,2,FALSE)/10</f>
        <v>36.799999999999997</v>
      </c>
      <c r="J26" s="115">
        <f>VLOOKUP(W26,'FS Data'!$A:$B,2,FALSE)</f>
        <v>177419</v>
      </c>
      <c r="K26" s="272">
        <f>VLOOKUP(X26,'FS Data'!$A:$B,2,FALSE)/10</f>
        <v>34.4</v>
      </c>
      <c r="L26" s="126">
        <f>VLOOKUP(Y26,'FS Data'!$A:$B,2,FALSE)</f>
        <v>1551289</v>
      </c>
      <c r="M26" s="191">
        <f>VLOOKUP(Z26,'FS Data'!$A:$B,2,FALSE)/10</f>
        <v>36.5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740</v>
      </c>
      <c r="G28" s="272">
        <f>VLOOKUP(T28,'FS Data'!$A:$B,2,FALSE)/10</f>
        <v>0.1</v>
      </c>
      <c r="H28" s="118">
        <f>VLOOKUP(U28,'FS Data'!$A:$B,2,FALSE)</f>
        <v>11223</v>
      </c>
      <c r="I28" s="191">
        <f>VLOOKUP(V28,'FS Data'!$A:$B,2,FALSE)/10</f>
        <v>0.3</v>
      </c>
      <c r="J28" s="20">
        <f>VLOOKUP(W28,'FS Data'!$A:$B,2,FALSE)</f>
        <v>740</v>
      </c>
      <c r="K28" s="272">
        <f>VLOOKUP(X28,'FS Data'!$A:$B,2,FALSE)/10</f>
        <v>0.1</v>
      </c>
      <c r="L28" s="118">
        <f>VLOOKUP(Y28,'FS Data'!$A:$B,2,FALSE)</f>
        <v>11200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12703</v>
      </c>
      <c r="G29" s="272">
        <f>VLOOKUP(T29,'FS Data'!$A:$B,2,FALSE)/10</f>
        <v>2.5</v>
      </c>
      <c r="H29" s="118">
        <f>VLOOKUP(U29,'FS Data'!$A:$B,2,FALSE)</f>
        <v>110690</v>
      </c>
      <c r="I29" s="191">
        <f>VLOOKUP(V29,'FS Data'!$A:$B,2,FALSE)/10</f>
        <v>2.6</v>
      </c>
      <c r="J29" s="20">
        <f>VLOOKUP(W29,'FS Data'!$A:$B,2,FALSE)</f>
        <v>12532</v>
      </c>
      <c r="K29" s="272">
        <f>VLOOKUP(X29,'FS Data'!$A:$B,2,FALSE)/10</f>
        <v>2.4</v>
      </c>
      <c r="L29" s="118">
        <f>VLOOKUP(Y29,'FS Data'!$A:$B,2,FALSE)</f>
        <v>109163</v>
      </c>
      <c r="M29" s="191">
        <f>VLOOKUP(Z29,'FS Data'!$A:$B,2,FALSE)/10</f>
        <v>2.6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1904</v>
      </c>
      <c r="G30" s="272">
        <f>VLOOKUP(T30,'FS Data'!$A:$B,2,FALSE)/10</f>
        <v>0.4</v>
      </c>
      <c r="H30" s="118">
        <f>VLOOKUP(U30,'FS Data'!$A:$B,2,FALSE)</f>
        <v>14543</v>
      </c>
      <c r="I30" s="191">
        <f>VLOOKUP(V30,'FS Data'!$A:$B,2,FALSE)/10</f>
        <v>0.3</v>
      </c>
      <c r="J30" s="20">
        <f>VLOOKUP(W30,'FS Data'!$A:$B,2,FALSE)</f>
        <v>1856</v>
      </c>
      <c r="K30" s="272">
        <f>VLOOKUP(X30,'FS Data'!$A:$B,2,FALSE)/10</f>
        <v>0.4</v>
      </c>
      <c r="L30" s="118">
        <f>VLOOKUP(Y30,'FS Data'!$A:$B,2,FALSE)</f>
        <v>14243</v>
      </c>
      <c r="M30" s="191">
        <f>VLOOKUP(Z30,'FS Data'!$A:$B,2,FALSE)/10</f>
        <v>0.3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2684</v>
      </c>
      <c r="G31" s="272">
        <f>VLOOKUP(T31,'FS Data'!$A:$B,2,FALSE)/10</f>
        <v>0.5</v>
      </c>
      <c r="H31" s="118">
        <f>VLOOKUP(U31,'FS Data'!$A:$B,2,FALSE)</f>
        <v>11559</v>
      </c>
      <c r="I31" s="191">
        <f>VLOOKUP(V31,'FS Data'!$A:$B,2,FALSE)/10</f>
        <v>0.3</v>
      </c>
      <c r="J31" s="20">
        <f>VLOOKUP(W31,'FS Data'!$A:$B,2,FALSE)</f>
        <v>2684</v>
      </c>
      <c r="K31" s="272">
        <f>VLOOKUP(X31,'FS Data'!$A:$B,2,FALSE)/10</f>
        <v>0.5</v>
      </c>
      <c r="L31" s="118">
        <f>VLOOKUP(Y31,'FS Data'!$A:$B,2,FALSE)</f>
        <v>11559</v>
      </c>
      <c r="M31" s="191">
        <f>VLOOKUP(Z31,'FS Data'!$A:$B,2,FALSE)/10</f>
        <v>0.3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3266</v>
      </c>
      <c r="G32" s="272">
        <f>VLOOKUP(T32,'FS Data'!$A:$B,2,FALSE)/10</f>
        <v>0.6</v>
      </c>
      <c r="H32" s="118">
        <f>VLOOKUP(U32,'FS Data'!$A:$B,2,FALSE)</f>
        <v>11774</v>
      </c>
      <c r="I32" s="191">
        <f>VLOOKUP(V32,'FS Data'!$A:$B,2,FALSE)/10</f>
        <v>0.3</v>
      </c>
      <c r="J32" s="20">
        <f>VLOOKUP(W32,'FS Data'!$A:$B,2,FALSE)</f>
        <v>3266</v>
      </c>
      <c r="K32" s="272">
        <f>VLOOKUP(X32,'FS Data'!$A:$B,2,FALSE)/10</f>
        <v>0.6</v>
      </c>
      <c r="L32" s="118">
        <f>VLOOKUP(Y32,'FS Data'!$A:$B,2,FALSE)</f>
        <v>11774</v>
      </c>
      <c r="M32" s="191">
        <f>VLOOKUP(Z32,'FS Data'!$A:$B,2,FALSE)/10</f>
        <v>0.3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3586</v>
      </c>
      <c r="G34" s="272">
        <f>VLOOKUP(T34,'FS Data'!$A:$B,2,FALSE)/10</f>
        <v>0.7</v>
      </c>
      <c r="H34" s="118">
        <f>VLOOKUP(U34,'FS Data'!$A:$B,2,FALSE)</f>
        <v>48914</v>
      </c>
      <c r="I34" s="191">
        <f>VLOOKUP(V34,'FS Data'!$A:$B,2,FALSE)/10</f>
        <v>1.2</v>
      </c>
      <c r="J34" s="20">
        <f>VLOOKUP(W34,'FS Data'!$A:$B,2,FALSE)</f>
        <v>3586</v>
      </c>
      <c r="K34" s="272">
        <f>VLOOKUP(X34,'FS Data'!$A:$B,2,FALSE)/10</f>
        <v>0.7</v>
      </c>
      <c r="L34" s="118">
        <f>VLOOKUP(Y34,'FS Data'!$A:$B,2,FALSE)</f>
        <v>48776</v>
      </c>
      <c r="M34" s="191">
        <f>VLOOKUP(Z34,'FS Data'!$A:$B,2,FALSE)/10</f>
        <v>1.1000000000000001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15192</v>
      </c>
      <c r="G35" s="272">
        <f>VLOOKUP(T35,'FS Data'!$A:$B,2,FALSE)/10</f>
        <v>2.9</v>
      </c>
      <c r="H35" s="118">
        <f>VLOOKUP(U35,'FS Data'!$A:$B,2,FALSE)</f>
        <v>137566</v>
      </c>
      <c r="I35" s="191">
        <f>VLOOKUP(V35,'FS Data'!$A:$B,2,FALSE)/10</f>
        <v>3.2</v>
      </c>
      <c r="J35" s="20">
        <f>VLOOKUP(W35,'FS Data'!$A:$B,2,FALSE)</f>
        <v>14958</v>
      </c>
      <c r="K35" s="272">
        <f>VLOOKUP(X35,'FS Data'!$A:$B,2,FALSE)/10</f>
        <v>2.9</v>
      </c>
      <c r="L35" s="118">
        <f>VLOOKUP(Y35,'FS Data'!$A:$B,2,FALSE)</f>
        <v>135411</v>
      </c>
      <c r="M35" s="191">
        <f>VLOOKUP(Z35,'FS Data'!$A:$B,2,FALSE)/10</f>
        <v>3.2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14264</v>
      </c>
      <c r="G36" s="272">
        <f>VLOOKUP(T36,'FS Data'!$A:$B,2,FALSE)/10</f>
        <v>2.8</v>
      </c>
      <c r="H36" s="118">
        <f>VLOOKUP(U36,'FS Data'!$A:$B,2,FALSE)</f>
        <v>118291</v>
      </c>
      <c r="I36" s="191">
        <f>VLOOKUP(V36,'FS Data'!$A:$B,2,FALSE)/10</f>
        <v>2.8</v>
      </c>
      <c r="J36" s="20">
        <f>VLOOKUP(W36,'FS Data'!$A:$B,2,FALSE)</f>
        <v>14120</v>
      </c>
      <c r="K36" s="272">
        <f>VLOOKUP(X36,'FS Data'!$A:$B,2,FALSE)/10</f>
        <v>2.7</v>
      </c>
      <c r="L36" s="118">
        <f>VLOOKUP(Y36,'FS Data'!$A:$B,2,FALSE)</f>
        <v>116633</v>
      </c>
      <c r="M36" s="191">
        <f>VLOOKUP(Z36,'FS Data'!$A:$B,2,FALSE)/10</f>
        <v>2.7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2158</v>
      </c>
      <c r="G37" s="272">
        <f>VLOOKUP(T37,'FS Data'!$A:$B,2,FALSE)/10</f>
        <v>0.4</v>
      </c>
      <c r="H37" s="118">
        <f>VLOOKUP(U37,'FS Data'!$A:$B,2,FALSE)</f>
        <v>24097</v>
      </c>
      <c r="I37" s="191">
        <f>VLOOKUP(V37,'FS Data'!$A:$B,2,FALSE)/10</f>
        <v>0.6</v>
      </c>
      <c r="J37" s="20">
        <f>VLOOKUP(W37,'FS Data'!$A:$B,2,FALSE)</f>
        <v>2102</v>
      </c>
      <c r="K37" s="272">
        <f>VLOOKUP(X37,'FS Data'!$A:$B,2,FALSE)/10</f>
        <v>0.4</v>
      </c>
      <c r="L37" s="118">
        <f>VLOOKUP(Y37,'FS Data'!$A:$B,2,FALSE)</f>
        <v>23790</v>
      </c>
      <c r="M37" s="191">
        <f>VLOOKUP(Z37,'FS Data'!$A:$B,2,FALSE)/10</f>
        <v>0.6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283</v>
      </c>
      <c r="G38" s="272">
        <f>VLOOKUP(T38,'FS Data'!$A:$B,2,FALSE)/10</f>
        <v>0.1</v>
      </c>
      <c r="H38" s="118">
        <f>VLOOKUP(U38,'FS Data'!$A:$B,2,FALSE)</f>
        <v>3640</v>
      </c>
      <c r="I38" s="191">
        <f>VLOOKUP(V38,'FS Data'!$A:$B,2,FALSE)/10</f>
        <v>0.1</v>
      </c>
      <c r="J38" s="20">
        <f>VLOOKUP(W38,'FS Data'!$A:$B,2,FALSE)</f>
        <v>276</v>
      </c>
      <c r="K38" s="272">
        <f>VLOOKUP(X38,'FS Data'!$A:$B,2,FALSE)/10</f>
        <v>0.1</v>
      </c>
      <c r="L38" s="118">
        <f>VLOOKUP(Y38,'FS Data'!$A:$B,2,FALSE)</f>
        <v>3549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1.2</v>
      </c>
      <c r="H39" s="118">
        <f>VLOOKUP(U39,'FS Data'!$A:$B,2,FALSE)</f>
        <v>63074</v>
      </c>
      <c r="I39" s="191">
        <f>VLOOKUP(V39,'FS Data'!$A:$B,2,FALSE)/10</f>
        <v>1.5</v>
      </c>
      <c r="J39" s="20">
        <f>VLOOKUP(W39,'FS Data'!$A:$B,2,FALSE)</f>
        <v>6149</v>
      </c>
      <c r="K39" s="272">
        <f>VLOOKUP(X39,'FS Data'!$A:$B,2,FALSE)/10</f>
        <v>1.2</v>
      </c>
      <c r="L39" s="118">
        <f>VLOOKUP(Y39,'FS Data'!$A:$B,2,FALSE)</f>
        <v>61497</v>
      </c>
      <c r="M39" s="191">
        <f>VLOOKUP(Z39,'FS Data'!$A:$B,2,FALSE)/10</f>
        <v>1.4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473</v>
      </c>
      <c r="G40" s="272">
        <f>VLOOKUP(T40,'FS Data'!$A:$B,2,FALSE)/10</f>
        <v>0.1</v>
      </c>
      <c r="H40" s="118">
        <f>VLOOKUP(U40,'FS Data'!$A:$B,2,FALSE)</f>
        <v>5359</v>
      </c>
      <c r="I40" s="191">
        <f>VLOOKUP(V40,'FS Data'!$A:$B,2,FALSE)/10</f>
        <v>0.1</v>
      </c>
      <c r="J40" s="20">
        <f>VLOOKUP(W40,'FS Data'!$A:$B,2,FALSE)</f>
        <v>465</v>
      </c>
      <c r="K40" s="272">
        <f>VLOOKUP(X40,'FS Data'!$A:$B,2,FALSE)/10</f>
        <v>0.1</v>
      </c>
      <c r="L40" s="118">
        <f>VLOOKUP(Y40,'FS Data'!$A:$B,2,FALSE)</f>
        <v>5272</v>
      </c>
      <c r="M40" s="191">
        <f>VLOOKUP(Z40,'FS Data'!$A:$B,2,FALSE)/10</f>
        <v>0.1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3003</v>
      </c>
      <c r="G41" s="272">
        <f>VLOOKUP(T41,'FS Data'!$A:$B,2,FALSE)/10</f>
        <v>0.6</v>
      </c>
      <c r="H41" s="118">
        <f>VLOOKUP(U41,'FS Data'!$A:$B,2,FALSE)</f>
        <v>14727</v>
      </c>
      <c r="I41" s="191">
        <f>VLOOKUP(V41,'FS Data'!$A:$B,2,FALSE)/10</f>
        <v>0.3</v>
      </c>
      <c r="J41" s="20">
        <f>VLOOKUP(W41,'FS Data'!$A:$B,2,FALSE)</f>
        <v>2975</v>
      </c>
      <c r="K41" s="272">
        <f>VLOOKUP(X41,'FS Data'!$A:$B,2,FALSE)/10</f>
        <v>0.6</v>
      </c>
      <c r="L41" s="118">
        <f>VLOOKUP(Y41,'FS Data'!$A:$B,2,FALSE)</f>
        <v>14640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1163</v>
      </c>
      <c r="G42" s="272">
        <f>VLOOKUP(T42,'FS Data'!$A:$B,2,FALSE)/10</f>
        <v>0.2</v>
      </c>
      <c r="H42" s="118">
        <f>VLOOKUP(U42,'FS Data'!$A:$B,2,FALSE)</f>
        <v>13384</v>
      </c>
      <c r="I42" s="191">
        <f>VLOOKUP(V42,'FS Data'!$A:$B,2,FALSE)/10</f>
        <v>0.3</v>
      </c>
      <c r="J42" s="20">
        <f>VLOOKUP(W42,'FS Data'!$A:$B,2,FALSE)</f>
        <v>1134</v>
      </c>
      <c r="K42" s="272">
        <f>VLOOKUP(X42,'FS Data'!$A:$B,2,FALSE)/10</f>
        <v>0.2</v>
      </c>
      <c r="L42" s="118">
        <f>VLOOKUP(Y42,'FS Data'!$A:$B,2,FALSE)</f>
        <v>13072</v>
      </c>
      <c r="M42" s="191">
        <f>VLOOKUP(Z42,'FS Data'!$A:$B,2,FALSE)/10</f>
        <v>0.3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1784</v>
      </c>
      <c r="G43" s="272">
        <f>VLOOKUP(T43,'FS Data'!$A:$B,2,FALSE)/10</f>
        <v>0.3</v>
      </c>
      <c r="H43" s="118">
        <f>VLOOKUP(U43,'FS Data'!$A:$B,2,FALSE)</f>
        <v>9526</v>
      </c>
      <c r="I43" s="191">
        <f>VLOOKUP(V43,'FS Data'!$A:$B,2,FALSE)/10</f>
        <v>0.2</v>
      </c>
      <c r="J43" s="20">
        <f>VLOOKUP(W43,'FS Data'!$A:$B,2,FALSE)</f>
        <v>1779</v>
      </c>
      <c r="K43" s="272">
        <f>VLOOKUP(X43,'FS Data'!$A:$B,2,FALSE)/10</f>
        <v>0.3</v>
      </c>
      <c r="L43" s="118">
        <f>VLOOKUP(Y43,'FS Data'!$A:$B,2,FALSE)</f>
        <v>9472</v>
      </c>
      <c r="M43" s="191">
        <f>VLOOKUP(Z43,'FS Data'!$A:$B,2,FALSE)/10</f>
        <v>0.2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8774</v>
      </c>
      <c r="G45" s="272">
        <f>VLOOKUP(T45,'FS Data'!$A:$B,2,FALSE)/10</f>
        <v>1.7</v>
      </c>
      <c r="H45" s="118">
        <f>VLOOKUP(U45,'FS Data'!$A:$B,2,FALSE)</f>
        <v>63417</v>
      </c>
      <c r="I45" s="191">
        <f>VLOOKUP(V45,'FS Data'!$A:$B,2,FALSE)/10</f>
        <v>1.5</v>
      </c>
      <c r="J45" s="20">
        <f>VLOOKUP(W45,'FS Data'!$A:$B,2,FALSE)</f>
        <v>8555</v>
      </c>
      <c r="K45" s="272">
        <f>VLOOKUP(X45,'FS Data'!$A:$B,2,FALSE)/10</f>
        <v>1.7</v>
      </c>
      <c r="L45" s="118">
        <f>VLOOKUP(Y45,'FS Data'!$A:$B,2,FALSE)</f>
        <v>61832</v>
      </c>
      <c r="M45" s="191">
        <f>VLOOKUP(Z45,'FS Data'!$A:$B,2,FALSE)/10</f>
        <v>1.5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7426</v>
      </c>
      <c r="G46" s="273">
        <f>VLOOKUP(T46,'FS Data'!$A:$B,2,FALSE)/10</f>
        <v>1.4</v>
      </c>
      <c r="H46" s="144">
        <f>VLOOKUP(U46,'FS Data'!$A:$B,2,FALSE)</f>
        <v>57860</v>
      </c>
      <c r="I46" s="192">
        <f>VLOOKUP(V46,'FS Data'!$A:$B,2,FALSE)/10</f>
        <v>1.4</v>
      </c>
      <c r="J46" s="147">
        <f>VLOOKUP(W46,'FS Data'!$A:$B,2,FALSE)</f>
        <v>7426</v>
      </c>
      <c r="K46" s="273">
        <f>VLOOKUP(X46,'FS Data'!$A:$B,2,FALSE)/10</f>
        <v>1.4</v>
      </c>
      <c r="L46" s="144">
        <f>VLOOKUP(Y46,'FS Data'!$A:$B,2,FALSE)</f>
        <v>57860</v>
      </c>
      <c r="M46" s="192">
        <f>VLOOKUP(Z46,'FS Data'!$A:$B,2,FALSE)/10</f>
        <v>1.4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85710</v>
      </c>
      <c r="G47" s="272">
        <f>VLOOKUP(T47,'FS Data'!$A:$B,2,FALSE)/10</f>
        <v>16.600000000000001</v>
      </c>
      <c r="H47" s="126">
        <f>VLOOKUP(U47,'FS Data'!$A:$B,2,FALSE)</f>
        <v>719644</v>
      </c>
      <c r="I47" s="191">
        <f>VLOOKUP(V47,'FS Data'!$A:$B,2,FALSE)/10</f>
        <v>16.899999999999999</v>
      </c>
      <c r="J47" s="115">
        <f>VLOOKUP(W47,'FS Data'!$A:$B,2,FALSE)</f>
        <v>84603</v>
      </c>
      <c r="K47" s="272">
        <f>VLOOKUP(X47,'FS Data'!$A:$B,2,FALSE)/10</f>
        <v>16.399999999999999</v>
      </c>
      <c r="L47" s="126">
        <f>VLOOKUP(Y47,'FS Data'!$A:$B,2,FALSE)</f>
        <v>709743</v>
      </c>
      <c r="M47" s="191">
        <f>VLOOKUP(Z47,'FS Data'!$A:$B,2,FALSE)/10</f>
        <v>16.7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9.6999999999999993</v>
      </c>
      <c r="H48" s="118">
        <f>VLOOKUP(U48,'FS Data'!$A:$B,2,FALSE)</f>
        <v>500000</v>
      </c>
      <c r="I48" s="193">
        <f>VLOOKUP(V48,'FS Data'!$A:$B,2,FALSE)/10</f>
        <v>11.8</v>
      </c>
      <c r="J48" s="20">
        <f>VLOOKUP(W48,'FS Data'!$A:$B,2,FALSE)</f>
        <v>48750</v>
      </c>
      <c r="K48" s="274">
        <f>VLOOKUP(X48,'FS Data'!$A:$B,2,FALSE)/10</f>
        <v>9.5</v>
      </c>
      <c r="L48" s="118">
        <f>VLOOKUP(Y48,'FS Data'!$A:$B,2,FALSE)</f>
        <v>487500</v>
      </c>
      <c r="M48" s="193">
        <f>VLOOKUP(Z48,'FS Data'!$A:$B,2,FALSE)/10</f>
        <v>11.5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2.1</v>
      </c>
      <c r="H49" s="118">
        <f>VLOOKUP(U49,'FS Data'!$A:$B,2,FALSE)</f>
        <v>107101</v>
      </c>
      <c r="I49" s="191">
        <f>VLOOKUP(V49,'FS Data'!$A:$B,2,FALSE)/10</f>
        <v>2.5</v>
      </c>
      <c r="J49" s="20">
        <f>VLOOKUP(W49,'FS Data'!$A:$B,2,FALSE)</f>
        <v>10443</v>
      </c>
      <c r="K49" s="272">
        <f>VLOOKUP(X49,'FS Data'!$A:$B,2,FALSE)/10</f>
        <v>2</v>
      </c>
      <c r="L49" s="118">
        <f>VLOOKUP(Y49,'FS Data'!$A:$B,2,FALSE)</f>
        <v>104423</v>
      </c>
      <c r="M49" s="191">
        <f>VLOOKUP(Z49,'FS Data'!$A:$B,2,FALSE)/10</f>
        <v>2.5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5535</v>
      </c>
      <c r="G52" s="272">
        <f>VLOOKUP(T52,'FS Data'!$A:$B,2,FALSE)/10</f>
        <v>1.1000000000000001</v>
      </c>
      <c r="H52" s="118">
        <f>VLOOKUP(U52,'FS Data'!$A:$B,2,FALSE)</f>
        <v>57374</v>
      </c>
      <c r="I52" s="191">
        <f>VLOOKUP(V52,'FS Data'!$A:$B,2,FALSE)/10</f>
        <v>1.4</v>
      </c>
      <c r="J52" s="20">
        <f>VLOOKUP(W52,'FS Data'!$A:$B,2,FALSE)</f>
        <v>5397</v>
      </c>
      <c r="K52" s="272">
        <f>VLOOKUP(X52,'FS Data'!$A:$B,2,FALSE)/10</f>
        <v>1</v>
      </c>
      <c r="L52" s="118">
        <f>VLOOKUP(Y52,'FS Data'!$A:$B,2,FALSE)</f>
        <v>55940</v>
      </c>
      <c r="M52" s="191">
        <f>VLOOKUP(Z52,'FS Data'!$A:$B,2,FALSE)/10</f>
        <v>1.3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0.8</v>
      </c>
      <c r="H53" s="118">
        <f>VLOOKUP(U53,'FS Data'!$A:$B,2,FALSE)</f>
        <v>43498</v>
      </c>
      <c r="I53" s="191">
        <f>VLOOKUP(V53,'FS Data'!$A:$B,2,FALSE)/10</f>
        <v>1</v>
      </c>
      <c r="J53" s="20">
        <f>VLOOKUP(W53,'FS Data'!$A:$B,2,FALSE)</f>
        <v>4241</v>
      </c>
      <c r="K53" s="272">
        <f>VLOOKUP(X53,'FS Data'!$A:$B,2,FALSE)/10</f>
        <v>0.8</v>
      </c>
      <c r="L53" s="118">
        <f>VLOOKUP(Y53,'FS Data'!$A:$B,2,FALSE)</f>
        <v>42411</v>
      </c>
      <c r="M53" s="191">
        <f>VLOOKUP(Z53,'FS Data'!$A:$B,2,FALSE)/10</f>
        <v>1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4054</v>
      </c>
      <c r="G54" s="273">
        <f>VLOOKUP(T54,'FS Data'!$A:$B,2,FALSE)/10</f>
        <v>0.8</v>
      </c>
      <c r="H54" s="144">
        <f>VLOOKUP(U54,'FS Data'!$A:$B,2,FALSE)</f>
        <v>48551</v>
      </c>
      <c r="I54" s="192">
        <f>VLOOKUP(V54,'FS Data'!$A:$B,2,FALSE)/10</f>
        <v>1.1000000000000001</v>
      </c>
      <c r="J54" s="147">
        <f>VLOOKUP(W54,'FS Data'!$A:$B,2,FALSE)</f>
        <v>3953</v>
      </c>
      <c r="K54" s="273">
        <f>VLOOKUP(X54,'FS Data'!$A:$B,2,FALSE)/10</f>
        <v>0.8</v>
      </c>
      <c r="L54" s="144">
        <f>VLOOKUP(Y54,'FS Data'!$A:$B,2,FALSE)</f>
        <v>47337</v>
      </c>
      <c r="M54" s="192">
        <f>VLOOKUP(Z54,'FS Data'!$A:$B,2,FALSE)/10</f>
        <v>1.1000000000000001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74650</v>
      </c>
      <c r="G55" s="272">
        <f>VLOOKUP(T55,'FS Data'!$A:$B,2,FALSE)/10</f>
        <v>14.5</v>
      </c>
      <c r="H55" s="126">
        <f>VLOOKUP(U55,'FS Data'!$A:$B,2,FALSE)</f>
        <v>756524</v>
      </c>
      <c r="I55" s="191">
        <f>VLOOKUP(V55,'FS Data'!$A:$B,2,FALSE)/10</f>
        <v>17.8</v>
      </c>
      <c r="J55" s="115">
        <f>VLOOKUP(W55,'FS Data'!$A:$B,2,FALSE)</f>
        <v>72784</v>
      </c>
      <c r="K55" s="272">
        <f>VLOOKUP(X55,'FS Data'!$A:$B,2,FALSE)/10</f>
        <v>14.1</v>
      </c>
      <c r="L55" s="126">
        <f>VLOOKUP(Y55,'FS Data'!$A:$B,2,FALSE)</f>
        <v>737611</v>
      </c>
      <c r="M55" s="191">
        <f>VLOOKUP(Z55,'FS Data'!$A:$B,2,FALSE)/10</f>
        <v>17.399999999999999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1314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1281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2372</v>
      </c>
      <c r="G57" s="272">
        <f>VLOOKUP(T57,'FS Data'!$A:$B,2,FALSE)/10</f>
        <v>0.5</v>
      </c>
      <c r="H57" s="118">
        <f>VLOOKUP(U57,'FS Data'!$A:$B,2,FALSE)</f>
        <v>24590</v>
      </c>
      <c r="I57" s="191">
        <f>VLOOKUP(V57,'FS Data'!$A:$B,2,FALSE)/10</f>
        <v>0.6</v>
      </c>
      <c r="J57" s="20">
        <f>VLOOKUP(W57,'FS Data'!$A:$B,2,FALSE)</f>
        <v>2313</v>
      </c>
      <c r="K57" s="272">
        <f>VLOOKUP(X57,'FS Data'!$A:$B,2,FALSE)/10</f>
        <v>0.4</v>
      </c>
      <c r="L57" s="118">
        <f>VLOOKUP(Y57,'FS Data'!$A:$B,2,FALSE)</f>
        <v>23975</v>
      </c>
      <c r="M57" s="191">
        <f>VLOOKUP(Z57,'FS Data'!$A:$B,2,FALSE)/10</f>
        <v>0.6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0</v>
      </c>
      <c r="G58" s="272">
        <f>VLOOKUP(T58,'FS Data'!$A:$B,2,FALSE)/10</f>
        <v>0</v>
      </c>
      <c r="H58" s="118">
        <f>VLOOKUP(U58,'FS Data'!$A:$B,2,FALSE)</f>
        <v>3586</v>
      </c>
      <c r="I58" s="191">
        <f>VLOOKUP(V58,'FS Data'!$A:$B,2,FALSE)/10</f>
        <v>0.1</v>
      </c>
      <c r="J58" s="20">
        <f>VLOOKUP(W58,'FS Data'!$A:$B,2,FALSE)</f>
        <v>0</v>
      </c>
      <c r="K58" s="272">
        <f>VLOOKUP(X58,'FS Data'!$A:$B,2,FALSE)/10</f>
        <v>0</v>
      </c>
      <c r="L58" s="118">
        <f>VLOOKUP(Y58,'FS Data'!$A:$B,2,FALSE)</f>
        <v>3586</v>
      </c>
      <c r="M58" s="191">
        <f>VLOOKUP(Z58,'FS Data'!$A:$B,2,FALSE)/10</f>
        <v>0.1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2</v>
      </c>
      <c r="H59" s="118">
        <f>VLOOKUP(U59,'FS Data'!$A:$B,2,FALSE)</f>
        <v>102601</v>
      </c>
      <c r="I59" s="191">
        <f>VLOOKUP(V59,'FS Data'!$A:$B,2,FALSE)/10</f>
        <v>2.4</v>
      </c>
      <c r="J59" s="20">
        <f>VLOOKUP(W59,'FS Data'!$A:$B,2,FALSE)</f>
        <v>10145</v>
      </c>
      <c r="K59" s="272">
        <f>VLOOKUP(X59,'FS Data'!$A:$B,2,FALSE)/10</f>
        <v>2</v>
      </c>
      <c r="L59" s="118">
        <f>VLOOKUP(Y59,'FS Data'!$A:$B,2,FALSE)</f>
        <v>101447</v>
      </c>
      <c r="M59" s="191">
        <f>VLOOKUP(Z59,'FS Data'!$A:$B,2,FALSE)/10</f>
        <v>2.4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529</v>
      </c>
      <c r="G60" s="273">
        <f>VLOOKUP(T60,'FS Data'!$A:$B,2,FALSE)/10</f>
        <v>0.1</v>
      </c>
      <c r="H60" s="144">
        <f>VLOOKUP(U60,'FS Data'!$A:$B,2,FALSE)</f>
        <v>2096</v>
      </c>
      <c r="I60" s="192">
        <f>VLOOKUP(V60,'FS Data'!$A:$B,2,FALSE)/10</f>
        <v>0</v>
      </c>
      <c r="J60" s="147">
        <f>VLOOKUP(W60,'FS Data'!$A:$B,2,FALSE)</f>
        <v>525</v>
      </c>
      <c r="K60" s="273">
        <f>VLOOKUP(X60,'FS Data'!$A:$B,2,FALSE)/10</f>
        <v>0.1</v>
      </c>
      <c r="L60" s="144">
        <f>VLOOKUP(Y60,'FS Data'!$A:$B,2,FALSE)</f>
        <v>2052</v>
      </c>
      <c r="M60" s="192">
        <f>VLOOKUP(Z60,'FS Data'!$A:$B,2,FALSE)/10</f>
        <v>0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87811</v>
      </c>
      <c r="G61" s="272">
        <f>VLOOKUP(T61,'FS Data'!$A:$B,2,FALSE)/10</f>
        <v>17</v>
      </c>
      <c r="H61" s="126">
        <f>VLOOKUP(U61,'FS Data'!$A:$B,2,FALSE)</f>
        <v>890711</v>
      </c>
      <c r="I61" s="191">
        <f>VLOOKUP(V61,'FS Data'!$A:$B,2,FALSE)/10</f>
        <v>21</v>
      </c>
      <c r="J61" s="115">
        <f>VLOOKUP(W61,'FS Data'!$A:$B,2,FALSE)</f>
        <v>85767</v>
      </c>
      <c r="K61" s="272">
        <f>VLOOKUP(X61,'FS Data'!$A:$B,2,FALSE)/10</f>
        <v>16.600000000000001</v>
      </c>
      <c r="L61" s="126">
        <f>VLOOKUP(Y61,'FS Data'!$A:$B,2,FALSE)</f>
        <v>869952</v>
      </c>
      <c r="M61" s="191">
        <f>VLOOKUP(Z61,'FS Data'!$A:$B,2,FALSE)/10</f>
        <v>20.5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352354</v>
      </c>
      <c r="G62" s="274">
        <f>VLOOKUP(T62,'FS Data'!$A:$B,2,FALSE)/10</f>
        <v>68.3</v>
      </c>
      <c r="H62" s="118">
        <f>VLOOKUP(U62,'FS Data'!$A:$B,2,FALSE)</f>
        <v>3175922</v>
      </c>
      <c r="I62" s="193">
        <f>VLOOKUP(V62,'FS Data'!$A:$B,2,FALSE)/10</f>
        <v>74.7</v>
      </c>
      <c r="J62" s="20">
        <f>VLOOKUP(W62,'FS Data'!$A:$B,2,FALSE)</f>
        <v>347789</v>
      </c>
      <c r="K62" s="274">
        <f>VLOOKUP(X62,'FS Data'!$A:$B,2,FALSE)/10</f>
        <v>67.5</v>
      </c>
      <c r="L62" s="118">
        <f>VLOOKUP(Y62,'FS Data'!$A:$B,2,FALSE)</f>
        <v>3130984</v>
      </c>
      <c r="M62" s="193">
        <f>VLOOKUP(Z62,'FS Data'!$A:$B,2,FALSE)/10</f>
        <v>73.8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477516</v>
      </c>
      <c r="G63" s="274">
        <f>VLOOKUP(T63,'FS Data'!$A:$B,2,FALSE)/10</f>
        <v>92.5</v>
      </c>
      <c r="H63" s="118">
        <f>VLOOKUP(U63,'FS Data'!$A:$B,2,FALSE)</f>
        <v>4429795</v>
      </c>
      <c r="I63" s="193">
        <f>VLOOKUP(V63,'FS Data'!$A:$B,2,FALSE)/10</f>
        <v>104.3</v>
      </c>
      <c r="J63" s="20">
        <f>VLOOKUP(W63,'FS Data'!$A:$B,2,FALSE)</f>
        <v>472944</v>
      </c>
      <c r="K63" s="274">
        <f>VLOOKUP(X63,'FS Data'!$A:$B,2,FALSE)/10</f>
        <v>91.8</v>
      </c>
      <c r="L63" s="118">
        <f>VLOOKUP(Y63,'FS Data'!$A:$B,2,FALSE)</f>
        <v>4384746</v>
      </c>
      <c r="M63" s="193">
        <f>VLOOKUP(Z63,'FS Data'!$A:$B,2,FALSE)/10</f>
        <v>103.3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38631</v>
      </c>
      <c r="G64" s="489"/>
      <c r="H64" s="126">
        <f>VLOOKUP(U64,'FS Data'!$A:$B,2,FALSE)</f>
        <v>-181056</v>
      </c>
      <c r="I64" s="489"/>
      <c r="J64" s="115">
        <f>VLOOKUP(W64,'FS Data'!$A:$B,2,FALSE)</f>
        <v>42514</v>
      </c>
      <c r="K64" s="489"/>
      <c r="L64" s="126">
        <f>VLOOKUP(Y64,'FS Data'!$A:$B,2,FALSE)</f>
        <v>-139480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71607</v>
      </c>
      <c r="G65" s="489"/>
      <c r="H65" s="118">
        <f>VLOOKUP(U65,'FS Data'!$A:$B,2,FALSE)</f>
        <v>699111</v>
      </c>
      <c r="I65" s="489"/>
      <c r="J65" s="20">
        <f>VLOOKUP(W65,'FS Data'!$A:$B,2,FALSE)</f>
        <v>71607</v>
      </c>
      <c r="K65" s="489"/>
      <c r="L65" s="118">
        <f>VLOOKUP(Y65,'FS Data'!$A:$B,2,FALSE)</f>
        <v>699111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110238</v>
      </c>
      <c r="G67" s="489"/>
      <c r="H67" s="126">
        <f>VLOOKUP(U67,'FS Data'!$A:$B,2,FALSE)</f>
        <v>518055</v>
      </c>
      <c r="I67" s="489"/>
      <c r="J67" s="115">
        <f>VLOOKUP(W67,'FS Data'!$A:$B,2,FALSE)</f>
        <v>114121</v>
      </c>
      <c r="K67" s="489"/>
      <c r="L67" s="126">
        <f>VLOOKUP(Y67,'FS Data'!$A:$B,2,FALSE)</f>
        <v>559631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110238</v>
      </c>
      <c r="G71" s="489"/>
      <c r="H71" s="118">
        <f>VLOOKUP(U71,'FS Data'!$A:$B,2,FALSE)</f>
        <v>518055</v>
      </c>
      <c r="I71" s="489"/>
      <c r="J71" s="20">
        <f>VLOOKUP(W71,'FS Data'!$A:$B,2,FALSE)</f>
        <v>114121</v>
      </c>
      <c r="K71" s="489"/>
      <c r="L71" s="118">
        <f>VLOOKUP(Y71,'FS Data'!$A:$B,2,FALSE)</f>
        <v>559631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28662</v>
      </c>
      <c r="G73" s="489"/>
      <c r="H73" s="118">
        <f>VLOOKUP(U73,'FS Data'!$A:$B,2,FALSE)</f>
        <v>134694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81576</v>
      </c>
      <c r="G75" s="489"/>
      <c r="H75" s="118">
        <f>VLOOKUP(U75,'FS Data'!$A:$B,2,FALSE)</f>
        <v>383361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A8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7" t="s">
        <v>120</v>
      </c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63" t="s">
        <v>121</v>
      </c>
      <c r="N1" s="45"/>
    </row>
    <row r="2" spans="1:23" ht="18.75" customHeight="1" x14ac:dyDescent="0.25">
      <c r="B2" s="809" t="s">
        <v>494</v>
      </c>
      <c r="C2" s="811" t="s">
        <v>557</v>
      </c>
      <c r="D2" s="812"/>
      <c r="E2" s="814" t="s">
        <v>628</v>
      </c>
      <c r="F2" s="690" t="s">
        <v>122</v>
      </c>
      <c r="G2" s="690" t="s">
        <v>630</v>
      </c>
      <c r="H2" s="811" t="s">
        <v>631</v>
      </c>
      <c r="I2" s="811"/>
      <c r="J2" s="811" t="s">
        <v>632</v>
      </c>
      <c r="K2" s="811"/>
      <c r="L2" s="811" t="s">
        <v>633</v>
      </c>
      <c r="M2" s="816"/>
      <c r="N2" s="66"/>
    </row>
    <row r="3" spans="1:23" s="4" customFormat="1" ht="18.75" customHeight="1" x14ac:dyDescent="0.25">
      <c r="A3" s="5"/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1963853</v>
      </c>
      <c r="G4" s="118">
        <f>VLOOKUP(Q4,'FS Data'!$A:$B,2,FALSE)</f>
        <v>18364238</v>
      </c>
      <c r="H4" s="117">
        <f>VLOOKUP(R4,'FS Data'!$A:$B,2,FALSE)</f>
        <v>1535462</v>
      </c>
      <c r="I4" s="118">
        <f>VLOOKUP(S4,'FS Data'!$A:$B,2,FALSE)</f>
        <v>15163998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191395</v>
      </c>
      <c r="G5" s="118">
        <f>VLOOKUP(Q5,'FS Data'!$A:$B,2,FALSE)</f>
        <v>1718038</v>
      </c>
      <c r="H5" s="117">
        <f>VLOOKUP(R5,'FS Data'!$A:$B,2,FALSE)</f>
        <v>80071</v>
      </c>
      <c r="I5" s="118">
        <f>VLOOKUP(S5,'FS Data'!$A:$B,2,FALSE)</f>
        <v>786750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30835</v>
      </c>
      <c r="G7" s="118">
        <f>VLOOKUP(Q7,'FS Data'!$A:$B,2,FALSE)</f>
        <v>258459</v>
      </c>
      <c r="H7" s="117">
        <f>VLOOKUP(R7,'FS Data'!$A:$B,2,FALSE)</f>
        <v>9253</v>
      </c>
      <c r="I7" s="118">
        <f>VLOOKUP(S7,'FS Data'!$A:$B,2,FALSE)</f>
        <v>112459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7930</v>
      </c>
      <c r="G8" s="118">
        <f>VLOOKUP(Q8,'FS Data'!$A:$B,2,FALSE)</f>
        <v>122764</v>
      </c>
      <c r="H8" s="117">
        <f>VLOOKUP(R8,'FS Data'!$A:$B,2,FALSE)</f>
        <v>5552</v>
      </c>
      <c r="I8" s="118">
        <f>VLOOKUP(S8,'FS Data'!$A:$B,2,FALSE)</f>
        <v>78840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4722</v>
      </c>
      <c r="G9" s="118">
        <f>VLOOKUP(Q9,'FS Data'!$A:$B,2,FALSE)</f>
        <v>39726</v>
      </c>
      <c r="H9" s="117">
        <f>VLOOKUP(R9,'FS Data'!$A:$B,2,FALSE)</f>
        <v>3121</v>
      </c>
      <c r="I9" s="118">
        <f>VLOOKUP(S9,'FS Data'!$A:$B,2,FALSE)</f>
        <v>33603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23986</v>
      </c>
      <c r="G10" s="118">
        <f>VLOOKUP(Q10,'FS Data'!$A:$B,2,FALSE)</f>
        <v>160225</v>
      </c>
      <c r="H10" s="117">
        <f>VLOOKUP(R10,'FS Data'!$A:$B,2,FALSE)</f>
        <v>10250</v>
      </c>
      <c r="I10" s="118">
        <f>VLOOKUP(S10,'FS Data'!$A:$B,2,FALSE)</f>
        <v>79686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315</v>
      </c>
      <c r="G11" s="118">
        <f>VLOOKUP(Q11,'FS Data'!$A:$B,2,FALSE)</f>
        <v>-3988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2300</v>
      </c>
      <c r="G12" s="120">
        <f>VLOOKUP(Q12,'FS Data'!$A:$B,2,FALSE)</f>
        <v>20700</v>
      </c>
      <c r="H12" s="119">
        <f>VLOOKUP(R12,'FS Data'!$A:$B,2,FALSE)</f>
        <v>1200</v>
      </c>
      <c r="I12" s="120">
        <f>VLOOKUP(S12,'FS Data'!$A:$B,2,FALSE)</f>
        <v>14400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15066</v>
      </c>
      <c r="G13" s="118">
        <f>VLOOKUP(Q13,'FS Data'!$A:$B,2,FALSE)</f>
        <v>243350</v>
      </c>
      <c r="H13" s="117">
        <f>VLOOKUP(R13,'FS Data'!$A:$B,2,FALSE)</f>
        <v>4898</v>
      </c>
      <c r="I13" s="118">
        <f>VLOOKUP(S13,'FS Data'!$A:$B,2,FALSE)</f>
        <v>73889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17" t="s">
        <v>634</v>
      </c>
      <c r="D15" s="818"/>
      <c r="E15" s="819"/>
      <c r="F15" s="145">
        <f>VLOOKUP(P15,'FS Data'!$A:$B,2,FALSE)</f>
        <v>80554</v>
      </c>
      <c r="G15" s="146">
        <f>VLOOKUP(Q15,'FS Data'!$A:$B,2,FALSE)</f>
        <v>799836</v>
      </c>
      <c r="H15" s="145">
        <f>VLOOKUP(R15,'FS Data'!$A:$B,2,FALSE)</f>
        <v>31874</v>
      </c>
      <c r="I15" s="146">
        <f>VLOOKUP(S15,'FS Data'!$A:$B,2,FALSE)</f>
        <v>364077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7029</v>
      </c>
      <c r="G16" s="118">
        <f>VLOOKUP(Q16,'FS Data'!$A:$B,2,FALSE)</f>
        <v>60350</v>
      </c>
      <c r="H16" s="117">
        <f>VLOOKUP(R16,'FS Data'!$A:$B,2,FALSE)</f>
        <v>1562</v>
      </c>
      <c r="I16" s="118">
        <f>VLOOKUP(S16,'FS Data'!$A:$B,2,FALSE)</f>
        <v>13411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13952</v>
      </c>
      <c r="G17" s="118">
        <f>VLOOKUP(Q17,'FS Data'!$A:$B,2,FALSE)</f>
        <v>121698</v>
      </c>
      <c r="H17" s="117">
        <f>VLOOKUP(R17,'FS Data'!$A:$B,2,FALSE)</f>
        <v>5054</v>
      </c>
      <c r="I17" s="118">
        <f>VLOOKUP(S17,'FS Data'!$A:$B,2,FALSE)</f>
        <v>41667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9673</v>
      </c>
      <c r="G18" s="118">
        <f>VLOOKUP(Q18,'FS Data'!$A:$B,2,FALSE)</f>
        <v>87761</v>
      </c>
      <c r="H18" s="117">
        <f>VLOOKUP(R18,'FS Data'!$A:$B,2,FALSE)</f>
        <v>3054</v>
      </c>
      <c r="I18" s="118">
        <f>VLOOKUP(S18,'FS Data'!$A:$B,2,FALSE)</f>
        <v>28077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3420</v>
      </c>
      <c r="H20" s="117">
        <f>VLOOKUP(R20,'FS Data'!$A:$B,2,FALSE)</f>
        <v>2809</v>
      </c>
      <c r="I20" s="118">
        <f>VLOOKUP(S20,'FS Data'!$A:$B,2,FALSE)</f>
        <v>28090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6" t="s">
        <v>573</v>
      </c>
      <c r="D21" s="819"/>
      <c r="E21" s="295">
        <v>24</v>
      </c>
      <c r="F21" s="117">
        <f>VLOOKUP(P21,'FS Data'!$A:$B,2,FALSE)</f>
        <v>7007</v>
      </c>
      <c r="G21" s="118">
        <f>VLOOKUP(Q21,'FS Data'!$A:$B,2,FALSE)</f>
        <v>78950</v>
      </c>
      <c r="H21" s="117">
        <f>VLOOKUP(R21,'FS Data'!$A:$B,2,FALSE)</f>
        <v>3482</v>
      </c>
      <c r="I21" s="118">
        <f>VLOOKUP(S21,'FS Data'!$A:$B,2,FALSE)</f>
        <v>37039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7096</v>
      </c>
      <c r="G22" s="118">
        <f>VLOOKUP(Q22,'FS Data'!$A:$B,2,FALSE)</f>
        <v>87981</v>
      </c>
      <c r="H22" s="117">
        <f>VLOOKUP(R22,'FS Data'!$A:$B,2,FALSE)</f>
        <v>2574</v>
      </c>
      <c r="I22" s="118">
        <f>VLOOKUP(S22,'FS Data'!$A:$B,2,FALSE)</f>
        <v>35098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5644</v>
      </c>
      <c r="G23" s="118">
        <f>VLOOKUP(Q23,'FS Data'!$A:$B,2,FALSE)</f>
        <v>44987</v>
      </c>
      <c r="H23" s="117">
        <f>VLOOKUP(R23,'FS Data'!$A:$B,2,FALSE)</f>
        <v>2765</v>
      </c>
      <c r="I23" s="118">
        <f>VLOOKUP(S23,'FS Data'!$A:$B,2,FALSE)</f>
        <v>21454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142</v>
      </c>
      <c r="G24" s="118">
        <f>VLOOKUP(Q24,'FS Data'!$A:$B,2,FALSE)</f>
        <v>7997</v>
      </c>
      <c r="H24" s="117">
        <f>VLOOKUP(R24,'FS Data'!$A:$B,2,FALSE)</f>
        <v>49</v>
      </c>
      <c r="I24" s="118">
        <f>VLOOKUP(S24,'FS Data'!$A:$B,2,FALSE)</f>
        <v>4039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17" t="s">
        <v>577</v>
      </c>
      <c r="D26" s="818"/>
      <c r="E26" s="819"/>
      <c r="F26" s="145">
        <f>VLOOKUP(P26,'FS Data'!$A:$B,2,FALSE)</f>
        <v>50885</v>
      </c>
      <c r="G26" s="146">
        <f>VLOOKUP(Q26,'FS Data'!$A:$B,2,FALSE)</f>
        <v>493144</v>
      </c>
      <c r="H26" s="145">
        <f>VLOOKUP(R26,'FS Data'!$A:$B,2,FALSE)</f>
        <v>21349</v>
      </c>
      <c r="I26" s="146">
        <f>VLOOKUP(S26,'FS Data'!$A:$B,2,FALSE)</f>
        <v>208875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0</v>
      </c>
      <c r="G27" s="118">
        <f>VLOOKUP(Q27,'FS Data'!$A:$B,2,FALSE)</f>
        <v>555</v>
      </c>
      <c r="H27" s="117">
        <f>VLOOKUP(R27,'FS Data'!$A:$B,2,FALSE)</f>
        <v>0</v>
      </c>
      <c r="I27" s="118">
        <f>VLOOKUP(S27,'FS Data'!$A:$B,2,FALSE)</f>
        <v>185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8050</v>
      </c>
      <c r="G28" s="118">
        <f>VLOOKUP(Q28,'FS Data'!$A:$B,2,FALSE)</f>
        <v>68494</v>
      </c>
      <c r="H28" s="117">
        <f>VLOOKUP(R28,'FS Data'!$A:$B,2,FALSE)</f>
        <v>1075</v>
      </c>
      <c r="I28" s="118">
        <f>VLOOKUP(S28,'FS Data'!$A:$B,2,FALSE)</f>
        <v>10744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857</v>
      </c>
      <c r="G29" s="118">
        <f>VLOOKUP(Q29,'FS Data'!$A:$B,2,FALSE)</f>
        <v>5974</v>
      </c>
      <c r="H29" s="117">
        <f>VLOOKUP(R29,'FS Data'!$A:$B,2,FALSE)</f>
        <v>190</v>
      </c>
      <c r="I29" s="118">
        <f>VLOOKUP(S29,'FS Data'!$A:$B,2,FALSE)</f>
        <v>1579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302</v>
      </c>
      <c r="G30" s="118">
        <f>VLOOKUP(Q30,'FS Data'!$A:$B,2,FALSE)</f>
        <v>431</v>
      </c>
      <c r="H30" s="117">
        <f>VLOOKUP(R30,'FS Data'!$A:$B,2,FALSE)</f>
        <v>168</v>
      </c>
      <c r="I30" s="118">
        <f>VLOOKUP(S30,'FS Data'!$A:$B,2,FALSE)</f>
        <v>173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694</v>
      </c>
      <c r="G33" s="118">
        <f>VLOOKUP(Q33,'FS Data'!$A:$B,2,FALSE)</f>
        <v>7620</v>
      </c>
      <c r="H33" s="117">
        <f>VLOOKUP(R33,'FS Data'!$A:$B,2,FALSE)</f>
        <v>1202</v>
      </c>
      <c r="I33" s="118">
        <f>VLOOKUP(S33,'FS Data'!$A:$B,2,FALSE)</f>
        <v>16780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4885</v>
      </c>
      <c r="G34" s="118">
        <f>VLOOKUP(Q34,'FS Data'!$A:$B,2,FALSE)</f>
        <v>45943</v>
      </c>
      <c r="H34" s="117">
        <f>VLOOKUP(R34,'FS Data'!$A:$B,2,FALSE)</f>
        <v>1690</v>
      </c>
      <c r="I34" s="118">
        <f>VLOOKUP(S34,'FS Data'!$A:$B,2,FALSE)</f>
        <v>14965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3077</v>
      </c>
      <c r="G35" s="118">
        <f>VLOOKUP(Q35,'FS Data'!$A:$B,2,FALSE)</f>
        <v>32923</v>
      </c>
      <c r="H35" s="117">
        <f>VLOOKUP(R35,'FS Data'!$A:$B,2,FALSE)</f>
        <v>896</v>
      </c>
      <c r="I35" s="118">
        <f>VLOOKUP(S35,'FS Data'!$A:$B,2,FALSE)</f>
        <v>8689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874</v>
      </c>
      <c r="G36" s="118">
        <f>VLOOKUP(Q36,'FS Data'!$A:$B,2,FALSE)</f>
        <v>12735</v>
      </c>
      <c r="H36" s="117">
        <f>VLOOKUP(R36,'FS Data'!$A:$B,2,FALSE)</f>
        <v>224</v>
      </c>
      <c r="I36" s="118">
        <f>VLOOKUP(S36,'FS Data'!$A:$B,2,FALSE)</f>
        <v>1671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6" t="s">
        <v>588</v>
      </c>
      <c r="D37" s="819"/>
      <c r="E37" s="295">
        <v>72</v>
      </c>
      <c r="F37" s="117">
        <f>VLOOKUP(P37,'FS Data'!$A:$B,2,FALSE)</f>
        <v>127</v>
      </c>
      <c r="G37" s="118">
        <f>VLOOKUP(Q37,'FS Data'!$A:$B,2,FALSE)</f>
        <v>1638</v>
      </c>
      <c r="H37" s="117">
        <f>VLOOKUP(R37,'FS Data'!$A:$B,2,FALSE)</f>
        <v>28</v>
      </c>
      <c r="I37" s="118">
        <f>VLOOKUP(S37,'FS Data'!$A:$B,2,FALSE)</f>
        <v>364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28383</v>
      </c>
      <c r="H38" s="117">
        <f>VLOOKUP(R38,'FS Data'!$A:$B,2,FALSE)</f>
        <v>631</v>
      </c>
      <c r="I38" s="118">
        <f>VLOOKUP(S38,'FS Data'!$A:$B,2,FALSE)</f>
        <v>6307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213</v>
      </c>
      <c r="G39" s="118">
        <f>VLOOKUP(Q39,'FS Data'!$A:$B,2,FALSE)</f>
        <v>2313</v>
      </c>
      <c r="H39" s="117">
        <f>VLOOKUP(R39,'FS Data'!$A:$B,2,FALSE)</f>
        <v>77</v>
      </c>
      <c r="I39" s="118">
        <f>VLOOKUP(S39,'FS Data'!$A:$B,2,FALSE)</f>
        <v>826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424</v>
      </c>
      <c r="G40" s="118">
        <f>VLOOKUP(Q40,'FS Data'!$A:$B,2,FALSE)</f>
        <v>2025</v>
      </c>
      <c r="H40" s="117">
        <f>VLOOKUP(R40,'FS Data'!$A:$B,2,FALSE)</f>
        <v>59</v>
      </c>
      <c r="I40" s="118">
        <f>VLOOKUP(S40,'FS Data'!$A:$B,2,FALSE)</f>
        <v>682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523</v>
      </c>
      <c r="G41" s="118">
        <f>VLOOKUP(Q41,'FS Data'!$A:$B,2,FALSE)</f>
        <v>5623</v>
      </c>
      <c r="H41" s="117">
        <f>VLOOKUP(R41,'FS Data'!$A:$B,2,FALSE)</f>
        <v>116</v>
      </c>
      <c r="I41" s="118">
        <f>VLOOKUP(S41,'FS Data'!$A:$B,2,FALSE)</f>
        <v>1249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83</v>
      </c>
      <c r="G42" s="118">
        <f>VLOOKUP(Q42,'FS Data'!$A:$B,2,FALSE)</f>
        <v>1726</v>
      </c>
      <c r="H42" s="117">
        <f>VLOOKUP(R42,'FS Data'!$A:$B,2,FALSE)</f>
        <v>136</v>
      </c>
      <c r="I42" s="118">
        <f>VLOOKUP(S42,'FS Data'!$A:$B,2,FALSE)</f>
        <v>1532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3949</v>
      </c>
      <c r="G44" s="118">
        <f>VLOOKUP(Q44,'FS Data'!$A:$B,2,FALSE)</f>
        <v>28538</v>
      </c>
      <c r="H44" s="117">
        <f>VLOOKUP(R44,'FS Data'!$A:$B,2,FALSE)</f>
        <v>877</v>
      </c>
      <c r="I44" s="118">
        <f>VLOOKUP(S44,'FS Data'!$A:$B,2,FALSE)</f>
        <v>6342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17" t="s">
        <v>635</v>
      </c>
      <c r="D46" s="818"/>
      <c r="E46" s="819"/>
      <c r="F46" s="145">
        <f>VLOOKUP(P46,'FS Data'!$A:$B,2,FALSE)</f>
        <v>26896</v>
      </c>
      <c r="G46" s="146">
        <f>VLOOKUP(Q46,'FS Data'!$A:$B,2,FALSE)</f>
        <v>244921</v>
      </c>
      <c r="H46" s="145">
        <f>VLOOKUP(R46,'FS Data'!$A:$B,2,FALSE)</f>
        <v>7369</v>
      </c>
      <c r="I46" s="146">
        <f>VLOOKUP(S46,'FS Data'!$A:$B,2,FALSE)</f>
        <v>72088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225000</v>
      </c>
      <c r="H47" s="117">
        <f>VLOOKUP(R47,'FS Data'!$A:$B,2,FALSE)</f>
        <v>5000</v>
      </c>
      <c r="I47" s="118">
        <f>VLOOKUP(S47,'FS Data'!$A:$B,2,FALSE)</f>
        <v>50000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48195</v>
      </c>
      <c r="H48" s="117">
        <f>VLOOKUP(R48,'FS Data'!$A:$B,2,FALSE)</f>
        <v>1071</v>
      </c>
      <c r="I48" s="118">
        <f>VLOOKUP(S48,'FS Data'!$A:$B,2,FALSE)</f>
        <v>10710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6" t="s">
        <v>600</v>
      </c>
      <c r="D49" s="819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6" t="s">
        <v>601</v>
      </c>
      <c r="D50" s="819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2491</v>
      </c>
      <c r="G51" s="118">
        <f>VLOOKUP(Q51,'FS Data'!$A:$B,2,FALSE)</f>
        <v>25819</v>
      </c>
      <c r="H51" s="117">
        <f>VLOOKUP(R51,'FS Data'!$A:$B,2,FALSE)</f>
        <v>554</v>
      </c>
      <c r="I51" s="118">
        <f>VLOOKUP(S51,'FS Data'!$A:$B,2,FALSE)</f>
        <v>5737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6" t="s">
        <v>603</v>
      </c>
      <c r="D52" s="819"/>
      <c r="E52" s="295">
        <v>85</v>
      </c>
      <c r="F52" s="117">
        <f>VLOOKUP(P52,'FS Data'!$A:$B,2,FALSE)</f>
        <v>1957</v>
      </c>
      <c r="G52" s="118">
        <f>VLOOKUP(Q52,'FS Data'!$A:$B,2,FALSE)</f>
        <v>19574</v>
      </c>
      <c r="H52" s="117">
        <f>VLOOKUP(R52,'FS Data'!$A:$B,2,FALSE)</f>
        <v>435</v>
      </c>
      <c r="I52" s="118">
        <f>VLOOKUP(S52,'FS Data'!$A:$B,2,FALSE)</f>
        <v>4350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1825</v>
      </c>
      <c r="G53" s="144">
        <f>VLOOKUP(Q53,'FS Data'!$A:$B,2,FALSE)</f>
        <v>21848</v>
      </c>
      <c r="H53" s="143">
        <f>VLOOKUP(R53,'FS Data'!$A:$B,2,FALSE)</f>
        <v>405</v>
      </c>
      <c r="I53" s="144">
        <f>VLOOKUP(S53,'FS Data'!$A:$B,2,FALSE)</f>
        <v>4855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17" t="s">
        <v>636</v>
      </c>
      <c r="D54" s="818"/>
      <c r="E54" s="819"/>
      <c r="F54" s="145">
        <f>VLOOKUP(P54,'FS Data'!$A:$B,2,FALSE)</f>
        <v>33593</v>
      </c>
      <c r="G54" s="146">
        <f>VLOOKUP(Q54,'FS Data'!$A:$B,2,FALSE)</f>
        <v>340436</v>
      </c>
      <c r="H54" s="145">
        <f>VLOOKUP(R54,'FS Data'!$A:$B,2,FALSE)</f>
        <v>7465</v>
      </c>
      <c r="I54" s="146">
        <f>VLOOKUP(S54,'FS Data'!$A:$B,2,FALSE)</f>
        <v>75652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591</v>
      </c>
      <c r="H55" s="117">
        <f>VLOOKUP(R55,'FS Data'!$A:$B,2,FALSE)</f>
        <v>0</v>
      </c>
      <c r="I55" s="118">
        <f>VLOOKUP(S55,'FS Data'!$A:$B,2,FALSE)</f>
        <v>131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1068</v>
      </c>
      <c r="G56" s="118">
        <f>VLOOKUP(Q56,'FS Data'!$A:$B,2,FALSE)</f>
        <v>11065</v>
      </c>
      <c r="H56" s="117">
        <f>VLOOKUP(R56,'FS Data'!$A:$B,2,FALSE)</f>
        <v>237</v>
      </c>
      <c r="I56" s="118">
        <f>VLOOKUP(S56,'FS Data'!$A:$B,2,FALSE)</f>
        <v>2459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20768</v>
      </c>
      <c r="H58" s="117">
        <f>VLOOKUP(R58,'FS Data'!$A:$B,2,FALSE)</f>
        <v>462</v>
      </c>
      <c r="I58" s="118">
        <f>VLOOKUP(S58,'FS Data'!$A:$B,2,FALSE)</f>
        <v>4615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783</v>
      </c>
      <c r="H59" s="143">
        <f>VLOOKUP(R59,'FS Data'!$A:$B,2,FALSE)</f>
        <v>17</v>
      </c>
      <c r="I59" s="144">
        <f>VLOOKUP(S59,'FS Data'!$A:$B,2,FALSE)</f>
        <v>174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17" t="s">
        <v>637</v>
      </c>
      <c r="D60" s="818"/>
      <c r="E60" s="819"/>
      <c r="F60" s="145">
        <f>VLOOKUP(P60,'FS Data'!$A:$B,2,FALSE)</f>
        <v>36816</v>
      </c>
      <c r="G60" s="146">
        <f>VLOOKUP(Q60,'FS Data'!$A:$B,2,FALSE)</f>
        <v>373643</v>
      </c>
      <c r="H60" s="145">
        <f>VLOOKUP(R60,'FS Data'!$A:$B,2,FALSE)</f>
        <v>8181</v>
      </c>
      <c r="I60" s="146">
        <f>VLOOKUP(S60,'FS Data'!$A:$B,2,FALSE)</f>
        <v>83031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17" t="s">
        <v>638</v>
      </c>
      <c r="D61" s="818"/>
      <c r="E61" s="819"/>
      <c r="F61" s="145">
        <f>VLOOKUP(P61,'FS Data'!$A:$B,2,FALSE)</f>
        <v>114597</v>
      </c>
      <c r="G61" s="146">
        <f>VLOOKUP(Q61,'FS Data'!$A:$B,2,FALSE)</f>
        <v>1111708</v>
      </c>
      <c r="H61" s="145">
        <f>VLOOKUP(R61,'FS Data'!$A:$B,2,FALSE)</f>
        <v>36899</v>
      </c>
      <c r="I61" s="146">
        <f>VLOOKUP(S61,'FS Data'!$A:$B,2,FALSE)</f>
        <v>363994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20" t="s">
        <v>639</v>
      </c>
      <c r="D62" s="821"/>
      <c r="E62" s="822"/>
      <c r="F62" s="145">
        <f>VLOOKUP(P62,'FS Data'!$A:$B,2,FALSE)</f>
        <v>195151</v>
      </c>
      <c r="G62" s="146">
        <f>VLOOKUP(Q62,'FS Data'!$A:$B,2,FALSE)</f>
        <v>1911544</v>
      </c>
      <c r="H62" s="145">
        <f>VLOOKUP(R62,'FS Data'!$A:$B,2,FALSE)</f>
        <v>68773</v>
      </c>
      <c r="I62" s="146">
        <f>VLOOKUP(S62,'FS Data'!$A:$B,2,FALSE)</f>
        <v>728071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20" t="s">
        <v>640</v>
      </c>
      <c r="D63" s="821"/>
      <c r="E63" s="822"/>
      <c r="F63" s="145">
        <f>VLOOKUP(P63,'FS Data'!$A:$B,2,FALSE)</f>
        <v>-3756</v>
      </c>
      <c r="G63" s="146">
        <f>VLOOKUP(Q63,'FS Data'!$A:$B,2,FALSE)</f>
        <v>-193506</v>
      </c>
      <c r="H63" s="145">
        <f>VLOOKUP(R63,'FS Data'!$A:$B,2,FALSE)</f>
        <v>11298</v>
      </c>
      <c r="I63" s="146">
        <f>VLOOKUP(S63,'FS Data'!$A:$B,2,FALSE)</f>
        <v>58679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  <mergeCell ref="B1:L1"/>
    <mergeCell ref="B2:B3"/>
    <mergeCell ref="C2:D3"/>
    <mergeCell ref="E2:E3"/>
    <mergeCell ref="H2:I2"/>
    <mergeCell ref="J2:K2"/>
    <mergeCell ref="L2:M2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A32" zoomScale="80" zoomScaleNormal="80" zoomScaleSheetLayoutView="75" workbookViewId="0">
      <selection activeCell="Z36" sqref="Z36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09" t="s">
        <v>494</v>
      </c>
      <c r="C2" s="811" t="s">
        <v>557</v>
      </c>
      <c r="D2" s="812"/>
      <c r="E2" s="814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186388</v>
      </c>
      <c r="G4" s="118">
        <f>VLOOKUP(T4,'FS Data'!$A:$B,2,FALSE)</f>
        <v>1383737</v>
      </c>
      <c r="H4" s="20">
        <f>VLOOKUP(U4,'FS Data'!$A:$B,2,FALSE)</f>
        <v>350668</v>
      </c>
      <c r="I4" s="118">
        <f>VLOOKUP(V4,'FS Data'!$A:$B,2,FALSE)</f>
        <v>2716554</v>
      </c>
      <c r="J4" s="20">
        <f>VLOOKUP(W4,'FS Data'!$A:$B,2,FALSE)</f>
        <v>6515</v>
      </c>
      <c r="K4" s="118">
        <f>VLOOKUP(X4,'FS Data'!$A:$B,2,FALSE)</f>
        <v>24757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128469</v>
      </c>
      <c r="G5" s="118">
        <f>VLOOKUP(T5,'FS Data'!$A:$B,2,FALSE)</f>
        <v>894172</v>
      </c>
      <c r="H5" s="20">
        <f>VLOOKUP(U5,'FS Data'!$A:$B,2,FALSE)</f>
        <v>115523</v>
      </c>
      <c r="I5" s="118">
        <f>VLOOKUP(V5,'FS Data'!$A:$B,2,FALSE)</f>
        <v>846306</v>
      </c>
      <c r="J5" s="20">
        <f>VLOOKUP(W5,'FS Data'!$A:$B,2,FALSE)</f>
        <v>689</v>
      </c>
      <c r="K5" s="118">
        <f>VLOOKUP(X5,'FS Data'!$A:$B,2,FALSE)</f>
        <v>3473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8"/>
      <c r="D6" s="829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4720</v>
      </c>
      <c r="G7" s="118">
        <f>VLOOKUP(T7,'FS Data'!$A:$B,2,FALSE)</f>
        <v>55998</v>
      </c>
      <c r="H7" s="20">
        <f>VLOOKUP(U7,'FS Data'!$A:$B,2,FALSE)</f>
        <v>8007</v>
      </c>
      <c r="I7" s="118">
        <f>VLOOKUP(V7,'FS Data'!$A:$B,2,FALSE)</f>
        <v>33851</v>
      </c>
      <c r="J7" s="20">
        <f>VLOOKUP(W7,'FS Data'!$A:$B,2,FALSE)</f>
        <v>7</v>
      </c>
      <c r="K7" s="118">
        <f>VLOOKUP(X7,'FS Data'!$A:$B,2,FALSE)</f>
        <v>111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6" t="s">
        <v>565</v>
      </c>
      <c r="D8" s="827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17" t="s">
        <v>646</v>
      </c>
      <c r="D9" s="818"/>
      <c r="E9" s="819"/>
      <c r="F9" s="145">
        <f>VLOOKUP(S9,'FS Data'!$A:$B,2,FALSE)</f>
        <v>4720</v>
      </c>
      <c r="G9" s="146">
        <f>VLOOKUP(T9,'FS Data'!$A:$B,2,FALSE)</f>
        <v>55998</v>
      </c>
      <c r="H9" s="149">
        <f>VLOOKUP(U9,'FS Data'!$A:$B,2,FALSE)</f>
        <v>8007</v>
      </c>
      <c r="I9" s="146">
        <f>VLOOKUP(V9,'FS Data'!$A:$B,2,FALSE)</f>
        <v>33851</v>
      </c>
      <c r="J9" s="149">
        <f>VLOOKUP(W9,'FS Data'!$A:$B,2,FALSE)</f>
        <v>7</v>
      </c>
      <c r="K9" s="146">
        <f>VLOOKUP(X9,'FS Data'!$A:$B,2,FALSE)</f>
        <v>111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3515</v>
      </c>
      <c r="G10" s="118">
        <f>VLOOKUP(T10,'FS Data'!$A:$B,2,FALSE)</f>
        <v>30175</v>
      </c>
      <c r="H10" s="20">
        <f>VLOOKUP(U10,'FS Data'!$A:$B,2,FALSE)</f>
        <v>3124</v>
      </c>
      <c r="I10" s="118">
        <f>VLOOKUP(V10,'FS Data'!$A:$B,2,FALSE)</f>
        <v>26822</v>
      </c>
      <c r="J10" s="20">
        <f>VLOOKUP(W10,'FS Data'!$A:$B,2,FALSE)</f>
        <v>390</v>
      </c>
      <c r="K10" s="118">
        <f>VLOOKUP(X10,'FS Data'!$A:$B,2,FALSE)</f>
        <v>3353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13006</v>
      </c>
      <c r="G11" s="118">
        <f>VLOOKUP(T11,'FS Data'!$A:$B,2,FALSE)</f>
        <v>84911</v>
      </c>
      <c r="H11" s="20">
        <f>VLOOKUP(U11,'FS Data'!$A:$B,2,FALSE)</f>
        <v>2434</v>
      </c>
      <c r="I11" s="118">
        <f>VLOOKUP(V11,'FS Data'!$A:$B,2,FALSE)</f>
        <v>34047</v>
      </c>
      <c r="J11" s="20">
        <f>VLOOKUP(W11,'FS Data'!$A:$B,2,FALSE)</f>
        <v>304</v>
      </c>
      <c r="K11" s="118">
        <f>VLOOKUP(X11,'FS Data'!$A:$B,2,FALSE)</f>
        <v>3043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5059</v>
      </c>
      <c r="G12" s="118">
        <f>VLOOKUP(T12,'FS Data'!$A:$B,2,FALSE)</f>
        <v>47502</v>
      </c>
      <c r="H12" s="20">
        <f>VLOOKUP(U12,'FS Data'!$A:$B,2,FALSE)</f>
        <v>3028</v>
      </c>
      <c r="I12" s="118">
        <f>VLOOKUP(V12,'FS Data'!$A:$B,2,FALSE)</f>
        <v>26953</v>
      </c>
      <c r="J12" s="20">
        <f>VLOOKUP(W12,'FS Data'!$A:$B,2,FALSE)</f>
        <v>378</v>
      </c>
      <c r="K12" s="118">
        <f>VLOOKUP(X12,'FS Data'!$A:$B,2,FALSE)</f>
        <v>3369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15814</v>
      </c>
      <c r="G13" s="118">
        <f>VLOOKUP(T13,'FS Data'!$A:$B,2,FALSE)</f>
        <v>113392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9581</v>
      </c>
      <c r="G14" s="118">
        <f>VLOOKUP(T14,'FS Data'!$A:$B,2,FALSE)</f>
        <v>53041</v>
      </c>
      <c r="H14" s="20">
        <f>VLOOKUP(U14,'FS Data'!$A:$B,2,FALSE)</f>
        <v>15277</v>
      </c>
      <c r="I14" s="118">
        <f>VLOOKUP(V14,'FS Data'!$A:$B,2,FALSE)</f>
        <v>124736</v>
      </c>
      <c r="J14" s="20">
        <f>VLOOKUP(W14,'FS Data'!$A:$B,2,FALSE)</f>
        <v>19</v>
      </c>
      <c r="K14" s="118">
        <f>VLOOKUP(X14,'FS Data'!$A:$B,2,FALSE)</f>
        <v>190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6" t="s">
        <v>573</v>
      </c>
      <c r="D15" s="819"/>
      <c r="E15" s="295">
        <v>24</v>
      </c>
      <c r="F15" s="117">
        <f>VLOOKUP(S15,'FS Data'!$A:$B,2,FALSE)</f>
        <v>8709</v>
      </c>
      <c r="G15" s="118">
        <f>VLOOKUP(T15,'FS Data'!$A:$B,2,FALSE)</f>
        <v>72120</v>
      </c>
      <c r="H15" s="20">
        <f>VLOOKUP(U15,'FS Data'!$A:$B,2,FALSE)</f>
        <v>1844</v>
      </c>
      <c r="I15" s="118">
        <f>VLOOKUP(V15,'FS Data'!$A:$B,2,FALSE)</f>
        <v>26268</v>
      </c>
      <c r="J15" s="20">
        <f>VLOOKUP(W15,'FS Data'!$A:$B,2,FALSE)</f>
        <v>51</v>
      </c>
      <c r="K15" s="118">
        <f>VLOOKUP(X15,'FS Data'!$A:$B,2,FALSE)</f>
        <v>961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12169</v>
      </c>
      <c r="G16" s="118">
        <f>VLOOKUP(T16,'FS Data'!$A:$B,2,FALSE)</f>
        <v>98223</v>
      </c>
      <c r="H16" s="20">
        <f>VLOOKUP(U16,'FS Data'!$A:$B,2,FALSE)</f>
        <v>3046</v>
      </c>
      <c r="I16" s="118">
        <f>VLOOKUP(V16,'FS Data'!$A:$B,2,FALSE)</f>
        <v>34635</v>
      </c>
      <c r="J16" s="20">
        <f>VLOOKUP(W16,'FS Data'!$A:$B,2,FALSE)</f>
        <v>219</v>
      </c>
      <c r="K16" s="118">
        <f>VLOOKUP(X16,'FS Data'!$A:$B,2,FALSE)</f>
        <v>2828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4870</v>
      </c>
      <c r="G17" s="118">
        <f>VLOOKUP(T17,'FS Data'!$A:$B,2,FALSE)</f>
        <v>43898</v>
      </c>
      <c r="H17" s="20">
        <f>VLOOKUP(U17,'FS Data'!$A:$B,2,FALSE)</f>
        <v>1782</v>
      </c>
      <c r="I17" s="118">
        <f>VLOOKUP(V17,'FS Data'!$A:$B,2,FALSE)</f>
        <v>17763</v>
      </c>
      <c r="J17" s="20">
        <f>VLOOKUP(W17,'FS Data'!$A:$B,2,FALSE)</f>
        <v>48</v>
      </c>
      <c r="K17" s="118">
        <f>VLOOKUP(X17,'FS Data'!$A:$B,2,FALSE)</f>
        <v>487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1647</v>
      </c>
      <c r="G18" s="118">
        <f>VLOOKUP(T18,'FS Data'!$A:$B,2,FALSE)</f>
        <v>11847</v>
      </c>
      <c r="H18" s="20">
        <f>VLOOKUP(U18,'FS Data'!$A:$B,2,FALSE)</f>
        <v>280</v>
      </c>
      <c r="I18" s="118">
        <f>VLOOKUP(V18,'FS Data'!$A:$B,2,FALSE)</f>
        <v>2937</v>
      </c>
      <c r="J18" s="20">
        <f>VLOOKUP(W18,'FS Data'!$A:$B,2,FALSE)</f>
        <v>5</v>
      </c>
      <c r="K18" s="118">
        <f>VLOOKUP(X18,'FS Data'!$A:$B,2,FALSE)</f>
        <v>47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17" t="s">
        <v>647</v>
      </c>
      <c r="D20" s="818"/>
      <c r="E20" s="819"/>
      <c r="F20" s="145">
        <f>VLOOKUP(S20,'FS Data'!$A:$B,2,FALSE)</f>
        <v>74370</v>
      </c>
      <c r="G20" s="146">
        <f>VLOOKUP(T20,'FS Data'!$A:$B,2,FALSE)</f>
        <v>555109</v>
      </c>
      <c r="H20" s="149">
        <f>VLOOKUP(U20,'FS Data'!$A:$B,2,FALSE)</f>
        <v>30815</v>
      </c>
      <c r="I20" s="146">
        <f>VLOOKUP(V20,'FS Data'!$A:$B,2,FALSE)</f>
        <v>294161</v>
      </c>
      <c r="J20" s="149">
        <f>VLOOKUP(W20,'FS Data'!$A:$B,2,FALSE)</f>
        <v>1414</v>
      </c>
      <c r="K20" s="146">
        <f>VLOOKUP(X20,'FS Data'!$A:$B,2,FALSE)</f>
        <v>14278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740</v>
      </c>
      <c r="G21" s="118">
        <f>VLOOKUP(T21,'FS Data'!$A:$B,2,FALSE)</f>
        <v>10275</v>
      </c>
      <c r="H21" s="20">
        <f>VLOOKUP(U21,'FS Data'!$A:$B,2,FALSE)</f>
        <v>0</v>
      </c>
      <c r="I21" s="118">
        <f>VLOOKUP(V21,'FS Data'!$A:$B,2,FALSE)</f>
        <v>185</v>
      </c>
      <c r="J21" s="20">
        <f>VLOOKUP(W21,'FS Data'!$A:$B,2,FALSE)</f>
        <v>0</v>
      </c>
      <c r="K21" s="118">
        <f>VLOOKUP(X21,'FS Data'!$A:$B,2,FALSE)</f>
        <v>23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2037</v>
      </c>
      <c r="G22" s="118">
        <f>VLOOKUP(T22,'FS Data'!$A:$B,2,FALSE)</f>
        <v>17708</v>
      </c>
      <c r="H22" s="20">
        <f>VLOOKUP(U22,'FS Data'!$A:$B,2,FALSE)</f>
        <v>1370</v>
      </c>
      <c r="I22" s="118">
        <f>VLOOKUP(V22,'FS Data'!$A:$B,2,FALSE)</f>
        <v>12217</v>
      </c>
      <c r="J22" s="20">
        <f>VLOOKUP(W22,'FS Data'!$A:$B,2,FALSE)</f>
        <v>171</v>
      </c>
      <c r="K22" s="118">
        <f>VLOOKUP(X22,'FS Data'!$A:$B,2,FALSE)</f>
        <v>1527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428</v>
      </c>
      <c r="G23" s="118">
        <f>VLOOKUP(T23,'FS Data'!$A:$B,2,FALSE)</f>
        <v>3597</v>
      </c>
      <c r="H23" s="20">
        <f>VLOOKUP(U23,'FS Data'!$A:$B,2,FALSE)</f>
        <v>381</v>
      </c>
      <c r="I23" s="118">
        <f>VLOOKUP(V23,'FS Data'!$A:$B,2,FALSE)</f>
        <v>3093</v>
      </c>
      <c r="J23" s="20">
        <f>VLOOKUP(W23,'FS Data'!$A:$B,2,FALSE)</f>
        <v>48</v>
      </c>
      <c r="K23" s="118">
        <f>VLOOKUP(X23,'FS Data'!$A:$B,2,FALSE)</f>
        <v>300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2212</v>
      </c>
      <c r="G24" s="118">
        <f>VLOOKUP(T24,'FS Data'!$A:$B,2,FALSE)</f>
        <v>10952</v>
      </c>
      <c r="H24" s="20">
        <f>VLOOKUP(U24,'FS Data'!$A:$B,2,FALSE)</f>
        <v>2</v>
      </c>
      <c r="I24" s="118">
        <f>VLOOKUP(V24,'FS Data'!$A:$B,2,FALSE)</f>
        <v>3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3024</v>
      </c>
      <c r="G25" s="118">
        <f>VLOOKUP(T25,'FS Data'!$A:$B,2,FALSE)</f>
        <v>8484</v>
      </c>
      <c r="H25" s="20">
        <f>VLOOKUP(U25,'FS Data'!$A:$B,2,FALSE)</f>
        <v>242</v>
      </c>
      <c r="I25" s="118">
        <f>VLOOKUP(V25,'FS Data'!$A:$B,2,FALSE)</f>
        <v>3290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1363</v>
      </c>
      <c r="G27" s="118">
        <f>VLOOKUP(T27,'FS Data'!$A:$B,2,FALSE)</f>
        <v>20907</v>
      </c>
      <c r="H27" s="20">
        <f>VLOOKUP(U27,'FS Data'!$A:$B,2,FALSE)</f>
        <v>327</v>
      </c>
      <c r="I27" s="118">
        <f>VLOOKUP(V27,'FS Data'!$A:$B,2,FALSE)</f>
        <v>3469</v>
      </c>
      <c r="J27" s="20">
        <f>VLOOKUP(W27,'FS Data'!$A:$B,2,FALSE)</f>
        <v>0</v>
      </c>
      <c r="K27" s="118">
        <f>VLOOKUP(X27,'FS Data'!$A:$B,2,FALSE)</f>
        <v>138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6363</v>
      </c>
      <c r="G28" s="118">
        <f>VLOOKUP(T28,'FS Data'!$A:$B,2,FALSE)</f>
        <v>56691</v>
      </c>
      <c r="H28" s="20">
        <f>VLOOKUP(U28,'FS Data'!$A:$B,2,FALSE)</f>
        <v>2020</v>
      </c>
      <c r="I28" s="118">
        <f>VLOOKUP(V28,'FS Data'!$A:$B,2,FALSE)</f>
        <v>17812</v>
      </c>
      <c r="J28" s="20">
        <f>VLOOKUP(W28,'FS Data'!$A:$B,2,FALSE)</f>
        <v>234</v>
      </c>
      <c r="K28" s="118">
        <f>VLOOKUP(X28,'FS Data'!$A:$B,2,FALSE)</f>
        <v>2155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8677</v>
      </c>
      <c r="G29" s="118">
        <f>VLOOKUP(T29,'FS Data'!$A:$B,2,FALSE)</f>
        <v>57474</v>
      </c>
      <c r="H29" s="20">
        <f>VLOOKUP(U29,'FS Data'!$A:$B,2,FALSE)</f>
        <v>1470</v>
      </c>
      <c r="I29" s="118">
        <f>VLOOKUP(V29,'FS Data'!$A:$B,2,FALSE)</f>
        <v>17547</v>
      </c>
      <c r="J29" s="20">
        <f>VLOOKUP(W29,'FS Data'!$A:$B,2,FALSE)</f>
        <v>144</v>
      </c>
      <c r="K29" s="118">
        <f>VLOOKUP(X29,'FS Data'!$A:$B,2,FALSE)</f>
        <v>1658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556</v>
      </c>
      <c r="G30" s="118">
        <f>VLOOKUP(T30,'FS Data'!$A:$B,2,FALSE)</f>
        <v>6764</v>
      </c>
      <c r="H30" s="20">
        <f>VLOOKUP(U30,'FS Data'!$A:$B,2,FALSE)</f>
        <v>448</v>
      </c>
      <c r="I30" s="118">
        <f>VLOOKUP(V30,'FS Data'!$A:$B,2,FALSE)</f>
        <v>2620</v>
      </c>
      <c r="J30" s="20">
        <f>VLOOKUP(W30,'FS Data'!$A:$B,2,FALSE)</f>
        <v>56</v>
      </c>
      <c r="K30" s="118">
        <f>VLOOKUP(X30,'FS Data'!$A:$B,2,FALSE)</f>
        <v>307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6" t="s">
        <v>588</v>
      </c>
      <c r="D31" s="819"/>
      <c r="E31" s="295">
        <v>72</v>
      </c>
      <c r="F31" s="117">
        <f>VLOOKUP(S31,'FS Data'!$A:$B,2,FALSE)</f>
        <v>64</v>
      </c>
      <c r="G31" s="118">
        <f>VLOOKUP(T31,'FS Data'!$A:$B,2,FALSE)</f>
        <v>819</v>
      </c>
      <c r="H31" s="20">
        <f>VLOOKUP(U31,'FS Data'!$A:$B,2,FALSE)</f>
        <v>57</v>
      </c>
      <c r="I31" s="118">
        <f>VLOOKUP(V31,'FS Data'!$A:$B,2,FALSE)</f>
        <v>728</v>
      </c>
      <c r="J31" s="20">
        <f>VLOOKUP(W31,'FS Data'!$A:$B,2,FALSE)</f>
        <v>7</v>
      </c>
      <c r="K31" s="118">
        <f>VLOOKUP(X31,'FS Data'!$A:$B,2,FALSE)</f>
        <v>91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14192</v>
      </c>
      <c r="H32" s="20">
        <f>VLOOKUP(U32,'FS Data'!$A:$B,2,FALSE)</f>
        <v>1261</v>
      </c>
      <c r="I32" s="118">
        <f>VLOOKUP(V32,'FS Data'!$A:$B,2,FALSE)</f>
        <v>12615</v>
      </c>
      <c r="J32" s="20">
        <f>VLOOKUP(W32,'FS Data'!$A:$B,2,FALSE)</f>
        <v>158</v>
      </c>
      <c r="K32" s="118">
        <f>VLOOKUP(X32,'FS Data'!$A:$B,2,FALSE)</f>
        <v>1577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73</v>
      </c>
      <c r="G33" s="118">
        <f>VLOOKUP(T33,'FS Data'!$A:$B,2,FALSE)</f>
        <v>994</v>
      </c>
      <c r="H33" s="20">
        <f>VLOOKUP(U33,'FS Data'!$A:$B,2,FALSE)</f>
        <v>102</v>
      </c>
      <c r="I33" s="118">
        <f>VLOOKUP(V33,'FS Data'!$A:$B,2,FALSE)</f>
        <v>1139</v>
      </c>
      <c r="J33" s="20">
        <f>VLOOKUP(W33,'FS Data'!$A:$B,2,FALSE)</f>
        <v>8</v>
      </c>
      <c r="K33" s="118">
        <f>VLOOKUP(X33,'FS Data'!$A:$B,2,FALSE)</f>
        <v>87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2268</v>
      </c>
      <c r="G34" s="118">
        <f>VLOOKUP(T34,'FS Data'!$A:$B,2,FALSE)</f>
        <v>11239</v>
      </c>
      <c r="H34" s="20">
        <f>VLOOKUP(U34,'FS Data'!$A:$B,2,FALSE)</f>
        <v>224</v>
      </c>
      <c r="I34" s="118">
        <f>VLOOKUP(V34,'FS Data'!$A:$B,2,FALSE)</f>
        <v>694</v>
      </c>
      <c r="J34" s="20">
        <f>VLOOKUP(W34,'FS Data'!$A:$B,2,FALSE)</f>
        <v>28</v>
      </c>
      <c r="K34" s="118">
        <f>VLOOKUP(X34,'FS Data'!$A:$B,2,FALSE)</f>
        <v>87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262</v>
      </c>
      <c r="G35" s="241">
        <f>VLOOKUP(T35,'FS Data'!$A:$B,2,FALSE)</f>
        <v>3701</v>
      </c>
      <c r="H35" s="242">
        <f>VLOOKUP(U35,'FS Data'!$A:$B,2,FALSE)</f>
        <v>233</v>
      </c>
      <c r="I35" s="118">
        <f>VLOOKUP(V35,'FS Data'!$A:$B,2,FALSE)</f>
        <v>2499</v>
      </c>
      <c r="J35" s="20">
        <f>VLOOKUP(W35,'FS Data'!$A:$B,2,FALSE)</f>
        <v>29</v>
      </c>
      <c r="K35" s="241">
        <f>VLOOKUP(X35,'FS Data'!$A:$B,2,FALSE)</f>
        <v>312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30" t="s">
        <v>593</v>
      </c>
      <c r="D36" s="829"/>
      <c r="E36" s="295">
        <v>78</v>
      </c>
      <c r="F36" s="117">
        <f>VLOOKUP(S36,'FS Data'!$A:$B,2,FALSE)</f>
        <v>281</v>
      </c>
      <c r="G36" s="241">
        <f>VLOOKUP(T36,'FS Data'!$A:$B,2,FALSE)</f>
        <v>1052</v>
      </c>
      <c r="H36" s="242">
        <f>VLOOKUP(U36,'FS Data'!$A:$B,2,FALSE)</f>
        <v>1279</v>
      </c>
      <c r="I36" s="118">
        <f>VLOOKUP(V36,'FS Data'!$A:$B,2,FALSE)</f>
        <v>5162</v>
      </c>
      <c r="J36" s="20">
        <f>VLOOKUP(W36,'FS Data'!$A:$B,2,FALSE)</f>
        <v>5</v>
      </c>
      <c r="K36" s="241">
        <f>VLOOKUP(X36,'FS Data'!$A:$B,2,FALSE)</f>
        <v>54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1974</v>
      </c>
      <c r="G38" s="241">
        <f>VLOOKUP(T38,'FS Data'!$A:$B,2,FALSE)</f>
        <v>14269</v>
      </c>
      <c r="H38" s="242">
        <f>VLOOKUP(U38,'FS Data'!$A:$B,2,FALSE)</f>
        <v>1755</v>
      </c>
      <c r="I38" s="118">
        <f>VLOOKUP(V38,'FS Data'!$A:$B,2,FALSE)</f>
        <v>12683</v>
      </c>
      <c r="J38" s="20">
        <f>VLOOKUP(W38,'FS Data'!$A:$B,2,FALSE)</f>
        <v>219</v>
      </c>
      <c r="K38" s="241">
        <f>VLOOKUP(X38,'FS Data'!$A:$B,2,FALSE)</f>
        <v>1585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3713</v>
      </c>
      <c r="G39" s="245">
        <f>VLOOKUP(T39,'FS Data'!$A:$B,2,FALSE)</f>
        <v>25910</v>
      </c>
      <c r="H39" s="246">
        <f>VLOOKUP(U39,'FS Data'!$A:$B,2,FALSE)</f>
        <v>3713</v>
      </c>
      <c r="I39" s="144">
        <f>VLOOKUP(V39,'FS Data'!$A:$B,2,FALSE)</f>
        <v>31950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17" t="s">
        <v>648</v>
      </c>
      <c r="D40" s="818"/>
      <c r="E40" s="819"/>
      <c r="F40" s="145">
        <f>VLOOKUP(S40,'FS Data'!$A:$B,2,FALSE)</f>
        <v>35454</v>
      </c>
      <c r="G40" s="146">
        <f>VLOOKUP(T40,'FS Data'!$A:$B,2,FALSE)</f>
        <v>265028</v>
      </c>
      <c r="H40" s="149">
        <f>VLOOKUP(U40,'FS Data'!$A:$B,2,FALSE)</f>
        <v>14884</v>
      </c>
      <c r="I40" s="146">
        <f>VLOOKUP(V40,'FS Data'!$A:$B,2,FALSE)</f>
        <v>127706</v>
      </c>
      <c r="J40" s="149">
        <f>VLOOKUP(W40,'FS Data'!$A:$B,2,FALSE)</f>
        <v>1107</v>
      </c>
      <c r="K40" s="146">
        <f>VLOOKUP(X40,'FS Data'!$A:$B,2,FALSE)</f>
        <v>9901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112500</v>
      </c>
      <c r="H41" s="20">
        <f>VLOOKUP(U41,'FS Data'!$A:$B,2,FALSE)</f>
        <v>10000</v>
      </c>
      <c r="I41" s="118">
        <f>VLOOKUP(V41,'FS Data'!$A:$B,2,FALSE)</f>
        <v>100000</v>
      </c>
      <c r="J41" s="20">
        <f>VLOOKUP(W41,'FS Data'!$A:$B,2,FALSE)</f>
        <v>1250</v>
      </c>
      <c r="K41" s="118">
        <f>VLOOKUP(X41,'FS Data'!$A:$B,2,FALSE)</f>
        <v>12500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24098</v>
      </c>
      <c r="H42" s="20">
        <f>VLOOKUP(U42,'FS Data'!$A:$B,2,FALSE)</f>
        <v>2142</v>
      </c>
      <c r="I42" s="118">
        <f>VLOOKUP(V42,'FS Data'!$A:$B,2,FALSE)</f>
        <v>21420</v>
      </c>
      <c r="J42" s="20">
        <f>VLOOKUP(W42,'FS Data'!$A:$B,2,FALSE)</f>
        <v>268</v>
      </c>
      <c r="K42" s="118">
        <f>VLOOKUP(X42,'FS Data'!$A:$B,2,FALSE)</f>
        <v>2678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6" t="s">
        <v>600</v>
      </c>
      <c r="D43" s="819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6" t="s">
        <v>601</v>
      </c>
      <c r="D44" s="819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1245</v>
      </c>
      <c r="G45" s="118">
        <f>VLOOKUP(T45,'FS Data'!$A:$B,2,FALSE)</f>
        <v>12909</v>
      </c>
      <c r="H45" s="20">
        <f>VLOOKUP(U45,'FS Data'!$A:$B,2,FALSE)</f>
        <v>1107</v>
      </c>
      <c r="I45" s="118">
        <f>VLOOKUP(V45,'FS Data'!$A:$B,2,FALSE)</f>
        <v>11475</v>
      </c>
      <c r="J45" s="20">
        <f>VLOOKUP(W45,'FS Data'!$A:$B,2,FALSE)</f>
        <v>138</v>
      </c>
      <c r="K45" s="118">
        <f>VLOOKUP(X45,'FS Data'!$A:$B,2,FALSE)</f>
        <v>1434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6" t="s">
        <v>603</v>
      </c>
      <c r="D46" s="819"/>
      <c r="E46" s="295">
        <v>85</v>
      </c>
      <c r="F46" s="117">
        <f>VLOOKUP(S46,'FS Data'!$A:$B,2,FALSE)</f>
        <v>979</v>
      </c>
      <c r="G46" s="118">
        <f>VLOOKUP(T46,'FS Data'!$A:$B,2,FALSE)</f>
        <v>9787</v>
      </c>
      <c r="H46" s="20">
        <f>VLOOKUP(U46,'FS Data'!$A:$B,2,FALSE)</f>
        <v>870</v>
      </c>
      <c r="I46" s="118">
        <f>VLOOKUP(V46,'FS Data'!$A:$B,2,FALSE)</f>
        <v>8700</v>
      </c>
      <c r="J46" s="20">
        <f>VLOOKUP(W46,'FS Data'!$A:$B,2,FALSE)</f>
        <v>109</v>
      </c>
      <c r="K46" s="118">
        <f>VLOOKUP(X46,'FS Data'!$A:$B,2,FALSE)</f>
        <v>1087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912</v>
      </c>
      <c r="G47" s="144">
        <f>VLOOKUP(T47,'FS Data'!$A:$B,2,FALSE)</f>
        <v>10924</v>
      </c>
      <c r="H47" s="147">
        <f>VLOOKUP(U47,'FS Data'!$A:$B,2,FALSE)</f>
        <v>811</v>
      </c>
      <c r="I47" s="144">
        <f>VLOOKUP(V47,'FS Data'!$A:$B,2,FALSE)</f>
        <v>9710</v>
      </c>
      <c r="J47" s="147">
        <f>VLOOKUP(W47,'FS Data'!$A:$B,2,FALSE)</f>
        <v>101</v>
      </c>
      <c r="K47" s="144">
        <f>VLOOKUP(X47,'FS Data'!$A:$B,2,FALSE)</f>
        <v>1214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17" t="s">
        <v>649</v>
      </c>
      <c r="D48" s="818"/>
      <c r="E48" s="819"/>
      <c r="F48" s="145">
        <f>VLOOKUP(S48,'FS Data'!$A:$B,2,FALSE)</f>
        <v>16796</v>
      </c>
      <c r="G48" s="146">
        <f>VLOOKUP(T48,'FS Data'!$A:$B,2,FALSE)</f>
        <v>170218</v>
      </c>
      <c r="H48" s="149">
        <f>VLOOKUP(U48,'FS Data'!$A:$B,2,FALSE)</f>
        <v>14930</v>
      </c>
      <c r="I48" s="146">
        <f>VLOOKUP(V48,'FS Data'!$A:$B,2,FALSE)</f>
        <v>151305</v>
      </c>
      <c r="J48" s="149">
        <f>VLOOKUP(W48,'FS Data'!$A:$B,2,FALSE)</f>
        <v>1866</v>
      </c>
      <c r="K48" s="146">
        <f>VLOOKUP(X48,'FS Data'!$A:$B,2,FALSE)</f>
        <v>18913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296</v>
      </c>
      <c r="H49" s="20">
        <f>VLOOKUP(U49,'FS Data'!$A:$B,2,FALSE)</f>
        <v>0</v>
      </c>
      <c r="I49" s="118">
        <f>VLOOKUP(V49,'FS Data'!$A:$B,2,FALSE)</f>
        <v>263</v>
      </c>
      <c r="J49" s="20">
        <f>VLOOKUP(W49,'FS Data'!$A:$B,2,FALSE)</f>
        <v>0</v>
      </c>
      <c r="K49" s="118">
        <f>VLOOKUP(X49,'FS Data'!$A:$B,2,FALSE)</f>
        <v>33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534</v>
      </c>
      <c r="G50" s="118">
        <f>VLOOKUP(T50,'FS Data'!$A:$B,2,FALSE)</f>
        <v>5533</v>
      </c>
      <c r="H50" s="20">
        <f>VLOOKUP(U50,'FS Data'!$A:$B,2,FALSE)</f>
        <v>474</v>
      </c>
      <c r="I50" s="118">
        <f>VLOOKUP(V50,'FS Data'!$A:$B,2,FALSE)</f>
        <v>4918</v>
      </c>
      <c r="J50" s="20">
        <f>VLOOKUP(W50,'FS Data'!$A:$B,2,FALSE)</f>
        <v>59</v>
      </c>
      <c r="K50" s="118">
        <f>VLOOKUP(X50,'FS Data'!$A:$B,2,FALSE)</f>
        <v>615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0</v>
      </c>
      <c r="G51" s="118">
        <f>VLOOKUP(T51,'FS Data'!$A:$B,2,FALSE)</f>
        <v>3586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65384</v>
      </c>
      <c r="H52" s="20">
        <f>VLOOKUP(U52,'FS Data'!$A:$B,2,FALSE)</f>
        <v>1068</v>
      </c>
      <c r="I52" s="118">
        <f>VLOOKUP(V52,'FS Data'!$A:$B,2,FALSE)</f>
        <v>10680</v>
      </c>
      <c r="J52" s="20">
        <f>VLOOKUP(W52,'FS Data'!$A:$B,2,FALSE)</f>
        <v>115</v>
      </c>
      <c r="K52" s="118">
        <f>VLOOKUP(X52,'FS Data'!$A:$B,2,FALSE)</f>
        <v>1154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395</v>
      </c>
      <c r="G53" s="144">
        <f>VLOOKUP(T53,'FS Data'!$A:$B,2,FALSE)</f>
        <v>747</v>
      </c>
      <c r="H53" s="147">
        <f>VLOOKUP(U53,'FS Data'!$A:$B,2,FALSE)</f>
        <v>35</v>
      </c>
      <c r="I53" s="144">
        <f>VLOOKUP(V53,'FS Data'!$A:$B,2,FALSE)</f>
        <v>348</v>
      </c>
      <c r="J53" s="147">
        <f>VLOOKUP(W53,'FS Data'!$A:$B,2,FALSE)</f>
        <v>4</v>
      </c>
      <c r="K53" s="144">
        <f>VLOOKUP(X53,'FS Data'!$A:$B,2,FALSE)</f>
        <v>44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3" t="s">
        <v>650</v>
      </c>
      <c r="D54" s="824"/>
      <c r="E54" s="825"/>
      <c r="F54" s="145">
        <f>VLOOKUP(S54,'FS Data'!$A:$B,2,FALSE)</f>
        <v>24263</v>
      </c>
      <c r="G54" s="146">
        <f>VLOOKUP(T54,'FS Data'!$A:$B,2,FALSE)</f>
        <v>245764</v>
      </c>
      <c r="H54" s="149">
        <f>VLOOKUP(U54,'FS Data'!$A:$B,2,FALSE)</f>
        <v>16507</v>
      </c>
      <c r="I54" s="146">
        <f>VLOOKUP(V54,'FS Data'!$A:$B,2,FALSE)</f>
        <v>167514</v>
      </c>
      <c r="J54" s="149">
        <f>VLOOKUP(W54,'FS Data'!$A:$B,2,FALSE)</f>
        <v>2044</v>
      </c>
      <c r="K54" s="146">
        <f>VLOOKUP(X54,'FS Data'!$A:$B,2,FALSE)</f>
        <v>20759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3" t="s">
        <v>651</v>
      </c>
      <c r="D55" s="824"/>
      <c r="E55" s="825"/>
      <c r="F55" s="145">
        <f>VLOOKUP(S55,'FS Data'!$A:$B,2,FALSE)</f>
        <v>134087</v>
      </c>
      <c r="G55" s="146">
        <f>VLOOKUP(T55,'FS Data'!$A:$B,2,FALSE)</f>
        <v>1065901</v>
      </c>
      <c r="H55" s="149">
        <f>VLOOKUP(U55,'FS Data'!$A:$B,2,FALSE)</f>
        <v>62206</v>
      </c>
      <c r="I55" s="146">
        <f>VLOOKUP(V55,'FS Data'!$A:$B,2,FALSE)</f>
        <v>589381</v>
      </c>
      <c r="J55" s="149">
        <f>VLOOKUP(W55,'FS Data'!$A:$B,2,FALSE)</f>
        <v>4565</v>
      </c>
      <c r="K55" s="146">
        <f>VLOOKUP(X55,'FS Data'!$A:$B,2,FALSE)</f>
        <v>44938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3" t="s">
        <v>652</v>
      </c>
      <c r="D56" s="824"/>
      <c r="E56" s="825"/>
      <c r="F56" s="145">
        <f>VLOOKUP(S56,'FS Data'!$A:$B,2,FALSE)</f>
        <v>138807</v>
      </c>
      <c r="G56" s="146">
        <f>VLOOKUP(T56,'FS Data'!$A:$B,2,FALSE)</f>
        <v>1121899</v>
      </c>
      <c r="H56" s="149">
        <f>VLOOKUP(U56,'FS Data'!$A:$B,2,FALSE)</f>
        <v>70213</v>
      </c>
      <c r="I56" s="146">
        <f>VLOOKUP(V56,'FS Data'!$A:$B,2,FALSE)</f>
        <v>623232</v>
      </c>
      <c r="J56" s="149">
        <f>VLOOKUP(W56,'FS Data'!$A:$B,2,FALSE)</f>
        <v>4572</v>
      </c>
      <c r="K56" s="146">
        <f>VLOOKUP(X56,'FS Data'!$A:$B,2,FALSE)</f>
        <v>45049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3" t="s">
        <v>653</v>
      </c>
      <c r="D57" s="824"/>
      <c r="E57" s="825"/>
      <c r="F57" s="145">
        <f>VLOOKUP(S57,'FS Data'!$A:$B,2,FALSE)</f>
        <v>-10338</v>
      </c>
      <c r="G57" s="146">
        <f>VLOOKUP(T57,'FS Data'!$A:$B,2,FALSE)</f>
        <v>-227727</v>
      </c>
      <c r="H57" s="149">
        <f>VLOOKUP(U57,'FS Data'!$A:$B,2,FALSE)</f>
        <v>45310</v>
      </c>
      <c r="I57" s="146">
        <f>VLOOKUP(V57,'FS Data'!$A:$B,2,FALSE)</f>
        <v>223074</v>
      </c>
      <c r="J57" s="149">
        <f>VLOOKUP(W57,'FS Data'!$A:$B,2,FALSE)</f>
        <v>-3883</v>
      </c>
      <c r="K57" s="146">
        <f>VLOOKUP(X57,'FS Data'!$A:$B,2,FALSE)</f>
        <v>-41576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31:D31"/>
    <mergeCell ref="C43:D43"/>
    <mergeCell ref="C44:D44"/>
    <mergeCell ref="C36:D36"/>
    <mergeCell ref="B2:B3"/>
    <mergeCell ref="C2:D3"/>
    <mergeCell ref="E2:E3"/>
    <mergeCell ref="C9:E9"/>
    <mergeCell ref="C20:E20"/>
    <mergeCell ref="C8:D8"/>
    <mergeCell ref="C6:D6"/>
    <mergeCell ref="C15:D15"/>
    <mergeCell ref="C57:E57"/>
    <mergeCell ref="C40:E40"/>
    <mergeCell ref="C48:E48"/>
    <mergeCell ref="C56:E56"/>
    <mergeCell ref="C46:D46"/>
    <mergeCell ref="C54:E54"/>
    <mergeCell ref="C55:E55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A51" zoomScale="80" zoomScaleNormal="80" zoomScaleSheetLayoutView="100" workbookViewId="0">
      <selection activeCell="Z36" sqref="Z36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33" t="s">
        <v>494</v>
      </c>
      <c r="C2" s="835" t="s">
        <v>688</v>
      </c>
      <c r="D2" s="836"/>
      <c r="E2" s="837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4"/>
      <c r="C3" s="839" t="s">
        <v>689</v>
      </c>
      <c r="D3" s="840"/>
      <c r="E3" s="838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1</v>
      </c>
      <c r="K6" s="123">
        <f>VLOOKUP(T6,'FS Data'!$A:$B,2,FALSE)</f>
        <v>49508</v>
      </c>
      <c r="L6" s="123">
        <f>VLOOKUP(U6,'FS Data'!$A:$B,2,FALSE)</f>
        <v>4540</v>
      </c>
      <c r="M6" s="247">
        <f>VLOOKUP(V6,'FS Data'!$A:$B,2,FALSE)</f>
        <v>4540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1</v>
      </c>
      <c r="K11" s="123">
        <f>VLOOKUP(T11,'FS Data'!$A:$B,2,FALSE)</f>
        <v>88210</v>
      </c>
      <c r="L11" s="123">
        <f>VLOOKUP(U11,'FS Data'!$A:$B,2,FALSE)</f>
        <v>3296</v>
      </c>
      <c r="M11" s="247">
        <f>VLOOKUP(V11,'FS Data'!$A:$B,2,FALSE)</f>
        <v>3296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31"/>
      <c r="E12" s="832"/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3</v>
      </c>
      <c r="K12" s="123">
        <f>VLOOKUP(T12,'FS Data'!$A:$B,2,FALSE)</f>
        <v>203961</v>
      </c>
      <c r="L12" s="123">
        <f>VLOOKUP(U12,'FS Data'!$A:$B,2,FALSE)</f>
        <v>9102</v>
      </c>
      <c r="M12" s="247">
        <f>VLOOKUP(V12,'FS Data'!$A:$B,2,FALSE)</f>
        <v>3034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1</v>
      </c>
      <c r="K13" s="123">
        <f>VLOOKUP(T13,'FS Data'!$A:$B,2,FALSE)</f>
        <v>63528</v>
      </c>
      <c r="L13" s="123">
        <f>VLOOKUP(U13,'FS Data'!$A:$B,2,FALSE)</f>
        <v>604</v>
      </c>
      <c r="M13" s="247">
        <f>VLOOKUP(V13,'FS Data'!$A:$B,2,FALSE)</f>
        <v>604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4</v>
      </c>
      <c r="K14" s="123">
        <f>VLOOKUP(T14,'FS Data'!$A:$B,2,FALSE)</f>
        <v>295643</v>
      </c>
      <c r="L14" s="123">
        <f>VLOOKUP(U14,'FS Data'!$A:$B,2,FALSE)</f>
        <v>17335</v>
      </c>
      <c r="M14" s="247">
        <f>VLOOKUP(V14,'FS Data'!$A:$B,2,FALSE)</f>
        <v>4334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2</v>
      </c>
      <c r="G17" s="123">
        <f>VLOOKUP(P17,'FS Data'!$A:$B,2,FALSE)</f>
        <v>181350</v>
      </c>
      <c r="H17" s="123">
        <f>VLOOKUP(Q17,'FS Data'!$A:$B,2,FALSE)</f>
        <v>6237</v>
      </c>
      <c r="I17" s="123">
        <f>VLOOKUP(R17,'FS Data'!$A:$B,2,FALSE)</f>
        <v>3119</v>
      </c>
      <c r="J17" s="123">
        <f>VLOOKUP(S17,'FS Data'!$A:$B,2,FALSE)</f>
        <v>2</v>
      </c>
      <c r="K17" s="123">
        <f>VLOOKUP(T17,'FS Data'!$A:$B,2,FALSE)</f>
        <v>181350</v>
      </c>
      <c r="L17" s="123">
        <f>VLOOKUP(U17,'FS Data'!$A:$B,2,FALSE)</f>
        <v>6237</v>
      </c>
      <c r="M17" s="247">
        <f>VLOOKUP(V17,'FS Data'!$A:$B,2,FALSE)</f>
        <v>3119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1</v>
      </c>
      <c r="G18" s="123">
        <f>VLOOKUP(P18,'FS Data'!$A:$B,2,FALSE)</f>
        <v>107635</v>
      </c>
      <c r="H18" s="123">
        <f>VLOOKUP(Q18,'FS Data'!$A:$B,2,FALSE)</f>
        <v>7098</v>
      </c>
      <c r="I18" s="123">
        <f>VLOOKUP(R18,'FS Data'!$A:$B,2,FALSE)</f>
        <v>7098</v>
      </c>
      <c r="J18" s="123">
        <f>VLOOKUP(S18,'FS Data'!$A:$B,2,FALSE)</f>
        <v>2</v>
      </c>
      <c r="K18" s="123">
        <f>VLOOKUP(T18,'FS Data'!$A:$B,2,FALSE)</f>
        <v>228059</v>
      </c>
      <c r="L18" s="123">
        <f>VLOOKUP(U18,'FS Data'!$A:$B,2,FALSE)</f>
        <v>15947</v>
      </c>
      <c r="M18" s="247">
        <f>VLOOKUP(V18,'FS Data'!$A:$B,2,FALSE)</f>
        <v>7974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31"/>
      <c r="E21" s="832"/>
      <c r="F21" s="123">
        <f>VLOOKUP(O21,'FS Data'!$A:$B,2,FALSE)</f>
        <v>3</v>
      </c>
      <c r="G21" s="123">
        <f>VLOOKUP(P21,'FS Data'!$A:$B,2,FALSE)</f>
        <v>288985</v>
      </c>
      <c r="H21" s="123">
        <f>VLOOKUP(Q21,'FS Data'!$A:$B,2,FALSE)</f>
        <v>13335</v>
      </c>
      <c r="I21" s="123">
        <f>VLOOKUP(R21,'FS Data'!$A:$B,2,FALSE)</f>
        <v>4445</v>
      </c>
      <c r="J21" s="123">
        <f>VLOOKUP(S21,'FS Data'!$A:$B,2,FALSE)</f>
        <v>11</v>
      </c>
      <c r="K21" s="123">
        <f>VLOOKUP(T21,'FS Data'!$A:$B,2,FALSE)</f>
        <v>955571</v>
      </c>
      <c r="L21" s="123">
        <f>VLOOKUP(U21,'FS Data'!$A:$B,2,FALSE)</f>
        <v>48449</v>
      </c>
      <c r="M21" s="247">
        <f>VLOOKUP(V21,'FS Data'!$A:$B,2,FALSE)</f>
        <v>4404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1</v>
      </c>
      <c r="K23" s="123">
        <f>VLOOKUP(T23,'FS Data'!$A:$B,2,FALSE)</f>
        <v>90274</v>
      </c>
      <c r="L23" s="123">
        <f>VLOOKUP(U23,'FS Data'!$A:$B,2,FALSE)</f>
        <v>7510</v>
      </c>
      <c r="M23" s="247">
        <f>VLOOKUP(V23,'FS Data'!$A:$B,2,FALSE)</f>
        <v>7510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2</v>
      </c>
      <c r="G24" s="123">
        <f>VLOOKUP(P24,'FS Data'!$A:$B,2,FALSE)</f>
        <v>138273</v>
      </c>
      <c r="H24" s="123">
        <f>VLOOKUP(Q24,'FS Data'!$A:$B,2,FALSE)</f>
        <v>12190</v>
      </c>
      <c r="I24" s="123">
        <f>VLOOKUP(R24,'FS Data'!$A:$B,2,FALSE)</f>
        <v>6095</v>
      </c>
      <c r="J24" s="123">
        <f>VLOOKUP(S24,'FS Data'!$A:$B,2,FALSE)</f>
        <v>9</v>
      </c>
      <c r="K24" s="123">
        <f>VLOOKUP(T24,'FS Data'!$A:$B,2,FALSE)</f>
        <v>626370</v>
      </c>
      <c r="L24" s="123">
        <f>VLOOKUP(U24,'FS Data'!$A:$B,2,FALSE)</f>
        <v>46448</v>
      </c>
      <c r="M24" s="247">
        <f>VLOOKUP(V24,'FS Data'!$A:$B,2,FALSE)</f>
        <v>5161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4</v>
      </c>
      <c r="G25" s="168">
        <f>VLOOKUP(P25,'FS Data'!$A:$B,2,FALSE)</f>
        <v>324698</v>
      </c>
      <c r="H25" s="168">
        <f>VLOOKUP(Q25,'FS Data'!$A:$B,2,FALSE)</f>
        <v>25095</v>
      </c>
      <c r="I25" s="123">
        <f>VLOOKUP(R25,'FS Data'!$A:$B,2,FALSE)</f>
        <v>6274</v>
      </c>
      <c r="J25" s="123">
        <f>VLOOKUP(S25,'FS Data'!$A:$B,2,FALSE)</f>
        <v>17</v>
      </c>
      <c r="K25" s="123">
        <f>VLOOKUP(T25,'FS Data'!$A:$B,2,FALSE)</f>
        <v>1397018</v>
      </c>
      <c r="L25" s="123">
        <f>VLOOKUP(U25,'FS Data'!$A:$B,2,FALSE)</f>
        <v>93048</v>
      </c>
      <c r="M25" s="247">
        <f>VLOOKUP(V25,'FS Data'!$A:$B,2,FALSE)</f>
        <v>5473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2</v>
      </c>
      <c r="K26" s="123">
        <f>VLOOKUP(T26,'FS Data'!$A:$B,2,FALSE)</f>
        <v>160942</v>
      </c>
      <c r="L26" s="123">
        <f>VLOOKUP(U26,'FS Data'!$A:$B,2,FALSE)</f>
        <v>4853</v>
      </c>
      <c r="M26" s="247">
        <f>VLOOKUP(V26,'FS Data'!$A:$B,2,FALSE)</f>
        <v>2427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4</v>
      </c>
      <c r="K27" s="123">
        <f>VLOOKUP(T27,'FS Data'!$A:$B,2,FALSE)</f>
        <v>345516</v>
      </c>
      <c r="L27" s="123">
        <f>VLOOKUP(U27,'FS Data'!$A:$B,2,FALSE)</f>
        <v>6137</v>
      </c>
      <c r="M27" s="247">
        <f>VLOOKUP(V27,'FS Data'!$A:$B,2,FALSE)</f>
        <v>1534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4</v>
      </c>
      <c r="K28" s="123">
        <f>VLOOKUP(T28,'FS Data'!$A:$B,2,FALSE)</f>
        <v>314506</v>
      </c>
      <c r="L28" s="123">
        <f>VLOOKUP(U28,'FS Data'!$A:$B,2,FALSE)</f>
        <v>23949</v>
      </c>
      <c r="M28" s="247">
        <f>VLOOKUP(V28,'FS Data'!$A:$B,2,FALSE)</f>
        <v>5987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1</v>
      </c>
      <c r="K29" s="123">
        <f>VLOOKUP(T29,'FS Data'!$A:$B,2,FALSE)</f>
        <v>97624</v>
      </c>
      <c r="L29" s="123">
        <f>VLOOKUP(U29,'FS Data'!$A:$B,2,FALSE)</f>
        <v>6867</v>
      </c>
      <c r="M29" s="247">
        <f>VLOOKUP(V29,'FS Data'!$A:$B,2,FALSE)</f>
        <v>6867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1</v>
      </c>
      <c r="K31" s="123">
        <f>VLOOKUP(T31,'FS Data'!$A:$B,2,FALSE)</f>
        <v>121995</v>
      </c>
      <c r="L31" s="123">
        <f>VLOOKUP(U31,'FS Data'!$A:$B,2,FALSE)</f>
        <v>5822</v>
      </c>
      <c r="M31" s="247">
        <f>VLOOKUP(V31,'FS Data'!$A:$B,2,FALSE)</f>
        <v>5822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1</v>
      </c>
      <c r="K32" s="123">
        <f>VLOOKUP(T32,'FS Data'!$A:$B,2,FALSE)</f>
        <v>133337</v>
      </c>
      <c r="L32" s="123">
        <f>VLOOKUP(U32,'FS Data'!$A:$B,2,FALSE)</f>
        <v>8694</v>
      </c>
      <c r="M32" s="247">
        <f>VLOOKUP(V32,'FS Data'!$A:$B,2,FALSE)</f>
        <v>8694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31"/>
      <c r="E34" s="832"/>
      <c r="F34" s="123">
        <f>VLOOKUP(O34,'FS Data'!$A:$B,2,FALSE)</f>
        <v>6</v>
      </c>
      <c r="G34" s="123">
        <f>VLOOKUP(P34,'FS Data'!$A:$B,2,FALSE)</f>
        <v>462971</v>
      </c>
      <c r="H34" s="123">
        <f>VLOOKUP(Q34,'FS Data'!$A:$B,2,FALSE)</f>
        <v>37285</v>
      </c>
      <c r="I34" s="123">
        <f>VLOOKUP(R34,'FS Data'!$A:$B,2,FALSE)</f>
        <v>6214</v>
      </c>
      <c r="J34" s="123">
        <f>VLOOKUP(S34,'FS Data'!$A:$B,2,FALSE)</f>
        <v>40</v>
      </c>
      <c r="K34" s="123">
        <f>VLOOKUP(T34,'FS Data'!$A:$B,2,FALSE)</f>
        <v>3287582</v>
      </c>
      <c r="L34" s="123">
        <f>VLOOKUP(U34,'FS Data'!$A:$B,2,FALSE)</f>
        <v>203328</v>
      </c>
      <c r="M34" s="247">
        <f>VLOOKUP(V34,'FS Data'!$A:$B,2,FALSE)</f>
        <v>5083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2</v>
      </c>
      <c r="K39" s="123">
        <f>VLOOKUP(T39,'FS Data'!$A:$B,2,FALSE)</f>
        <v>227979</v>
      </c>
      <c r="L39" s="123">
        <f>VLOOKUP(U39,'FS Data'!$A:$B,2,FALSE)</f>
        <v>11529</v>
      </c>
      <c r="M39" s="247">
        <f>VLOOKUP(V39,'FS Data'!$A:$B,2,FALSE)</f>
        <v>5765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2</v>
      </c>
      <c r="K41" s="123">
        <f>VLOOKUP(T41,'FS Data'!$A:$B,2,FALSE)</f>
        <v>227979</v>
      </c>
      <c r="L41" s="123">
        <f>VLOOKUP(U41,'FS Data'!$A:$B,2,FALSE)</f>
        <v>11529</v>
      </c>
      <c r="M41" s="247">
        <f>VLOOKUP(V41,'FS Data'!$A:$B,2,FALSE)</f>
        <v>5765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1</v>
      </c>
      <c r="G42" s="123">
        <f>VLOOKUP(P42,'FS Data'!$A:$B,2,FALSE)</f>
        <v>140923</v>
      </c>
      <c r="H42" s="123">
        <f>VLOOKUP(Q42,'FS Data'!$A:$B,2,FALSE)</f>
        <v>5911</v>
      </c>
      <c r="I42" s="123">
        <f>VLOOKUP(R42,'FS Data'!$A:$B,2,FALSE)</f>
        <v>5911</v>
      </c>
      <c r="J42" s="123">
        <f>VLOOKUP(S42,'FS Data'!$A:$B,2,FALSE)</f>
        <v>1</v>
      </c>
      <c r="K42" s="123">
        <f>VLOOKUP(T42,'FS Data'!$A:$B,2,FALSE)</f>
        <v>140923</v>
      </c>
      <c r="L42" s="123">
        <f>VLOOKUP(U42,'FS Data'!$A:$B,2,FALSE)</f>
        <v>5911</v>
      </c>
      <c r="M42" s="247">
        <f>VLOOKUP(V42,'FS Data'!$A:$B,2,FALSE)</f>
        <v>5911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1</v>
      </c>
      <c r="K43" s="123">
        <f>VLOOKUP(T43,'FS Data'!$A:$B,2,FALSE)</f>
        <v>118545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31"/>
      <c r="E46" s="832"/>
      <c r="F46" s="123">
        <f>VLOOKUP(O46,'FS Data'!$A:$B,2,FALSE)</f>
        <v>1</v>
      </c>
      <c r="G46" s="123">
        <f>VLOOKUP(P46,'FS Data'!$A:$B,2,FALSE)</f>
        <v>140923</v>
      </c>
      <c r="H46" s="123">
        <f>VLOOKUP(Q46,'FS Data'!$A:$B,2,FALSE)</f>
        <v>5911</v>
      </c>
      <c r="I46" s="123">
        <f>VLOOKUP(R46,'FS Data'!$A:$B,2,FALSE)</f>
        <v>5911</v>
      </c>
      <c r="J46" s="123">
        <f>VLOOKUP(S46,'FS Data'!$A:$B,2,FALSE)</f>
        <v>2</v>
      </c>
      <c r="K46" s="123">
        <f>VLOOKUP(T46,'FS Data'!$A:$B,2,FALSE)</f>
        <v>259468</v>
      </c>
      <c r="L46" s="123">
        <f>VLOOKUP(U46,'FS Data'!$A:$B,2,FALSE)</f>
        <v>5911</v>
      </c>
      <c r="M46" s="247">
        <f>VLOOKUP(V46,'FS Data'!$A:$B,2,FALSE)</f>
        <v>2956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31"/>
      <c r="E54" s="832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1</v>
      </c>
      <c r="K54" s="123">
        <f>VLOOKUP(T54,'FS Data'!$A:$B,2,FALSE)</f>
        <v>128274</v>
      </c>
      <c r="L54" s="123">
        <f>VLOOKUP(U54,'FS Data'!$A:$B,2,FALSE)</f>
        <v>13236</v>
      </c>
      <c r="M54" s="247">
        <f>VLOOKUP(V54,'FS Data'!$A:$B,2,FALSE)</f>
        <v>13236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2</v>
      </c>
      <c r="K55" s="123">
        <f>VLOOKUP(T55,'FS Data'!$A:$B,2,FALSE)</f>
        <v>156342</v>
      </c>
      <c r="L55" s="123">
        <f>VLOOKUP(U55,'FS Data'!$A:$B,2,FALSE)</f>
        <v>8632</v>
      </c>
      <c r="M55" s="247">
        <f>VLOOKUP(V55,'FS Data'!$A:$B,2,FALSE)</f>
        <v>4316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0</v>
      </c>
      <c r="G56" s="123">
        <f>VLOOKUP(P56,'FS Data'!$A:$B,2,FALSE)</f>
        <v>0</v>
      </c>
      <c r="H56" s="123">
        <f>VLOOKUP(Q56,'FS Data'!$A:$B,2,FALSE)</f>
        <v>0</v>
      </c>
      <c r="I56" s="123">
        <f>VLOOKUP(R56,'FS Data'!$A:$B,2,FALSE)</f>
        <v>0</v>
      </c>
      <c r="J56" s="123">
        <f>VLOOKUP(S56,'FS Data'!$A:$B,2,FALSE)</f>
        <v>4</v>
      </c>
      <c r="K56" s="123">
        <f>VLOOKUP(T56,'FS Data'!$A:$B,2,FALSE)</f>
        <v>363200</v>
      </c>
      <c r="L56" s="123">
        <f>VLOOKUP(U56,'FS Data'!$A:$B,2,FALSE)</f>
        <v>19697</v>
      </c>
      <c r="M56" s="247">
        <f>VLOOKUP(V56,'FS Data'!$A:$B,2,FALSE)</f>
        <v>4924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31"/>
      <c r="E57" s="832"/>
      <c r="F57" s="276">
        <f>VLOOKUP(O57,'FS Data'!$A:$B,2,FALSE)</f>
        <v>0</v>
      </c>
      <c r="G57" s="276">
        <f>VLOOKUP(P57,'FS Data'!$A:$B,2,FALSE)</f>
        <v>0</v>
      </c>
      <c r="H57" s="276">
        <f>VLOOKUP(Q57,'FS Data'!$A:$B,2,FALSE)</f>
        <v>0</v>
      </c>
      <c r="I57" s="276">
        <f>VLOOKUP(R57,'FS Data'!$A:$B,2,FALSE)</f>
        <v>0</v>
      </c>
      <c r="J57" s="276">
        <f>VLOOKUP(S57,'FS Data'!$A:$B,2,FALSE)</f>
        <v>6</v>
      </c>
      <c r="K57" s="276">
        <f>VLOOKUP(T57,'FS Data'!$A:$B,2,FALSE)</f>
        <v>519542</v>
      </c>
      <c r="L57" s="276">
        <f>VLOOKUP(U57,'FS Data'!$A:$B,2,FALSE)</f>
        <v>28329</v>
      </c>
      <c r="M57" s="275">
        <f>VLOOKUP(V57,'FS Data'!$A:$B,2,FALSE)</f>
        <v>4722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A81" zoomScale="80" zoomScaleNormal="80" zoomScaleSheetLayoutView="100" workbookViewId="0">
      <selection activeCell="Z36" sqref="Z36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43" t="s">
        <v>494</v>
      </c>
      <c r="C2" s="845" t="s">
        <v>688</v>
      </c>
      <c r="D2" s="846"/>
      <c r="E2" s="849" t="s">
        <v>493</v>
      </c>
      <c r="F2" s="845" t="s">
        <v>625</v>
      </c>
      <c r="G2" s="847"/>
      <c r="H2" s="847"/>
      <c r="I2" s="846"/>
      <c r="J2" s="845" t="s">
        <v>627</v>
      </c>
      <c r="K2" s="847"/>
      <c r="L2" s="847"/>
      <c r="M2" s="848"/>
    </row>
    <row r="3" spans="2:22" ht="15.75" customHeight="1" x14ac:dyDescent="0.25">
      <c r="B3" s="844"/>
      <c r="C3" s="845" t="s">
        <v>692</v>
      </c>
      <c r="D3" s="846"/>
      <c r="E3" s="850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4</v>
      </c>
      <c r="G5" s="123">
        <f>VLOOKUP(P5,'FS Data'!$A:$B,2,FALSE)</f>
        <v>238444</v>
      </c>
      <c r="H5" s="123">
        <f>VLOOKUP(Q5,'FS Data'!$A:$B,2,FALSE)</f>
        <v>13830</v>
      </c>
      <c r="I5" s="123">
        <f>VLOOKUP(R5,'FS Data'!$A:$B,2,FALSE)</f>
        <v>3458</v>
      </c>
      <c r="J5" s="123">
        <f>VLOOKUP(S5,'FS Data'!$A:$B,2,FALSE)</f>
        <v>21</v>
      </c>
      <c r="K5" s="123">
        <f>VLOOKUP(T5,'FS Data'!$A:$B,2,FALSE)</f>
        <v>1242076</v>
      </c>
      <c r="L5" s="123">
        <f>VLOOKUP(U5,'FS Data'!$A:$B,2,FALSE)</f>
        <v>75602</v>
      </c>
      <c r="M5" s="123">
        <f>VLOOKUP(V5,'FS Data'!$A:$B,2,FALSE)</f>
        <v>3600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1</v>
      </c>
      <c r="G6" s="123">
        <f>VLOOKUP(P6,'FS Data'!$A:$B,2,FALSE)</f>
        <v>74470</v>
      </c>
      <c r="H6" s="123">
        <f>VLOOKUP(Q6,'FS Data'!$A:$B,2,FALSE)</f>
        <v>4655</v>
      </c>
      <c r="I6" s="123">
        <f>VLOOKUP(R6,'FS Data'!$A:$B,2,FALSE)</f>
        <v>4655</v>
      </c>
      <c r="J6" s="123">
        <f>VLOOKUP(S6,'FS Data'!$A:$B,2,FALSE)</f>
        <v>3</v>
      </c>
      <c r="K6" s="123">
        <f>VLOOKUP(T6,'FS Data'!$A:$B,2,FALSE)</f>
        <v>214220</v>
      </c>
      <c r="L6" s="123">
        <f>VLOOKUP(U6,'FS Data'!$A:$B,2,FALSE)</f>
        <v>12982</v>
      </c>
      <c r="M6" s="123">
        <f>VLOOKUP(V6,'FS Data'!$A:$B,2,FALSE)</f>
        <v>4327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5</v>
      </c>
      <c r="G7" s="123">
        <f>VLOOKUP(P7,'FS Data'!$A:$B,2,FALSE)</f>
        <v>312914</v>
      </c>
      <c r="H7" s="123">
        <f>VLOOKUP(Q7,'FS Data'!$A:$B,2,FALSE)</f>
        <v>18485</v>
      </c>
      <c r="I7" s="123">
        <f>VLOOKUP(R7,'FS Data'!$A:$B,2,FALSE)</f>
        <v>3697</v>
      </c>
      <c r="J7" s="123">
        <f>VLOOKUP(S7,'FS Data'!$A:$B,2,FALSE)</f>
        <v>24</v>
      </c>
      <c r="K7" s="123">
        <f>VLOOKUP(T7,'FS Data'!$A:$B,2,FALSE)</f>
        <v>1456296</v>
      </c>
      <c r="L7" s="123">
        <f>VLOOKUP(U7,'FS Data'!$A:$B,2,FALSE)</f>
        <v>88584</v>
      </c>
      <c r="M7" s="123">
        <f>VLOOKUP(V7,'FS Data'!$A:$B,2,FALSE)</f>
        <v>3691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3</v>
      </c>
      <c r="G8" s="123">
        <f>VLOOKUP(P8,'FS Data'!$A:$B,2,FALSE)</f>
        <v>188224</v>
      </c>
      <c r="H8" s="123">
        <f>VLOOKUP(Q8,'FS Data'!$A:$B,2,FALSE)</f>
        <v>8588</v>
      </c>
      <c r="I8" s="123">
        <f>VLOOKUP(R8,'FS Data'!$A:$B,2,FALSE)</f>
        <v>2863</v>
      </c>
      <c r="J8" s="123">
        <f>VLOOKUP(S8,'FS Data'!$A:$B,2,FALSE)</f>
        <v>9</v>
      </c>
      <c r="K8" s="123">
        <f>VLOOKUP(T8,'FS Data'!$A:$B,2,FALSE)</f>
        <v>551322</v>
      </c>
      <c r="L8" s="123">
        <f>VLOOKUP(U8,'FS Data'!$A:$B,2,FALSE)</f>
        <v>30682</v>
      </c>
      <c r="M8" s="123">
        <f>VLOOKUP(V8,'FS Data'!$A:$B,2,FALSE)</f>
        <v>3409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1</v>
      </c>
      <c r="G9" s="123">
        <f>VLOOKUP(P9,'FS Data'!$A:$B,2,FALSE)</f>
        <v>79724</v>
      </c>
      <c r="H9" s="123">
        <f>VLOOKUP(Q9,'FS Data'!$A:$B,2,FALSE)</f>
        <v>5375</v>
      </c>
      <c r="I9" s="123">
        <f>VLOOKUP(R9,'FS Data'!$A:$B,2,FALSE)</f>
        <v>5375</v>
      </c>
      <c r="J9" s="123">
        <f>VLOOKUP(S9,'FS Data'!$A:$B,2,FALSE)</f>
        <v>2</v>
      </c>
      <c r="K9" s="123">
        <f>VLOOKUP(T9,'FS Data'!$A:$B,2,FALSE)</f>
        <v>169824</v>
      </c>
      <c r="L9" s="123">
        <f>VLOOKUP(U9,'FS Data'!$A:$B,2,FALSE)</f>
        <v>10510</v>
      </c>
      <c r="M9" s="123">
        <f>VLOOKUP(V9,'FS Data'!$A:$B,2,FALSE)</f>
        <v>5255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4</v>
      </c>
      <c r="G10" s="123">
        <f>VLOOKUP(P10,'FS Data'!$A:$B,2,FALSE)</f>
        <v>267948</v>
      </c>
      <c r="H10" s="123">
        <f>VLOOKUP(Q10,'FS Data'!$A:$B,2,FALSE)</f>
        <v>13963</v>
      </c>
      <c r="I10" s="123">
        <f>VLOOKUP(R10,'FS Data'!$A:$B,2,FALSE)</f>
        <v>3491</v>
      </c>
      <c r="J10" s="123">
        <f>VLOOKUP(S10,'FS Data'!$A:$B,2,FALSE)</f>
        <v>11</v>
      </c>
      <c r="K10" s="123">
        <f>VLOOKUP(T10,'FS Data'!$A:$B,2,FALSE)</f>
        <v>721146</v>
      </c>
      <c r="L10" s="123">
        <f>VLOOKUP(U10,'FS Data'!$A:$B,2,FALSE)</f>
        <v>41192</v>
      </c>
      <c r="M10" s="123">
        <f>VLOOKUP(V10,'FS Data'!$A:$B,2,FALSE)</f>
        <v>3745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23</v>
      </c>
      <c r="K11" s="123">
        <f>VLOOKUP(T11,'FS Data'!$A:$B,2,FALSE)</f>
        <v>1584891</v>
      </c>
      <c r="L11" s="123">
        <f>VLOOKUP(U11,'FS Data'!$A:$B,2,FALSE)</f>
        <v>98620</v>
      </c>
      <c r="M11" s="123">
        <f>VLOOKUP(V11,'FS Data'!$A:$B,2,FALSE)</f>
        <v>4288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4</v>
      </c>
      <c r="K12" s="123">
        <f>VLOOKUP(T12,'FS Data'!$A:$B,2,FALSE)</f>
        <v>355284</v>
      </c>
      <c r="L12" s="123">
        <f>VLOOKUP(U12,'FS Data'!$A:$B,2,FALSE)</f>
        <v>21788</v>
      </c>
      <c r="M12" s="123">
        <f>VLOOKUP(V12,'FS Data'!$A:$B,2,FALSE)</f>
        <v>5447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3</v>
      </c>
      <c r="G13" s="123">
        <f>VLOOKUP(P13,'FS Data'!$A:$B,2,FALSE)</f>
        <v>236790</v>
      </c>
      <c r="H13" s="123">
        <f>VLOOKUP(Q13,'FS Data'!$A:$B,2,FALSE)</f>
        <v>19425</v>
      </c>
      <c r="I13" s="123">
        <f>VLOOKUP(R13,'FS Data'!$A:$B,2,FALSE)</f>
        <v>6475</v>
      </c>
      <c r="J13" s="123">
        <f>VLOOKUP(S13,'FS Data'!$A:$B,2,FALSE)</f>
        <v>9</v>
      </c>
      <c r="K13" s="123">
        <f>VLOOKUP(T13,'FS Data'!$A:$B,2,FALSE)</f>
        <v>719587</v>
      </c>
      <c r="L13" s="123">
        <f>VLOOKUP(U13,'FS Data'!$A:$B,2,FALSE)</f>
        <v>48899</v>
      </c>
      <c r="M13" s="123">
        <f>VLOOKUP(V13,'FS Data'!$A:$B,2,FALSE)</f>
        <v>5433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1</v>
      </c>
      <c r="K14" s="123">
        <f>VLOOKUP(T14,'FS Data'!$A:$B,2,FALSE)</f>
        <v>109303</v>
      </c>
      <c r="L14" s="123">
        <f>VLOOKUP(U14,'FS Data'!$A:$B,2,FALSE)</f>
        <v>-330</v>
      </c>
      <c r="M14" s="123">
        <f>VLOOKUP(V14,'FS Data'!$A:$B,2,FALSE)</f>
        <v>-330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3</v>
      </c>
      <c r="G15" s="123">
        <f>VLOOKUP(P15,'FS Data'!$A:$B,2,FALSE)</f>
        <v>236790</v>
      </c>
      <c r="H15" s="123">
        <f>VLOOKUP(Q15,'FS Data'!$A:$B,2,FALSE)</f>
        <v>19425</v>
      </c>
      <c r="I15" s="123">
        <f>VLOOKUP(R15,'FS Data'!$A:$B,2,FALSE)</f>
        <v>6475</v>
      </c>
      <c r="J15" s="123">
        <f>VLOOKUP(S15,'FS Data'!$A:$B,2,FALSE)</f>
        <v>37</v>
      </c>
      <c r="K15" s="123">
        <f>VLOOKUP(T15,'FS Data'!$A:$B,2,FALSE)</f>
        <v>2769065</v>
      </c>
      <c r="L15" s="123">
        <f>VLOOKUP(U15,'FS Data'!$A:$B,2,FALSE)</f>
        <v>168977</v>
      </c>
      <c r="M15" s="123">
        <f>VLOOKUP(V15,'FS Data'!$A:$B,2,FALSE)</f>
        <v>4567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3</v>
      </c>
      <c r="K16" s="123">
        <f>VLOOKUP(T16,'FS Data'!$A:$B,2,FALSE)</f>
        <v>222838</v>
      </c>
      <c r="L16" s="123">
        <f>VLOOKUP(U16,'FS Data'!$A:$B,2,FALSE)</f>
        <v>14267</v>
      </c>
      <c r="M16" s="123">
        <f>VLOOKUP(V16,'FS Data'!$A:$B,2,FALSE)</f>
        <v>4756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2</v>
      </c>
      <c r="K17" s="123">
        <f>VLOOKUP(T17,'FS Data'!$A:$B,2,FALSE)</f>
        <v>180770</v>
      </c>
      <c r="L17" s="123">
        <f>VLOOKUP(U17,'FS Data'!$A:$B,2,FALSE)</f>
        <v>12489</v>
      </c>
      <c r="M17" s="123">
        <f>VLOOKUP(V17,'FS Data'!$A:$B,2,FALSE)</f>
        <v>6245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5</v>
      </c>
      <c r="K19" s="123">
        <f>VLOOKUP(T19,'FS Data'!$A:$B,2,FALSE)</f>
        <v>403608</v>
      </c>
      <c r="L19" s="123">
        <f>VLOOKUP(U19,'FS Data'!$A:$B,2,FALSE)</f>
        <v>26756</v>
      </c>
      <c r="M19" s="123">
        <f>VLOOKUP(V19,'FS Data'!$A:$B,2,FALSE)</f>
        <v>5351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1</v>
      </c>
      <c r="G20" s="123">
        <f>VLOOKUP(P20,'FS Data'!$A:$B,2,FALSE)</f>
        <v>106774</v>
      </c>
      <c r="H20" s="123">
        <f>VLOOKUP(Q20,'FS Data'!$A:$B,2,FALSE)</f>
        <v>3799</v>
      </c>
      <c r="I20" s="123">
        <f>VLOOKUP(R20,'FS Data'!$A:$B,2,FALSE)</f>
        <v>3799</v>
      </c>
      <c r="J20" s="123">
        <f>VLOOKUP(S20,'FS Data'!$A:$B,2,FALSE)</f>
        <v>8</v>
      </c>
      <c r="K20" s="123">
        <f>VLOOKUP(T20,'FS Data'!$A:$B,2,FALSE)</f>
        <v>858013</v>
      </c>
      <c r="L20" s="123">
        <f>VLOOKUP(U20,'FS Data'!$A:$B,2,FALSE)</f>
        <v>40042</v>
      </c>
      <c r="M20" s="123">
        <f>VLOOKUP(V20,'FS Data'!$A:$B,2,FALSE)</f>
        <v>5005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9</v>
      </c>
      <c r="K23" s="123">
        <f>VLOOKUP(T23,'FS Data'!$A:$B,2,FALSE)</f>
        <v>976653</v>
      </c>
      <c r="L23" s="123">
        <f>VLOOKUP(U23,'FS Data'!$A:$B,2,FALSE)</f>
        <v>64204</v>
      </c>
      <c r="M23" s="123">
        <f>VLOOKUP(V23,'FS Data'!$A:$B,2,FALSE)</f>
        <v>7134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1</v>
      </c>
      <c r="K25" s="123">
        <f>VLOOKUP(T25,'FS Data'!$A:$B,2,FALSE)</f>
        <v>151507</v>
      </c>
      <c r="L25" s="123">
        <f>VLOOKUP(U25,'FS Data'!$A:$B,2,FALSE)</f>
        <v>6501</v>
      </c>
      <c r="M25" s="123">
        <f>VLOOKUP(V25,'FS Data'!$A:$B,2,FALSE)</f>
        <v>6501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1</v>
      </c>
      <c r="G26" s="123">
        <f>VLOOKUP(P26,'FS Data'!$A:$B,2,FALSE)</f>
        <v>106774</v>
      </c>
      <c r="H26" s="123">
        <f>VLOOKUP(Q26,'FS Data'!$A:$B,2,FALSE)</f>
        <v>3799</v>
      </c>
      <c r="I26" s="123">
        <f>VLOOKUP(R26,'FS Data'!$A:$B,2,FALSE)</f>
        <v>3799</v>
      </c>
      <c r="J26" s="123">
        <f>VLOOKUP(S26,'FS Data'!$A:$B,2,FALSE)</f>
        <v>18</v>
      </c>
      <c r="K26" s="123">
        <f>VLOOKUP(T26,'FS Data'!$A:$B,2,FALSE)</f>
        <v>1986173</v>
      </c>
      <c r="L26" s="123">
        <f>VLOOKUP(U26,'FS Data'!$A:$B,2,FALSE)</f>
        <v>110747</v>
      </c>
      <c r="M26" s="123">
        <f>VLOOKUP(V26,'FS Data'!$A:$B,2,FALSE)</f>
        <v>6153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2</v>
      </c>
      <c r="K27" s="123">
        <f>VLOOKUP(T27,'FS Data'!$A:$B,2,FALSE)</f>
        <v>227426</v>
      </c>
      <c r="L27" s="123">
        <f>VLOOKUP(U27,'FS Data'!$A:$B,2,FALSE)</f>
        <v>13113</v>
      </c>
      <c r="M27" s="123">
        <f>VLOOKUP(V27,'FS Data'!$A:$B,2,FALSE)</f>
        <v>6557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2</v>
      </c>
      <c r="K29" s="123">
        <f>VLOOKUP(T29,'FS Data'!$A:$B,2,FALSE)</f>
        <v>235967</v>
      </c>
      <c r="L29" s="123">
        <f>VLOOKUP(U29,'FS Data'!$A:$B,2,FALSE)</f>
        <v>15619</v>
      </c>
      <c r="M29" s="123">
        <f>VLOOKUP(V29,'FS Data'!$A:$B,2,FALSE)</f>
        <v>7810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4</v>
      </c>
      <c r="K31" s="123">
        <f>VLOOKUP(T31,'FS Data'!$A:$B,2,FALSE)</f>
        <v>463393</v>
      </c>
      <c r="L31" s="123">
        <f>VLOOKUP(U31,'FS Data'!$A:$B,2,FALSE)</f>
        <v>28732</v>
      </c>
      <c r="M31" s="123">
        <f>VLOOKUP(V31,'FS Data'!$A:$B,2,FALSE)</f>
        <v>7183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2</v>
      </c>
      <c r="K32" s="123">
        <f>VLOOKUP(T32,'FS Data'!$A:$B,2,FALSE)</f>
        <v>273293</v>
      </c>
      <c r="L32" s="123">
        <f>VLOOKUP(U32,'FS Data'!$A:$B,2,FALSE)</f>
        <v>3584</v>
      </c>
      <c r="M32" s="123">
        <f>VLOOKUP(V32,'FS Data'!$A:$B,2,FALSE)</f>
        <v>1792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2</v>
      </c>
      <c r="K33" s="123">
        <f>VLOOKUP(T33,'FS Data'!$A:$B,2,FALSE)</f>
        <v>309378</v>
      </c>
      <c r="L33" s="123">
        <f>VLOOKUP(U33,'FS Data'!$A:$B,2,FALSE)</f>
        <v>17918</v>
      </c>
      <c r="M33" s="123">
        <f>VLOOKUP(V33,'FS Data'!$A:$B,2,FALSE)</f>
        <v>8959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1</v>
      </c>
      <c r="K35" s="123">
        <f>VLOOKUP(T35,'FS Data'!$A:$B,2,FALSE)</f>
        <v>237028</v>
      </c>
      <c r="L35" s="123">
        <f>VLOOKUP(U35,'FS Data'!$A:$B,2,FALSE)</f>
        <v>3217</v>
      </c>
      <c r="M35" s="123">
        <f>VLOOKUP(V35,'FS Data'!$A:$B,2,FALSE)</f>
        <v>3217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6</v>
      </c>
      <c r="K37" s="123">
        <f>VLOOKUP(T37,'FS Data'!$A:$B,2,FALSE)</f>
        <v>1066167</v>
      </c>
      <c r="L37" s="123">
        <f>VLOOKUP(U37,'FS Data'!$A:$B,2,FALSE)</f>
        <v>35627</v>
      </c>
      <c r="M37" s="123">
        <f>VLOOKUP(V37,'FS Data'!$A:$B,2,FALSE)</f>
        <v>5938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1</v>
      </c>
      <c r="K38" s="123">
        <f>VLOOKUP(T38,'FS Data'!$A:$B,2,FALSE)</f>
        <v>98511</v>
      </c>
      <c r="L38" s="123">
        <f>VLOOKUP(U38,'FS Data'!$A:$B,2,FALSE)</f>
        <v>896</v>
      </c>
      <c r="M38" s="123">
        <f>VLOOKUP(V38,'FS Data'!$A:$B,2,FALSE)</f>
        <v>896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3</v>
      </c>
      <c r="K39" s="123">
        <f>VLOOKUP(T39,'FS Data'!$A:$B,2,FALSE)</f>
        <v>323317</v>
      </c>
      <c r="L39" s="123">
        <f>VLOOKUP(U39,'FS Data'!$A:$B,2,FALSE)</f>
        <v>7083</v>
      </c>
      <c r="M39" s="123">
        <f>VLOOKUP(V39,'FS Data'!$A:$B,2,FALSE)</f>
        <v>2361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4</v>
      </c>
      <c r="K41" s="123">
        <f>VLOOKUP(T41,'FS Data'!$A:$B,2,FALSE)</f>
        <v>421828</v>
      </c>
      <c r="L41" s="123">
        <f>VLOOKUP(U41,'FS Data'!$A:$B,2,FALSE)</f>
        <v>7979</v>
      </c>
      <c r="M41" s="123">
        <f>VLOOKUP(V41,'FS Data'!$A:$B,2,FALSE)</f>
        <v>1995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23</v>
      </c>
      <c r="G42" s="123">
        <f>VLOOKUP(P42,'FS Data'!$A:$B,2,FALSE)</f>
        <v>1817305</v>
      </c>
      <c r="H42" s="123">
        <f>VLOOKUP(Q42,'FS Data'!$A:$B,2,FALSE)</f>
        <v>112203</v>
      </c>
      <c r="I42" s="123">
        <f>VLOOKUP(R42,'FS Data'!$A:$B,2,FALSE)</f>
        <v>4878</v>
      </c>
      <c r="J42" s="123">
        <f>VLOOKUP(S42,'FS Data'!$A:$B,2,FALSE)</f>
        <v>174</v>
      </c>
      <c r="K42" s="123">
        <f>VLOOKUP(T42,'FS Data'!$A:$B,2,FALSE)</f>
        <v>14870053</v>
      </c>
      <c r="L42" s="123">
        <f>VLOOKUP(U42,'FS Data'!$A:$B,2,FALSE)</f>
        <v>828478</v>
      </c>
      <c r="M42" s="123">
        <f>VLOOKUP(V42,'FS Data'!$A:$B,2,FALSE)</f>
        <v>4761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31</v>
      </c>
      <c r="K43" s="123">
        <f>VLOOKUP(T43,'FS Data'!$A:$B,2,FALSE)</f>
        <v>2368534</v>
      </c>
      <c r="L43" s="123">
        <f>VLOOKUP(U43,'FS Data'!$A:$B,2,FALSE)</f>
        <v>64873</v>
      </c>
      <c r="M43" s="123">
        <f>VLOOKUP(V43,'FS Data'!$A:$B,2,FALSE)</f>
        <v>2093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1</v>
      </c>
      <c r="G44" s="123">
        <f>VLOOKUP(P44,'FS Data'!$A:$B,2,FALSE)</f>
        <v>71375</v>
      </c>
      <c r="H44" s="123">
        <f>VLOOKUP(Q44,'FS Data'!$A:$B,2,FALSE)</f>
        <v>416</v>
      </c>
      <c r="I44" s="123">
        <f>VLOOKUP(R44,'FS Data'!$A:$B,2,FALSE)</f>
        <v>416</v>
      </c>
      <c r="J44" s="123">
        <f>VLOOKUP(S44,'FS Data'!$A:$B,2,FALSE)</f>
        <v>3</v>
      </c>
      <c r="K44" s="123">
        <f>VLOOKUP(T44,'FS Data'!$A:$B,2,FALSE)</f>
        <v>325349</v>
      </c>
      <c r="L44" s="123">
        <f>VLOOKUP(U44,'FS Data'!$A:$B,2,FALSE)</f>
        <v>13381</v>
      </c>
      <c r="M44" s="123">
        <f>VLOOKUP(V44,'FS Data'!$A:$B,2,FALSE)</f>
        <v>4460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35868</v>
      </c>
      <c r="I46" s="476"/>
      <c r="J46" s="478"/>
      <c r="K46" s="470"/>
      <c r="L46" s="123">
        <f>VLOOKUP(U46,'FS Data'!$A:$B,2,FALSE)</f>
        <v>360385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24</v>
      </c>
      <c r="G47" s="123">
        <f>VLOOKUP(P47,'FS Data'!$A:$B,2,FALSE)</f>
        <v>1888680</v>
      </c>
      <c r="H47" s="123">
        <f>VLOOKUP(Q47,'FS Data'!$A:$B,2,FALSE)</f>
        <v>148487</v>
      </c>
      <c r="I47" s="123">
        <f>VLOOKUP(R47,'FS Data'!$A:$B,2,FALSE)</f>
        <v>6187</v>
      </c>
      <c r="J47" s="123">
        <f>VLOOKUP(S47,'FS Data'!$A:$B,2,FALSE)</f>
        <v>208</v>
      </c>
      <c r="K47" s="123">
        <f>VLOOKUP(T47,'FS Data'!$A:$B,2,FALSE)</f>
        <v>17563936</v>
      </c>
      <c r="L47" s="123">
        <f>VLOOKUP(U47,'FS Data'!$A:$B,2,FALSE)</f>
        <v>1267117</v>
      </c>
      <c r="M47" s="123">
        <f>VLOOKUP(V47,'FS Data'!$A:$B,2,FALSE)</f>
        <v>6092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49</v>
      </c>
      <c r="G49" s="123">
        <f>VLOOKUP(P49,'FS Data'!$A:$B,2,FALSE)</f>
        <v>56260</v>
      </c>
      <c r="H49" s="123">
        <f>VLOOKUP(Q49,'FS Data'!$A:$B,2,FALSE)</f>
        <v>37151</v>
      </c>
      <c r="I49" s="123">
        <f>VLOOKUP(R49,'FS Data'!$A:$B,2,FALSE)</f>
        <v>758</v>
      </c>
      <c r="J49" s="123">
        <f>VLOOKUP(S49,'FS Data'!$A:$B,2,FALSE)</f>
        <v>499</v>
      </c>
      <c r="K49" s="123">
        <f>VLOOKUP(T49,'FS Data'!$A:$B,2,FALSE)</f>
        <v>635256</v>
      </c>
      <c r="L49" s="123">
        <f>VLOOKUP(U49,'FS Data'!$A:$B,2,FALSE)</f>
        <v>385201</v>
      </c>
      <c r="M49" s="123">
        <f>VLOOKUP(V49,'FS Data'!$A:$B,2,FALSE)</f>
        <v>772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3</v>
      </c>
      <c r="G50" s="123">
        <f>VLOOKUP(P50,'FS Data'!$A:$B,2,FALSE)</f>
        <v>15368</v>
      </c>
      <c r="H50" s="123">
        <f>VLOOKUP(Q50,'FS Data'!$A:$B,2,FALSE)</f>
        <v>4941</v>
      </c>
      <c r="I50" s="123">
        <f>VLOOKUP(R50,'FS Data'!$A:$B,2,FALSE)</f>
        <v>1647</v>
      </c>
      <c r="J50" s="123">
        <f>VLOOKUP(S50,'FS Data'!$A:$B,2,FALSE)</f>
        <v>29</v>
      </c>
      <c r="K50" s="123">
        <f>VLOOKUP(T50,'FS Data'!$A:$B,2,FALSE)</f>
        <v>129686</v>
      </c>
      <c r="L50" s="123">
        <f>VLOOKUP(U50,'FS Data'!$A:$B,2,FALSE)</f>
        <v>55196</v>
      </c>
      <c r="M50" s="123">
        <f>VLOOKUP(V50,'FS Data'!$A:$B,2,FALSE)</f>
        <v>1903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5</v>
      </c>
      <c r="G51" s="123">
        <f>VLOOKUP(P51,'FS Data'!$A:$B,2,FALSE)</f>
        <v>3545</v>
      </c>
      <c r="H51" s="123">
        <f>VLOOKUP(Q51,'FS Data'!$A:$B,2,FALSE)</f>
        <v>816</v>
      </c>
      <c r="I51" s="123">
        <f>VLOOKUP(R51,'FS Data'!$A:$B,2,FALSE)</f>
        <v>163</v>
      </c>
      <c r="J51" s="123">
        <f>VLOOKUP(S51,'FS Data'!$A:$B,2,FALSE)</f>
        <v>52</v>
      </c>
      <c r="K51" s="123">
        <f>VLOOKUP(T51,'FS Data'!$A:$B,2,FALSE)</f>
        <v>35360</v>
      </c>
      <c r="L51" s="123">
        <f>VLOOKUP(U51,'FS Data'!$A:$B,2,FALSE)</f>
        <v>10524</v>
      </c>
      <c r="M51" s="123">
        <f>VLOOKUP(V51,'FS Data'!$A:$B,2,FALSE)</f>
        <v>202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57</v>
      </c>
      <c r="G52" s="123">
        <f>VLOOKUP(P52,'FS Data'!$A:$B,2,FALSE)</f>
        <v>75173</v>
      </c>
      <c r="H52" s="123">
        <f>VLOOKUP(Q52,'FS Data'!$A:$B,2,FALSE)</f>
        <v>42908</v>
      </c>
      <c r="I52" s="123">
        <f>VLOOKUP(R52,'FS Data'!$A:$B,2,FALSE)</f>
        <v>753</v>
      </c>
      <c r="J52" s="123">
        <f>VLOOKUP(S52,'FS Data'!$A:$B,2,FALSE)</f>
        <v>580</v>
      </c>
      <c r="K52" s="123">
        <f>VLOOKUP(T52,'FS Data'!$A:$B,2,FALSE)</f>
        <v>800302</v>
      </c>
      <c r="L52" s="123">
        <f>VLOOKUP(U52,'FS Data'!$A:$B,2,FALSE)</f>
        <v>450921</v>
      </c>
      <c r="M52" s="123">
        <f>VLOOKUP(V52,'FS Data'!$A:$B,2,FALSE)</f>
        <v>777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51" t="s">
        <v>721</v>
      </c>
      <c r="D57" s="852"/>
      <c r="E57" s="473"/>
      <c r="F57" s="123">
        <f>VLOOKUP(O57,'FS Data'!$A:$B,2,FALSE)</f>
        <v>10</v>
      </c>
      <c r="G57" s="123">
        <f>VLOOKUP(P57,'FS Data'!$A:$B,2,FALSE)</f>
        <v>892879</v>
      </c>
      <c r="H57" s="123">
        <f>VLOOKUP(Q57,'FS Data'!$A:$B,2,FALSE)</f>
        <v>56531</v>
      </c>
      <c r="I57" s="123">
        <f>VLOOKUP(R57,'FS Data'!$A:$B,2,FALSE)</f>
        <v>5653</v>
      </c>
      <c r="J57" s="123">
        <f>VLOOKUP(S57,'FS Data'!$A:$B,2,FALSE)</f>
        <v>69</v>
      </c>
      <c r="K57" s="123">
        <f>VLOOKUP(T57,'FS Data'!$A:$B,2,FALSE)</f>
        <v>6004205</v>
      </c>
      <c r="L57" s="123">
        <f>VLOOKUP(U57,'FS Data'!$A:$B,2,FALSE)</f>
        <v>327863</v>
      </c>
      <c r="M57" s="123">
        <f>VLOOKUP(V57,'FS Data'!$A:$B,2,FALSE)</f>
        <v>4752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51" t="s">
        <v>722</v>
      </c>
      <c r="D58" s="852"/>
      <c r="E58" s="473"/>
      <c r="F58" s="123">
        <f>VLOOKUP(O58,'FS Data'!$A:$B,2,FALSE)</f>
        <v>13</v>
      </c>
      <c r="G58" s="123">
        <f>VLOOKUP(P58,'FS Data'!$A:$B,2,FALSE)</f>
        <v>924426</v>
      </c>
      <c r="H58" s="123">
        <f>VLOOKUP(Q58,'FS Data'!$A:$B,2,FALSE)</f>
        <v>55672</v>
      </c>
      <c r="I58" s="123">
        <f>VLOOKUP(R58,'FS Data'!$A:$B,2,FALSE)</f>
        <v>4282</v>
      </c>
      <c r="J58" s="123">
        <f>VLOOKUP(S58,'FS Data'!$A:$B,2,FALSE)</f>
        <v>109</v>
      </c>
      <c r="K58" s="123">
        <f>VLOOKUP(T58,'FS Data'!$A:$B,2,FALSE)</f>
        <v>9287676</v>
      </c>
      <c r="L58" s="123">
        <f>VLOOKUP(U58,'FS Data'!$A:$B,2,FALSE)</f>
        <v>508594</v>
      </c>
      <c r="M58" s="123">
        <f>VLOOKUP(V58,'FS Data'!$A:$B,2,FALSE)</f>
        <v>4666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41" t="s">
        <v>723</v>
      </c>
      <c r="D59" s="842"/>
      <c r="E59" s="474"/>
      <c r="F59" s="123">
        <f>VLOOKUP(O59,'FS Data'!$A:$B,2,FALSE)</f>
        <v>3</v>
      </c>
      <c r="G59" s="123">
        <f>VLOOKUP(P59,'FS Data'!$A:$B,2,FALSE)</f>
        <v>288985</v>
      </c>
      <c r="H59" s="123">
        <f>VLOOKUP(Q59,'FS Data'!$A:$B,2,FALSE)</f>
        <v>13335</v>
      </c>
      <c r="I59" s="123">
        <f>VLOOKUP(R59,'FS Data'!$A:$B,2,FALSE)</f>
        <v>4445</v>
      </c>
      <c r="J59" s="123">
        <f>VLOOKUP(S59,'FS Data'!$A:$B,2,FALSE)</f>
        <v>12</v>
      </c>
      <c r="K59" s="123">
        <f>VLOOKUP(T59,'FS Data'!$A:$B,2,FALSE)</f>
        <v>1604181</v>
      </c>
      <c r="L59" s="123">
        <f>VLOOKUP(U59,'FS Data'!$A:$B,2,FALSE)</f>
        <v>64926</v>
      </c>
      <c r="M59" s="123">
        <f>VLOOKUP(V59,'FS Data'!$A:$B,2,FALSE)</f>
        <v>5411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A69" zoomScale="80" zoomScaleNormal="80" workbookViewId="0">
      <selection activeCell="Z36" sqref="Z36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53" t="s">
        <v>494</v>
      </c>
      <c r="C2" s="704" t="s">
        <v>688</v>
      </c>
      <c r="D2" s="855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4"/>
      <c r="C3" s="710" t="s">
        <v>724</v>
      </c>
      <c r="D3" s="856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7" t="s">
        <v>691</v>
      </c>
      <c r="C4" s="858"/>
      <c r="D4" s="858"/>
      <c r="E4" s="858"/>
      <c r="F4" s="858"/>
      <c r="G4" s="858"/>
      <c r="H4" s="858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23</v>
      </c>
      <c r="F23" s="115">
        <f>VLOOKUP(O23,'FS Data'!$A:$B,2,FALSE)</f>
        <v>1817305</v>
      </c>
      <c r="G23" s="115">
        <f>VLOOKUP(P23,'FS Data'!$A:$B,2,FALSE)</f>
        <v>112203</v>
      </c>
      <c r="H23" s="115">
        <f>VLOOKUP(Q23,'FS Data'!$A:$B,2,FALSE)</f>
        <v>4878</v>
      </c>
      <c r="I23" s="221">
        <f>VLOOKUP(R23,'FS Data'!$A:$B,2,FALSE)</f>
        <v>174</v>
      </c>
      <c r="J23" s="115">
        <f>VLOOKUP(S23,'FS Data'!$A:$B,2,FALSE)</f>
        <v>14870053</v>
      </c>
      <c r="K23" s="115">
        <f>VLOOKUP(T23,'FS Data'!$A:$B,2,FALSE)</f>
        <v>828478</v>
      </c>
      <c r="L23" s="397">
        <f>VLOOKUP(U23,'FS Data'!$A:$B,2,FALSE)</f>
        <v>4761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57</v>
      </c>
      <c r="F32" s="115">
        <f>VLOOKUP(O32,'FS Data'!$A:$B,2,FALSE)</f>
        <v>75173</v>
      </c>
      <c r="G32" s="115">
        <f>VLOOKUP(P32,'FS Data'!$A:$B,2,FALSE)</f>
        <v>42908</v>
      </c>
      <c r="H32" s="115">
        <f>VLOOKUP(Q32,'FS Data'!$A:$B,2,FALSE)</f>
        <v>1866</v>
      </c>
      <c r="I32" s="221">
        <f>VLOOKUP(R32,'FS Data'!$A:$B,2,FALSE)</f>
        <v>580</v>
      </c>
      <c r="J32" s="115">
        <f>VLOOKUP(S32,'FS Data'!$A:$B,2,FALSE)</f>
        <v>800302</v>
      </c>
      <c r="K32" s="115">
        <f>VLOOKUP(T32,'FS Data'!$A:$B,2,FALSE)</f>
        <v>450921</v>
      </c>
      <c r="L32" s="397">
        <f>VLOOKUP(U32,'FS Data'!$A:$B,2,FALSE)</f>
        <v>2592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24</v>
      </c>
      <c r="F33" s="115">
        <f>VLOOKUP(O33,'FS Data'!$A:$B,2,FALSE)</f>
        <v>1963853</v>
      </c>
      <c r="G33" s="115">
        <f>VLOOKUP(P33,'FS Data'!$A:$B,2,FALSE)</f>
        <v>191395</v>
      </c>
      <c r="H33" s="115">
        <f>VLOOKUP(Q33,'FS Data'!$A:$B,2,FALSE)</f>
        <v>7975</v>
      </c>
      <c r="I33" s="221">
        <f>VLOOKUP(R33,'FS Data'!$A:$B,2,FALSE)</f>
        <v>208</v>
      </c>
      <c r="J33" s="115">
        <f>VLOOKUP(S33,'FS Data'!$A:$B,2,FALSE)</f>
        <v>18364238</v>
      </c>
      <c r="K33" s="115">
        <f>VLOOKUP(T33,'FS Data'!$A:$B,2,FALSE)</f>
        <v>1718038</v>
      </c>
      <c r="L33" s="397">
        <f>VLOOKUP(U33,'FS Data'!$A:$B,2,FALSE)</f>
        <v>8260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24</v>
      </c>
      <c r="F37" s="115">
        <f>VLOOKUP(O37,'FS Data'!$A:$B,2,FALSE)</f>
        <v>1963853</v>
      </c>
      <c r="G37" s="115">
        <f>VLOOKUP(P37,'FS Data'!$A:$B,2,FALSE)</f>
        <v>191395</v>
      </c>
      <c r="H37" s="115">
        <f>VLOOKUP(Q37,'FS Data'!$A:$B,2,FALSE)</f>
        <v>7975</v>
      </c>
      <c r="I37" s="221">
        <f>VLOOKUP(R37,'FS Data'!$A:$B,2,FALSE)</f>
        <v>208</v>
      </c>
      <c r="J37" s="115">
        <f>VLOOKUP(S37,'FS Data'!$A:$B,2,FALSE)</f>
        <v>18364238</v>
      </c>
      <c r="K37" s="115">
        <f>VLOOKUP(T37,'FS Data'!$A:$B,2,FALSE)</f>
        <v>1718038</v>
      </c>
      <c r="L37" s="397">
        <f>VLOOKUP(U37,'FS Data'!$A:$B,2,FALSE)</f>
        <v>8260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5</v>
      </c>
      <c r="F39" s="115">
        <f>VLOOKUP(O39,'FS Data'!$A:$B,2,FALSE)</f>
        <v>248803</v>
      </c>
      <c r="G39" s="115">
        <f>VLOOKUP(P39,'FS Data'!$A:$B,2,FALSE)</f>
        <v>14243</v>
      </c>
      <c r="H39" s="115">
        <f>VLOOKUP(Q39,'FS Data'!$A:$B,2,FALSE)</f>
        <v>2849</v>
      </c>
      <c r="I39" s="221">
        <f>VLOOKUP(R39,'FS Data'!$A:$B,2,FALSE)</f>
        <v>55</v>
      </c>
      <c r="J39" s="115">
        <f>VLOOKUP(S39,'FS Data'!$A:$B,2,FALSE)</f>
        <v>3259547</v>
      </c>
      <c r="K39" s="115">
        <f>VLOOKUP(T39,'FS Data'!$A:$B,2,FALSE)</f>
        <v>174118</v>
      </c>
      <c r="L39" s="397">
        <f>VLOOKUP(U39,'FS Data'!$A:$B,2,FALSE)</f>
        <v>3166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3536</v>
      </c>
      <c r="H40" s="115">
        <f>VLOOKUP(Q40,'FS Data'!$A:$B,2,FALSE)</f>
        <v>707</v>
      </c>
      <c r="I40" s="254"/>
      <c r="J40" s="255"/>
      <c r="K40" s="575">
        <f>VLOOKUP(T40,'FS Data'!$A:$B,2,FALSE)</f>
        <v>44117</v>
      </c>
      <c r="L40" s="397">
        <f>VLOOKUP(U40,'FS Data'!$A:$B,2,FALSE)</f>
        <v>802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5</v>
      </c>
      <c r="F41" s="115">
        <f>VLOOKUP(O41,'FS Data'!$A:$B,2,FALSE)</f>
        <v>187503</v>
      </c>
      <c r="G41" s="115">
        <f>VLOOKUP(P41,'FS Data'!$A:$B,2,FALSE)</f>
        <v>25558</v>
      </c>
      <c r="H41" s="115">
        <f>VLOOKUP(Q41,'FS Data'!$A:$B,2,FALSE)</f>
        <v>5112</v>
      </c>
      <c r="I41" s="221">
        <f>VLOOKUP(R41,'FS Data'!$A:$B,2,FALSE)</f>
        <v>64</v>
      </c>
      <c r="J41" s="115">
        <f>VLOOKUP(S41,'FS Data'!$A:$B,2,FALSE)</f>
        <v>2437712</v>
      </c>
      <c r="K41" s="115">
        <f>VLOOKUP(T41,'FS Data'!$A:$B,2,FALSE)</f>
        <v>242579</v>
      </c>
      <c r="L41" s="397">
        <f>VLOOKUP(U41,'FS Data'!$A:$B,2,FALSE)</f>
        <v>3790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3734</v>
      </c>
      <c r="H42" s="115">
        <f>VLOOKUP(Q42,'FS Data'!$A:$B,2,FALSE)</f>
        <v>747</v>
      </c>
      <c r="I42" s="254"/>
      <c r="J42" s="255"/>
      <c r="K42" s="575">
        <f>VLOOKUP(T42,'FS Data'!$A:$B,2,FALSE)</f>
        <v>111918</v>
      </c>
      <c r="L42" s="397">
        <f>VLOOKUP(U42,'FS Data'!$A:$B,2,FALSE)</f>
        <v>1749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13</v>
      </c>
      <c r="F43" s="115">
        <f>VLOOKUP(O43,'FS Data'!$A:$B,2,FALSE)</f>
        <v>675505</v>
      </c>
      <c r="G43" s="115">
        <f>VLOOKUP(P43,'FS Data'!$A:$B,2,FALSE)</f>
        <v>8057</v>
      </c>
      <c r="H43" s="115">
        <f>VLOOKUP(Q43,'FS Data'!$A:$B,2,FALSE)</f>
        <v>620</v>
      </c>
      <c r="I43" s="221">
        <f>VLOOKUP(R43,'FS Data'!$A:$B,2,FALSE)</f>
        <v>85</v>
      </c>
      <c r="J43" s="115">
        <f>VLOOKUP(S43,'FS Data'!$A:$B,2,FALSE)</f>
        <v>3071412</v>
      </c>
      <c r="K43" s="115">
        <f>VLOOKUP(T43,'FS Data'!$A:$B,2,FALSE)</f>
        <v>29396</v>
      </c>
      <c r="L43" s="397">
        <f>VLOOKUP(U43,'FS Data'!$A:$B,2,FALSE)</f>
        <v>346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4</v>
      </c>
      <c r="F44" s="115">
        <f>VLOOKUP(O44,'FS Data'!$A:$B,2,FALSE)</f>
        <v>142312</v>
      </c>
      <c r="G44" s="115">
        <f>VLOOKUP(P44,'FS Data'!$A:$B,2,FALSE)</f>
        <v>3371</v>
      </c>
      <c r="H44" s="115">
        <f>VLOOKUP(Q44,'FS Data'!$A:$B,2,FALSE)</f>
        <v>843</v>
      </c>
      <c r="I44" s="221">
        <f>VLOOKUP(R44,'FS Data'!$A:$B,2,FALSE)</f>
        <v>45</v>
      </c>
      <c r="J44" s="115">
        <f>VLOOKUP(S44,'FS Data'!$A:$B,2,FALSE)</f>
        <v>1332495</v>
      </c>
      <c r="K44" s="115">
        <f>VLOOKUP(T44,'FS Data'!$A:$B,2,FALSE)</f>
        <v>43240</v>
      </c>
      <c r="L44" s="397">
        <f>VLOOKUP(U44,'FS Data'!$A:$B,2,FALSE)</f>
        <v>961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6</v>
      </c>
      <c r="F47" s="115">
        <f>VLOOKUP(O47,'FS Data'!$A:$B,2,FALSE)</f>
        <v>9506</v>
      </c>
      <c r="G47" s="115">
        <f>VLOOKUP(P47,'FS Data'!$A:$B,2,FALSE)</f>
        <v>9506</v>
      </c>
      <c r="H47" s="115">
        <f>VLOOKUP(Q47,'FS Data'!$A:$B,2,FALSE)</f>
        <v>1584</v>
      </c>
      <c r="I47" s="221">
        <f>VLOOKUP(R47,'FS Data'!$A:$B,2,FALSE)</f>
        <v>79</v>
      </c>
      <c r="J47" s="115">
        <f>VLOOKUP(S47,'FS Data'!$A:$B,2,FALSE)</f>
        <v>133154</v>
      </c>
      <c r="K47" s="115">
        <f>VLOOKUP(T47,'FS Data'!$A:$B,2,FALSE)</f>
        <v>133154</v>
      </c>
      <c r="L47" s="397">
        <f>VLOOKUP(U47,'FS Data'!$A:$B,2,FALSE)</f>
        <v>1685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7</v>
      </c>
      <c r="F48" s="115">
        <f>VLOOKUP(O48,'FS Data'!$A:$B,2,FALSE)</f>
        <v>5836</v>
      </c>
      <c r="G48" s="115">
        <f>VLOOKUP(P48,'FS Data'!$A:$B,2,FALSE)</f>
        <v>5836</v>
      </c>
      <c r="H48" s="115">
        <f>VLOOKUP(Q48,'FS Data'!$A:$B,2,FALSE)</f>
        <v>834</v>
      </c>
      <c r="I48" s="221">
        <f>VLOOKUP(R48,'FS Data'!$A:$B,2,FALSE)</f>
        <v>84</v>
      </c>
      <c r="J48" s="115">
        <f>VLOOKUP(S48,'FS Data'!$A:$B,2,FALSE)</f>
        <v>42878</v>
      </c>
      <c r="K48" s="115">
        <f>VLOOKUP(T48,'FS Data'!$A:$B,2,FALSE)</f>
        <v>42878</v>
      </c>
      <c r="L48" s="397">
        <f>VLOOKUP(U48,'FS Data'!$A:$B,2,FALSE)</f>
        <v>510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2</v>
      </c>
      <c r="F49" s="115">
        <f>VLOOKUP(O49,'FS Data'!$A:$B,2,FALSE)</f>
        <v>7344</v>
      </c>
      <c r="G49" s="115">
        <f>VLOOKUP(P49,'FS Data'!$A:$B,2,FALSE)</f>
        <v>1616</v>
      </c>
      <c r="H49" s="115">
        <f>VLOOKUP(Q49,'FS Data'!$A:$B,2,FALSE)</f>
        <v>808</v>
      </c>
      <c r="I49" s="221">
        <f>VLOOKUP(R49,'FS Data'!$A:$B,2,FALSE)</f>
        <v>20</v>
      </c>
      <c r="J49" s="115">
        <f>VLOOKUP(S49,'FS Data'!$A:$B,2,FALSE)</f>
        <v>130534</v>
      </c>
      <c r="K49" s="115">
        <f>VLOOKUP(T49,'FS Data'!$A:$B,2,FALSE)</f>
        <v>48949</v>
      </c>
      <c r="L49" s="397">
        <f>VLOOKUP(U49,'FS Data'!$A:$B,2,FALSE)</f>
        <v>2447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0</v>
      </c>
      <c r="F50" s="115">
        <f>VLOOKUP(O50,'FS Data'!$A:$B,2,FALSE)</f>
        <v>4632</v>
      </c>
      <c r="G50" s="115">
        <f>VLOOKUP(P50,'FS Data'!$A:$B,2,FALSE)</f>
        <v>1293</v>
      </c>
      <c r="H50" s="115">
        <f>VLOOKUP(Q50,'FS Data'!$A:$B,2,FALSE)</f>
        <v>0</v>
      </c>
      <c r="I50" s="221">
        <f>VLOOKUP(R50,'FS Data'!$A:$B,2,FALSE)</f>
        <v>22</v>
      </c>
      <c r="J50" s="115">
        <f>VLOOKUP(S50,'FS Data'!$A:$B,2,FALSE)</f>
        <v>120450</v>
      </c>
      <c r="K50" s="115">
        <f>VLOOKUP(T50,'FS Data'!$A:$B,2,FALSE)</f>
        <v>45169</v>
      </c>
      <c r="L50" s="397">
        <f>VLOOKUP(U50,'FS Data'!$A:$B,2,FALSE)</f>
        <v>2053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6</v>
      </c>
      <c r="F52" s="115">
        <f>VLOOKUP(O52,'FS Data'!$A:$B,2,FALSE)</f>
        <v>5840</v>
      </c>
      <c r="G52" s="115">
        <f>VLOOKUP(P52,'FS Data'!$A:$B,2,FALSE)</f>
        <v>1228</v>
      </c>
      <c r="H52" s="115">
        <f>VLOOKUP(Q52,'FS Data'!$A:$B,2,FALSE)</f>
        <v>205</v>
      </c>
      <c r="I52" s="221">
        <f>VLOOKUP(R52,'FS Data'!$A:$B,2,FALSE)</f>
        <v>37</v>
      </c>
      <c r="J52" s="115">
        <f>VLOOKUP(S52,'FS Data'!$A:$B,2,FALSE)</f>
        <v>31980</v>
      </c>
      <c r="K52" s="115">
        <f>VLOOKUP(T52,'FS Data'!$A:$B,2,FALSE)</f>
        <v>6557</v>
      </c>
      <c r="L52" s="397">
        <f>VLOOKUP(U52,'FS Data'!$A:$B,2,FALSE)</f>
        <v>177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21</v>
      </c>
      <c r="F53" s="115">
        <f>VLOOKUP(O53,'FS Data'!$A:$B,2,FALSE)</f>
        <v>33158</v>
      </c>
      <c r="G53" s="115">
        <f>VLOOKUP(P53,'FS Data'!$A:$B,2,FALSE)</f>
        <v>19479</v>
      </c>
      <c r="H53" s="115">
        <f>VLOOKUP(Q53,'FS Data'!$A:$B,2,FALSE)</f>
        <v>928</v>
      </c>
      <c r="I53" s="221">
        <f>VLOOKUP(R53,'FS Data'!$A:$B,2,FALSE)</f>
        <v>242</v>
      </c>
      <c r="J53" s="115">
        <f>VLOOKUP(S53,'FS Data'!$A:$B,2,FALSE)</f>
        <v>458996</v>
      </c>
      <c r="K53" s="115">
        <f>VLOOKUP(T53,'FS Data'!$A:$B,2,FALSE)</f>
        <v>276707</v>
      </c>
      <c r="L53" s="397">
        <f>VLOOKUP(U53,'FS Data'!$A:$B,2,FALSE)</f>
        <v>1143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10</v>
      </c>
      <c r="F71" s="115">
        <f>VLOOKUP(O71,'FS Data'!$A:$B,2,FALSE)</f>
        <v>1287281</v>
      </c>
      <c r="G71" s="115">
        <f>VLOOKUP(P71,'FS Data'!$A:$B,2,FALSE)</f>
        <v>63438</v>
      </c>
      <c r="H71" s="115">
        <f>VLOOKUP(Q71,'FS Data'!$A:$B,2,FALSE)</f>
        <v>6344</v>
      </c>
      <c r="I71" s="221">
        <f>VLOOKUP(R71,'FS Data'!$A:$B,2,FALSE)</f>
        <v>119</v>
      </c>
      <c r="J71" s="115">
        <f>VLOOKUP(S71,'FS Data'!$A:$B,2,FALSE)</f>
        <v>10560162</v>
      </c>
      <c r="K71" s="115">
        <f>VLOOKUP(T71,'FS Data'!$A:$B,2,FALSE)</f>
        <v>610005</v>
      </c>
      <c r="L71" s="397">
        <f>VLOOKUP(U71,'FS Data'!$A:$B,2,FALSE)</f>
        <v>5126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4</v>
      </c>
      <c r="F72" s="115">
        <f>VLOOKUP(O72,'FS Data'!$A:$B,2,FALSE)</f>
        <v>76551</v>
      </c>
      <c r="G72" s="115">
        <f>VLOOKUP(P72,'FS Data'!$A:$B,2,FALSE)</f>
        <v>9392</v>
      </c>
      <c r="H72" s="115">
        <f>VLOOKUP(Q72,'FS Data'!$A:$B,2,FALSE)</f>
        <v>2348</v>
      </c>
      <c r="I72" s="221">
        <f>VLOOKUP(R72,'FS Data'!$A:$B,2,FALSE)</f>
        <v>59</v>
      </c>
      <c r="J72" s="115">
        <f>VLOOKUP(S72,'FS Data'!$A:$B,2,FALSE)</f>
        <v>1727954</v>
      </c>
      <c r="K72" s="115">
        <f>VLOOKUP(T72,'FS Data'!$A:$B,2,FALSE)</f>
        <v>113843</v>
      </c>
      <c r="L72" s="397">
        <f>VLOOKUP(U72,'FS Data'!$A:$B,2,FALSE)</f>
        <v>1930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4191</v>
      </c>
      <c r="H73" s="115">
        <f>VLOOKUP(Q73,'FS Data'!$A:$B,2,FALSE)</f>
        <v>1048</v>
      </c>
      <c r="I73" s="254"/>
      <c r="J73" s="255"/>
      <c r="K73" s="575">
        <f>VLOOKUP(T73,'FS Data'!$A:$B,2,FALSE)</f>
        <v>45054</v>
      </c>
      <c r="L73" s="397">
        <f>VLOOKUP(U73,'FS Data'!$A:$B,2,FALSE)</f>
        <v>764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7</v>
      </c>
      <c r="F74" s="115">
        <f>VLOOKUP(O74,'FS Data'!$A:$B,2,FALSE)</f>
        <v>161600</v>
      </c>
      <c r="G74" s="115">
        <f>VLOOKUP(P74,'FS Data'!$A:$B,2,FALSE)</f>
        <v>4236</v>
      </c>
      <c r="H74" s="115">
        <f>VLOOKUP(Q74,'FS Data'!$A:$B,2,FALSE)</f>
        <v>605</v>
      </c>
      <c r="I74" s="221">
        <f>VLOOKUP(R74,'FS Data'!$A:$B,2,FALSE)</f>
        <v>102</v>
      </c>
      <c r="J74" s="115">
        <f>VLOOKUP(S74,'FS Data'!$A:$B,2,FALSE)</f>
        <v>2806094</v>
      </c>
      <c r="K74" s="115">
        <f>VLOOKUP(T74,'FS Data'!$A:$B,2,FALSE)</f>
        <v>34242</v>
      </c>
      <c r="L74" s="397">
        <f>VLOOKUP(U74,'FS Data'!$A:$B,2,FALSE)</f>
        <v>336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8</v>
      </c>
      <c r="F75" s="115">
        <f>VLOOKUP(O75,'FS Data'!$A:$B,2,FALSE)</f>
        <v>10030</v>
      </c>
      <c r="G75" s="115">
        <f>VLOOKUP(P75,'FS Data'!$A:$B,2,FALSE)</f>
        <v>7196</v>
      </c>
      <c r="H75" s="115">
        <f>VLOOKUP(Q75,'FS Data'!$A:$B,2,FALSE)</f>
        <v>900</v>
      </c>
      <c r="I75" s="221">
        <f>VLOOKUP(R75,'FS Data'!$A:$B,2,FALSE)</f>
        <v>67</v>
      </c>
      <c r="J75" s="115">
        <f>VLOOKUP(S75,'FS Data'!$A:$B,2,FALSE)</f>
        <v>69788</v>
      </c>
      <c r="K75" s="115">
        <f>VLOOKUP(T75,'FS Data'!$A:$B,2,FALSE)</f>
        <v>47639</v>
      </c>
      <c r="L75" s="397">
        <f>VLOOKUP(U75,'FS Data'!$A:$B,2,FALSE)</f>
        <v>711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0</v>
      </c>
      <c r="H77" s="482"/>
      <c r="I77" s="483"/>
      <c r="J77" s="386"/>
      <c r="K77" s="115">
        <f>VLOOKUP(T77,'FS Data'!$A:$B,2,FALSE)</f>
        <v>26075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4</v>
      </c>
      <c r="F79" s="115">
        <f>VLOOKUP(O79,'FS Data'!$A:$B,2,FALSE)</f>
        <v>248181</v>
      </c>
      <c r="G79" s="115">
        <f>VLOOKUP(P79,'FS Data'!$A:$B,2,FALSE)</f>
        <v>16633</v>
      </c>
      <c r="H79" s="115">
        <f>VLOOKUP(Q79,'FS Data'!$A:$B,2,FALSE)</f>
        <v>4158</v>
      </c>
      <c r="I79" s="221">
        <f>VLOOKUP(R79,'FS Data'!$A:$B,2,FALSE)</f>
        <v>59</v>
      </c>
      <c r="J79" s="115">
        <f>VLOOKUP(S79,'FS Data'!$A:$B,2,FALSE)</f>
        <v>4603836</v>
      </c>
      <c r="K79" s="115">
        <f>VLOOKUP(T79,'FS Data'!$A:$B,2,FALSE)</f>
        <v>176745</v>
      </c>
      <c r="L79" s="397">
        <f>VLOOKUP(U79,'FS Data'!$A:$B,2,FALSE)</f>
        <v>2996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14</v>
      </c>
      <c r="F80" s="115">
        <f>VLOOKUP(O80,'FS Data'!$A:$B,2,FALSE)</f>
        <v>1535462</v>
      </c>
      <c r="G80" s="115">
        <f>VLOOKUP(P80,'FS Data'!$A:$B,2,FALSE)</f>
        <v>80071</v>
      </c>
      <c r="H80" s="115">
        <f>VLOOKUP(Q80,'FS Data'!$A:$B,2,FALSE)</f>
        <v>5719</v>
      </c>
      <c r="I80" s="221">
        <f>VLOOKUP(R80,'FS Data'!$A:$B,2,FALSE)</f>
        <v>178</v>
      </c>
      <c r="J80" s="115">
        <f>VLOOKUP(S80,'FS Data'!$A:$B,2,FALSE)</f>
        <v>15163998</v>
      </c>
      <c r="K80" s="115">
        <f>VLOOKUP(T80,'FS Data'!$A:$B,2,FALSE)</f>
        <v>786750</v>
      </c>
      <c r="L80" s="397">
        <f>VLOOKUP(U80,'FS Data'!$A:$B,2,FALSE)</f>
        <v>4420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3499315</v>
      </c>
      <c r="G81" s="177">
        <f>VLOOKUP(P81,'FS Data'!$A:$B,2,FALSE)</f>
        <v>271466</v>
      </c>
      <c r="H81" s="390"/>
      <c r="I81" s="391"/>
      <c r="J81" s="177">
        <f>VLOOKUP(S81,'FS Data'!$A:$B,2,FALSE)</f>
        <v>33528236</v>
      </c>
      <c r="K81" s="177">
        <f>VLOOKUP(T81,'FS Data'!$A:$B,2,FALSE)</f>
        <v>2504788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A12" zoomScale="80" zoomScaleNormal="80" workbookViewId="0">
      <selection activeCell="Z36" sqref="Z36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9" t="s">
        <v>494</v>
      </c>
      <c r="C2" s="861" t="s">
        <v>688</v>
      </c>
      <c r="D2" s="863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60"/>
      <c r="C3" s="862"/>
      <c r="D3" s="856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4" t="s">
        <v>179</v>
      </c>
      <c r="E4" s="864"/>
      <c r="F4" s="864"/>
      <c r="G4" s="864"/>
      <c r="H4" s="864"/>
      <c r="I4" s="864"/>
      <c r="J4" s="864"/>
      <c r="K4" s="864"/>
      <c r="L4" s="865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111</v>
      </c>
      <c r="F5" s="115">
        <f>VLOOKUP(O5,'FS Data'!$A:$B,2,FALSE)</f>
        <v>30673</v>
      </c>
      <c r="G5" s="115">
        <f>VLOOKUP(P5,'FS Data'!$A:$B,2,FALSE)</f>
        <v>23999</v>
      </c>
      <c r="H5" s="194">
        <f>VLOOKUP(Q5,'FS Data'!$A:$B,2,FALSE)/10</f>
        <v>78.2</v>
      </c>
      <c r="I5" s="125">
        <f>VLOOKUP(R5,'FS Data'!$A:$B,2,FALSE)</f>
        <v>744</v>
      </c>
      <c r="J5" s="125">
        <f>VLOOKUP(S5,'FS Data'!$A:$B,2,FALSE)</f>
        <v>253832</v>
      </c>
      <c r="K5" s="125">
        <f>VLOOKUP(T5,'FS Data'!$A:$B,2,FALSE)</f>
        <v>199171</v>
      </c>
      <c r="L5" s="195">
        <f>VLOOKUP(U5,'FS Data'!$A:$B,2,FALSE)/10</f>
        <v>78.5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185</v>
      </c>
      <c r="F6" s="115">
        <f>VLOOKUP(O6,'FS Data'!$A:$B,2,FALSE)</f>
        <v>49974</v>
      </c>
      <c r="G6" s="115">
        <f>VLOOKUP(P6,'FS Data'!$A:$B,2,FALSE)</f>
        <v>40218</v>
      </c>
      <c r="H6" s="194">
        <f>VLOOKUP(Q6,'FS Data'!$A:$B,2,FALSE)/10</f>
        <v>80.5</v>
      </c>
      <c r="I6" s="125">
        <f>VLOOKUP(R6,'FS Data'!$A:$B,2,FALSE)</f>
        <v>981</v>
      </c>
      <c r="J6" s="125">
        <f>VLOOKUP(S6,'FS Data'!$A:$B,2,FALSE)</f>
        <v>299104</v>
      </c>
      <c r="K6" s="125">
        <f>VLOOKUP(T6,'FS Data'!$A:$B,2,FALSE)</f>
        <v>238087</v>
      </c>
      <c r="L6" s="195">
        <f>VLOOKUP(U6,'FS Data'!$A:$B,2,FALSE)/10</f>
        <v>79.599999999999994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34</v>
      </c>
      <c r="F7" s="115">
        <f>VLOOKUP(O7,'FS Data'!$A:$B,2,FALSE)</f>
        <v>8925</v>
      </c>
      <c r="G7" s="115">
        <f>VLOOKUP(P7,'FS Data'!$A:$B,2,FALSE)</f>
        <v>7259</v>
      </c>
      <c r="H7" s="194">
        <f>VLOOKUP(Q7,'FS Data'!$A:$B,2,FALSE)/10</f>
        <v>81.3</v>
      </c>
      <c r="I7" s="125">
        <f>VLOOKUP(R7,'FS Data'!$A:$B,2,FALSE)</f>
        <v>138</v>
      </c>
      <c r="J7" s="125">
        <f>VLOOKUP(S7,'FS Data'!$A:$B,2,FALSE)</f>
        <v>32927</v>
      </c>
      <c r="K7" s="125">
        <f>VLOOKUP(T7,'FS Data'!$A:$B,2,FALSE)</f>
        <v>26576</v>
      </c>
      <c r="L7" s="195">
        <f>VLOOKUP(U7,'FS Data'!$A:$B,2,FALSE)/10</f>
        <v>80.7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330</v>
      </c>
      <c r="F10" s="149">
        <f>VLOOKUP(O10,'FS Data'!$A:$B,2,FALSE)</f>
        <v>89572</v>
      </c>
      <c r="G10" s="149">
        <f>VLOOKUP(P10,'FS Data'!$A:$B,2,FALSE)</f>
        <v>71476</v>
      </c>
      <c r="H10" s="199">
        <f>VLOOKUP(Q10,'FS Data'!$A:$B,2,FALSE)/10</f>
        <v>79.8</v>
      </c>
      <c r="I10" s="171">
        <f>VLOOKUP(R10,'FS Data'!$A:$B,2,FALSE)</f>
        <v>1863</v>
      </c>
      <c r="J10" s="171">
        <f>VLOOKUP(S10,'FS Data'!$A:$B,2,FALSE)</f>
        <v>585863</v>
      </c>
      <c r="K10" s="171">
        <f>VLOOKUP(T10,'FS Data'!$A:$B,2,FALSE)</f>
        <v>463834</v>
      </c>
      <c r="L10" s="200">
        <f>VLOOKUP(U10,'FS Data'!$A:$B,2,FALSE)/10</f>
        <v>79.2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33</v>
      </c>
      <c r="F11" s="20">
        <f>VLOOKUP(O11,'FS Data'!$A:$B,2,FALSE)</f>
        <v>3470</v>
      </c>
      <c r="G11" s="20">
        <f>VLOOKUP(P11,'FS Data'!$A:$B,2,FALSE)</f>
        <v>2391</v>
      </c>
      <c r="H11" s="180">
        <f>VLOOKUP(Q11,'FS Data'!$A:$B,2,FALSE)/10</f>
        <v>68.900000000000006</v>
      </c>
      <c r="I11" s="170">
        <f>VLOOKUP(R11,'FS Data'!$A:$B,2,FALSE)</f>
        <v>289</v>
      </c>
      <c r="J11" s="170">
        <f>VLOOKUP(S11,'FS Data'!$A:$B,2,FALSE)</f>
        <v>31127</v>
      </c>
      <c r="K11" s="170">
        <f>VLOOKUP(T11,'FS Data'!$A:$B,2,FALSE)</f>
        <v>21444</v>
      </c>
      <c r="L11" s="198">
        <f>VLOOKUP(U11,'FS Data'!$A:$B,2,FALSE)/10</f>
        <v>68.900000000000006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64</v>
      </c>
      <c r="F12" s="115">
        <f>VLOOKUP(O12,'FS Data'!$A:$B,2,FALSE)</f>
        <v>7684</v>
      </c>
      <c r="G12" s="115">
        <f>VLOOKUP(P12,'FS Data'!$A:$B,2,FALSE)</f>
        <v>5533</v>
      </c>
      <c r="H12" s="194">
        <f>VLOOKUP(Q12,'FS Data'!$A:$B,2,FALSE)/10</f>
        <v>72</v>
      </c>
      <c r="I12" s="125">
        <f>VLOOKUP(R12,'FS Data'!$A:$B,2,FALSE)</f>
        <v>573</v>
      </c>
      <c r="J12" s="125">
        <f>VLOOKUP(S12,'FS Data'!$A:$B,2,FALSE)</f>
        <v>63478</v>
      </c>
      <c r="K12" s="125">
        <f>VLOOKUP(T12,'FS Data'!$A:$B,2,FALSE)</f>
        <v>45675</v>
      </c>
      <c r="L12" s="195">
        <f>VLOOKUP(U12,'FS Data'!$A:$B,2,FALSE)/10</f>
        <v>72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10</v>
      </c>
      <c r="F13" s="129">
        <f>VLOOKUP(O13,'FS Data'!$A:$B,2,FALSE)</f>
        <v>1873</v>
      </c>
      <c r="G13" s="129">
        <f>VLOOKUP(P13,'FS Data'!$A:$B,2,FALSE)</f>
        <v>1327</v>
      </c>
      <c r="H13" s="196">
        <f>VLOOKUP(Q13,'FS Data'!$A:$B,2,FALSE)/10</f>
        <v>70.8</v>
      </c>
      <c r="I13" s="169">
        <f>VLOOKUP(R13,'FS Data'!$A:$B,2,FALSE)</f>
        <v>33</v>
      </c>
      <c r="J13" s="169">
        <f>VLOOKUP(S13,'FS Data'!$A:$B,2,FALSE)</f>
        <v>5557</v>
      </c>
      <c r="K13" s="169">
        <f>VLOOKUP(T13,'FS Data'!$A:$B,2,FALSE)</f>
        <v>4076</v>
      </c>
      <c r="L13" s="197">
        <f>VLOOKUP(U13,'FS Data'!$A:$B,2,FALSE)/10</f>
        <v>73.3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107</v>
      </c>
      <c r="F15" s="149">
        <f>VLOOKUP(O15,'FS Data'!$A:$B,2,FALSE)</f>
        <v>13027</v>
      </c>
      <c r="G15" s="149">
        <f>VLOOKUP(P15,'FS Data'!$A:$B,2,FALSE)</f>
        <v>9251</v>
      </c>
      <c r="H15" s="199">
        <f>VLOOKUP(Q15,'FS Data'!$A:$B,2,FALSE)/10</f>
        <v>71</v>
      </c>
      <c r="I15" s="171">
        <f>VLOOKUP(R15,'FS Data'!$A:$B,2,FALSE)</f>
        <v>895</v>
      </c>
      <c r="J15" s="171">
        <f>VLOOKUP(S15,'FS Data'!$A:$B,2,FALSE)</f>
        <v>100162</v>
      </c>
      <c r="K15" s="171">
        <f>VLOOKUP(T15,'FS Data'!$A:$B,2,FALSE)</f>
        <v>71195</v>
      </c>
      <c r="L15" s="200">
        <f>VLOOKUP(U15,'FS Data'!$A:$B,2,FALSE)/10</f>
        <v>71.099999999999994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3</v>
      </c>
      <c r="F16" s="20">
        <f>VLOOKUP(O16,'FS Data'!$A:$B,2,FALSE)</f>
        <v>120</v>
      </c>
      <c r="G16" s="20">
        <f>VLOOKUP(P16,'FS Data'!$A:$B,2,FALSE)</f>
        <v>0</v>
      </c>
      <c r="H16" s="180">
        <f>VLOOKUP(Q16,'FS Data'!$A:$B,2,FALSE)/10</f>
        <v>0</v>
      </c>
      <c r="I16" s="170">
        <f>VLOOKUP(R16,'FS Data'!$A:$B,2,FALSE)</f>
        <v>33</v>
      </c>
      <c r="J16" s="170">
        <f>VLOOKUP(S16,'FS Data'!$A:$B,2,FALSE)</f>
        <v>13991</v>
      </c>
      <c r="K16" s="170">
        <f>VLOOKUP(T16,'FS Data'!$A:$B,2,FALSE)</f>
        <v>1001</v>
      </c>
      <c r="L16" s="198">
        <f>VLOOKUP(U16,'FS Data'!$A:$B,2,FALSE)/10</f>
        <v>7.2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1</v>
      </c>
      <c r="F17" s="115">
        <f>VLOOKUP(O17,'FS Data'!$A:$B,2,FALSE)</f>
        <v>680</v>
      </c>
      <c r="G17" s="115">
        <f>VLOOKUP(P17,'FS Data'!$A:$B,2,FALSE)</f>
        <v>75</v>
      </c>
      <c r="H17" s="194">
        <f>VLOOKUP(Q17,'FS Data'!$A:$B,2,FALSE)/10</f>
        <v>11</v>
      </c>
      <c r="I17" s="125">
        <f>VLOOKUP(R17,'FS Data'!$A:$B,2,FALSE)</f>
        <v>31</v>
      </c>
      <c r="J17" s="125">
        <f>VLOOKUP(S17,'FS Data'!$A:$B,2,FALSE)</f>
        <v>19542</v>
      </c>
      <c r="K17" s="125">
        <f>VLOOKUP(T17,'FS Data'!$A:$B,2,FALSE)</f>
        <v>1286</v>
      </c>
      <c r="L17" s="195">
        <f>VLOOKUP(U17,'FS Data'!$A:$B,2,FALSE)/10</f>
        <v>6.6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6</v>
      </c>
      <c r="J18" s="125">
        <f>VLOOKUP(S18,'FS Data'!$A:$B,2,FALSE)</f>
        <v>4675</v>
      </c>
      <c r="K18" s="125">
        <f>VLOOKUP(T18,'FS Data'!$A:$B,2,FALSE)</f>
        <v>66</v>
      </c>
      <c r="L18" s="195">
        <f>VLOOKUP(U18,'FS Data'!$A:$B,2,FALSE)/10</f>
        <v>1.4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4</v>
      </c>
      <c r="F21" s="149">
        <f>VLOOKUP(O21,'FS Data'!$A:$B,2,FALSE)</f>
        <v>800</v>
      </c>
      <c r="G21" s="149">
        <f>VLOOKUP(P21,'FS Data'!$A:$B,2,FALSE)</f>
        <v>75</v>
      </c>
      <c r="H21" s="199">
        <f>VLOOKUP(Q21,'FS Data'!$A:$B,2,FALSE)/10</f>
        <v>9.4</v>
      </c>
      <c r="I21" s="171">
        <f>VLOOKUP(R21,'FS Data'!$A:$B,2,FALSE)</f>
        <v>70</v>
      </c>
      <c r="J21" s="171">
        <f>VLOOKUP(S21,'FS Data'!$A:$B,2,FALSE)</f>
        <v>38208</v>
      </c>
      <c r="K21" s="171">
        <f>VLOOKUP(T21,'FS Data'!$A:$B,2,FALSE)</f>
        <v>2353</v>
      </c>
      <c r="L21" s="200">
        <f>VLOOKUP(U21,'FS Data'!$A:$B,2,FALSE)/10</f>
        <v>6.2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32</v>
      </c>
      <c r="F22" s="20">
        <f>VLOOKUP(O22,'FS Data'!$A:$B,2,FALSE)</f>
        <v>4809</v>
      </c>
      <c r="G22" s="20">
        <f>VLOOKUP(P22,'FS Data'!$A:$B,2,FALSE)</f>
        <v>3180</v>
      </c>
      <c r="H22" s="180">
        <f>VLOOKUP(Q22,'FS Data'!$A:$B,2,FALSE)/10</f>
        <v>66.099999999999994</v>
      </c>
      <c r="I22" s="170">
        <f>VLOOKUP(R22,'FS Data'!$A:$B,2,FALSE)</f>
        <v>285</v>
      </c>
      <c r="J22" s="170">
        <f>VLOOKUP(S22,'FS Data'!$A:$B,2,FALSE)</f>
        <v>45183</v>
      </c>
      <c r="K22" s="170">
        <f>VLOOKUP(T22,'FS Data'!$A:$B,2,FALSE)</f>
        <v>29959</v>
      </c>
      <c r="L22" s="198">
        <f>VLOOKUP(U22,'FS Data'!$A:$B,2,FALSE)/10</f>
        <v>66.3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44</v>
      </c>
      <c r="F23" s="115">
        <f>VLOOKUP(O23,'FS Data'!$A:$B,2,FALSE)</f>
        <v>12430</v>
      </c>
      <c r="G23" s="115">
        <f>VLOOKUP(P23,'FS Data'!$A:$B,2,FALSE)</f>
        <v>8349</v>
      </c>
      <c r="H23" s="194">
        <f>VLOOKUP(Q23,'FS Data'!$A:$B,2,FALSE)/10</f>
        <v>67.2</v>
      </c>
      <c r="I23" s="125">
        <f>VLOOKUP(R23,'FS Data'!$A:$B,2,FALSE)</f>
        <v>371</v>
      </c>
      <c r="J23" s="125">
        <f>VLOOKUP(S23,'FS Data'!$A:$B,2,FALSE)</f>
        <v>86467</v>
      </c>
      <c r="K23" s="125">
        <f>VLOOKUP(T23,'FS Data'!$A:$B,2,FALSE)</f>
        <v>54958</v>
      </c>
      <c r="L23" s="195">
        <f>VLOOKUP(U23,'FS Data'!$A:$B,2,FALSE)/10</f>
        <v>63.6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11</v>
      </c>
      <c r="F24" s="115">
        <f>VLOOKUP(O24,'FS Data'!$A:$B,2,FALSE)</f>
        <v>1767</v>
      </c>
      <c r="G24" s="115">
        <f>VLOOKUP(P24,'FS Data'!$A:$B,2,FALSE)</f>
        <v>1229</v>
      </c>
      <c r="H24" s="194">
        <f>VLOOKUP(Q24,'FS Data'!$A:$B,2,FALSE)/10</f>
        <v>69.599999999999994</v>
      </c>
      <c r="I24" s="125">
        <f>VLOOKUP(R24,'FS Data'!$A:$B,2,FALSE)</f>
        <v>91</v>
      </c>
      <c r="J24" s="125">
        <f>VLOOKUP(S24,'FS Data'!$A:$B,2,FALSE)</f>
        <v>21737</v>
      </c>
      <c r="K24" s="125">
        <f>VLOOKUP(T24,'FS Data'!$A:$B,2,FALSE)</f>
        <v>14738</v>
      </c>
      <c r="L24" s="195">
        <f>VLOOKUP(U24,'FS Data'!$A:$B,2,FALSE)/10</f>
        <v>67.8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87</v>
      </c>
      <c r="F27" s="149">
        <f>VLOOKUP(O27,'FS Data'!$A:$B,2,FALSE)</f>
        <v>19006</v>
      </c>
      <c r="G27" s="149">
        <f>VLOOKUP(P27,'FS Data'!$A:$B,2,FALSE)</f>
        <v>12758</v>
      </c>
      <c r="H27" s="199">
        <f>VLOOKUP(Q27,'FS Data'!$A:$B,2,FALSE)/10</f>
        <v>67.099999999999994</v>
      </c>
      <c r="I27" s="171">
        <f>VLOOKUP(R27,'FS Data'!$A:$B,2,FALSE)</f>
        <v>747</v>
      </c>
      <c r="J27" s="171">
        <f>VLOOKUP(S27,'FS Data'!$A:$B,2,FALSE)</f>
        <v>153387</v>
      </c>
      <c r="K27" s="171">
        <f>VLOOKUP(T27,'FS Data'!$A:$B,2,FALSE)</f>
        <v>99655</v>
      </c>
      <c r="L27" s="200">
        <f>VLOOKUP(U27,'FS Data'!$A:$B,2,FALSE)/10</f>
        <v>65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62</v>
      </c>
      <c r="F28" s="20">
        <f>VLOOKUP(O28,'FS Data'!$A:$B,2,FALSE)</f>
        <v>13442</v>
      </c>
      <c r="G28" s="20">
        <f>VLOOKUP(P28,'FS Data'!$A:$B,2,FALSE)</f>
        <v>7986</v>
      </c>
      <c r="H28" s="180">
        <f>VLOOKUP(Q28,'FS Data'!$A:$B,2,FALSE)/10</f>
        <v>59.4</v>
      </c>
      <c r="I28" s="170">
        <f>VLOOKUP(R28,'FS Data'!$A:$B,2,FALSE)</f>
        <v>676</v>
      </c>
      <c r="J28" s="170">
        <f>VLOOKUP(S28,'FS Data'!$A:$B,2,FALSE)</f>
        <v>145086</v>
      </c>
      <c r="K28" s="170">
        <f>VLOOKUP(T28,'FS Data'!$A:$B,2,FALSE)</f>
        <v>79325</v>
      </c>
      <c r="L28" s="198">
        <f>VLOOKUP(U28,'FS Data'!$A:$B,2,FALSE)/10</f>
        <v>54.7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82</v>
      </c>
      <c r="F29" s="115">
        <f>VLOOKUP(O29,'FS Data'!$A:$B,2,FALSE)</f>
        <v>24430</v>
      </c>
      <c r="G29" s="115">
        <f>VLOOKUP(P29,'FS Data'!$A:$B,2,FALSE)</f>
        <v>16746</v>
      </c>
      <c r="H29" s="194">
        <f>VLOOKUP(Q29,'FS Data'!$A:$B,2,FALSE)/10</f>
        <v>68.5</v>
      </c>
      <c r="I29" s="125">
        <f>VLOOKUP(R29,'FS Data'!$A:$B,2,FALSE)</f>
        <v>784</v>
      </c>
      <c r="J29" s="125">
        <f>VLOOKUP(S29,'FS Data'!$A:$B,2,FALSE)</f>
        <v>190061</v>
      </c>
      <c r="K29" s="125">
        <f>VLOOKUP(T29,'FS Data'!$A:$B,2,FALSE)</f>
        <v>121227</v>
      </c>
      <c r="L29" s="195">
        <f>VLOOKUP(U29,'FS Data'!$A:$B,2,FALSE)/10</f>
        <v>63.8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28</v>
      </c>
      <c r="F30" s="115">
        <f>VLOOKUP(O30,'FS Data'!$A:$B,2,FALSE)</f>
        <v>8329</v>
      </c>
      <c r="G30" s="115">
        <f>VLOOKUP(P30,'FS Data'!$A:$B,2,FALSE)</f>
        <v>6522</v>
      </c>
      <c r="H30" s="194">
        <f>VLOOKUP(Q30,'FS Data'!$A:$B,2,FALSE)/10</f>
        <v>78.3</v>
      </c>
      <c r="I30" s="125">
        <f>VLOOKUP(R30,'FS Data'!$A:$B,2,FALSE)</f>
        <v>193</v>
      </c>
      <c r="J30" s="125">
        <f>VLOOKUP(S30,'FS Data'!$A:$B,2,FALSE)</f>
        <v>59076</v>
      </c>
      <c r="K30" s="125">
        <f>VLOOKUP(T30,'FS Data'!$A:$B,2,FALSE)</f>
        <v>41925</v>
      </c>
      <c r="L30" s="195">
        <f>VLOOKUP(U30,'FS Data'!$A:$B,2,FALSE)/10</f>
        <v>71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172</v>
      </c>
      <c r="F33" s="149">
        <f>VLOOKUP(O33,'FS Data'!$A:$B,2,FALSE)</f>
        <v>46201</v>
      </c>
      <c r="G33" s="149">
        <f>VLOOKUP(P33,'FS Data'!$A:$B,2,FALSE)</f>
        <v>31254</v>
      </c>
      <c r="H33" s="199">
        <f>VLOOKUP(Q33,'FS Data'!$A:$B,2,FALSE)/10</f>
        <v>67.599999999999994</v>
      </c>
      <c r="I33" s="171">
        <f>VLOOKUP(R33,'FS Data'!$A:$B,2,FALSE)</f>
        <v>1653</v>
      </c>
      <c r="J33" s="171">
        <f>VLOOKUP(S33,'FS Data'!$A:$B,2,FALSE)</f>
        <v>394223</v>
      </c>
      <c r="K33" s="171">
        <f>VLOOKUP(T33,'FS Data'!$A:$B,2,FALSE)</f>
        <v>242477</v>
      </c>
      <c r="L33" s="200">
        <f>VLOOKUP(U33,'FS Data'!$A:$B,2,FALSE)/10</f>
        <v>61.5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99</v>
      </c>
      <c r="F35" s="20">
        <f>VLOOKUP(O35,'FS Data'!$A:$B,2,FALSE)</f>
        <v>17782</v>
      </c>
      <c r="G35" s="116">
        <f>VLOOKUP(P35,'FS Data'!$A:$B,2,FALSE)</f>
        <v>6067</v>
      </c>
      <c r="H35" s="180">
        <f>VLOOKUP(Q35,'FS Data'!$A:$B,2,FALSE)/10</f>
        <v>34.1</v>
      </c>
      <c r="I35" s="170">
        <f>VLOOKUP(R35,'FS Data'!$A:$B,2,FALSE)</f>
        <v>583</v>
      </c>
      <c r="J35" s="170">
        <f>VLOOKUP(S35,'FS Data'!$A:$B,2,FALSE)</f>
        <v>111894</v>
      </c>
      <c r="K35" s="239">
        <f>VLOOKUP(T35,'FS Data'!$A:$B,2,FALSE)</f>
        <v>41635</v>
      </c>
      <c r="L35" s="198">
        <f>VLOOKUP(U35,'FS Data'!$A:$B,2,FALSE)/10</f>
        <v>37.200000000000003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1447</v>
      </c>
      <c r="H36" s="58"/>
      <c r="I36" s="82"/>
      <c r="J36" s="92"/>
      <c r="K36" s="239">
        <f>VLOOKUP(T36,'FS Data'!$A:$B,2,FALSE)</f>
        <v>16186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965</v>
      </c>
      <c r="H37" s="58"/>
      <c r="I37" s="82"/>
      <c r="J37" s="92"/>
      <c r="K37" s="239">
        <f>VLOOKUP(T37,'FS Data'!$A:$B,2,FALSE)</f>
        <v>10791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2412</v>
      </c>
      <c r="H41" s="58"/>
      <c r="I41" s="91"/>
      <c r="J41" s="91"/>
      <c r="K41" s="171">
        <f>VLOOKUP(T41,'FS Data'!$A:$B,2,FALSE)</f>
        <v>26977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17" t="s">
        <v>304</v>
      </c>
      <c r="D44" s="790"/>
      <c r="E44" s="149">
        <f>VLOOKUP(N44,'FS Data'!$A:$B,2,FALSE)</f>
        <v>799</v>
      </c>
      <c r="F44" s="149">
        <f>VLOOKUP(O44,'FS Data'!$A:$B,2,FALSE)</f>
        <v>186388</v>
      </c>
      <c r="G44" s="149">
        <f>VLOOKUP(P44,'FS Data'!$A:$B,2,FALSE)</f>
        <v>128469</v>
      </c>
      <c r="H44" s="199">
        <f>VLOOKUP(Q44,'FS Data'!$A:$B,2,FALSE)/10</f>
        <v>68.900000000000006</v>
      </c>
      <c r="I44" s="171">
        <f>VLOOKUP(R44,'FS Data'!$A:$B,2,FALSE)</f>
        <v>5811</v>
      </c>
      <c r="J44" s="171">
        <f>VLOOKUP(S44,'FS Data'!$A:$B,2,FALSE)</f>
        <v>1383737</v>
      </c>
      <c r="K44" s="171">
        <f>VLOOKUP(T44,'FS Data'!$A:$B,2,FALSE)</f>
        <v>894172</v>
      </c>
      <c r="L44" s="200">
        <f>VLOOKUP(U44,'FS Data'!$A:$B,2,FALSE)/10</f>
        <v>64.599999999999994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340</v>
      </c>
      <c r="F46" s="149">
        <f>VLOOKUP(O46,'FS Data'!$A:$B,2,FALSE)</f>
        <v>70296</v>
      </c>
      <c r="G46" s="149">
        <f>VLOOKUP(P46,'FS Data'!$A:$B,2,FALSE)</f>
        <v>42176</v>
      </c>
      <c r="H46" s="199">
        <f>VLOOKUP(Q46,'FS Data'!$A:$B,2,FALSE)/10</f>
        <v>60</v>
      </c>
      <c r="I46" s="171">
        <f>VLOOKUP(R46,'FS Data'!$A:$B,2,FALSE)</f>
        <v>2610</v>
      </c>
      <c r="J46" s="171">
        <f>VLOOKUP(S46,'FS Data'!$A:$B,2,FALSE)</f>
        <v>601113</v>
      </c>
      <c r="K46" s="171">
        <f>VLOOKUP(T46,'FS Data'!$A:$B,2,FALSE)</f>
        <v>356349</v>
      </c>
      <c r="L46" s="200">
        <f>VLOOKUP(U46,'FS Data'!$A:$B,2,FALSE)/10</f>
        <v>59.3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376</v>
      </c>
      <c r="F47" s="149">
        <f>VLOOKUP(O47,'FS Data'!$A:$B,2,FALSE)</f>
        <v>95198</v>
      </c>
      <c r="G47" s="149">
        <f>VLOOKUP(P47,'FS Data'!$A:$B,2,FALSE)</f>
        <v>69956</v>
      </c>
      <c r="H47" s="199">
        <f>VLOOKUP(Q47,'FS Data'!$A:$B,2,FALSE)/10</f>
        <v>73.5</v>
      </c>
      <c r="I47" s="171">
        <f>VLOOKUP(R47,'FS Data'!$A:$B,2,FALSE)</f>
        <v>2740</v>
      </c>
      <c r="J47" s="171">
        <f>VLOOKUP(S47,'FS Data'!$A:$B,2,FALSE)</f>
        <v>658652</v>
      </c>
      <c r="K47" s="171">
        <f>VLOOKUP(T47,'FS Data'!$A:$B,2,FALSE)</f>
        <v>450442</v>
      </c>
      <c r="L47" s="200">
        <f>VLOOKUP(U47,'FS Data'!$A:$B,2,FALSE)/10</f>
        <v>68.400000000000006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83</v>
      </c>
      <c r="F48" s="149">
        <f>VLOOKUP(O48,'FS Data'!$A:$B,2,FALSE)</f>
        <v>20894</v>
      </c>
      <c r="G48" s="149">
        <f>VLOOKUP(P48,'FS Data'!$A:$B,2,FALSE)</f>
        <v>16337</v>
      </c>
      <c r="H48" s="234">
        <f>VLOOKUP(Q48,'FS Data'!$A:$B,2,FALSE)/10</f>
        <v>78.2</v>
      </c>
      <c r="I48" s="171">
        <f>VLOOKUP(R48,'FS Data'!$A:$B,2,FALSE)</f>
        <v>461</v>
      </c>
      <c r="J48" s="171">
        <f>VLOOKUP(S48,'FS Data'!$A:$B,2,FALSE)</f>
        <v>123972</v>
      </c>
      <c r="K48" s="171">
        <f>VLOOKUP(T48,'FS Data'!$A:$B,2,FALSE)</f>
        <v>87381</v>
      </c>
      <c r="L48" s="235">
        <f>VLOOKUP(U48,'FS Data'!$A:$B,2,FALSE)/10</f>
        <v>70.5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A27" zoomScale="80" zoomScaleNormal="80" workbookViewId="0">
      <selection activeCell="Z36" sqref="Z36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6" t="s">
        <v>494</v>
      </c>
      <c r="C2" s="868" t="s">
        <v>688</v>
      </c>
      <c r="D2" s="870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7"/>
      <c r="C3" s="869"/>
      <c r="D3" s="869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4" t="s">
        <v>841</v>
      </c>
      <c r="E4" s="864"/>
      <c r="F4" s="864"/>
      <c r="G4" s="864"/>
      <c r="H4" s="864"/>
      <c r="I4" s="864"/>
      <c r="J4" s="864"/>
      <c r="K4" s="864"/>
      <c r="L4" s="865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48</v>
      </c>
      <c r="F5" s="115">
        <f>VLOOKUP(O5,'FS Data'!$A:$B,2,FALSE)</f>
        <v>17796</v>
      </c>
      <c r="G5" s="115">
        <f>VLOOKUP(P5,'FS Data'!$A:$B,2,FALSE)</f>
        <v>7429</v>
      </c>
      <c r="H5" s="194">
        <f>VLOOKUP(Q5,'FS Data'!$A:$B,2,FALSE)/10</f>
        <v>41.7</v>
      </c>
      <c r="I5" s="126">
        <f>VLOOKUP(R5,'FS Data'!$A:$B,2,FALSE)</f>
        <v>423</v>
      </c>
      <c r="J5" s="126">
        <f>VLOOKUP(S5,'FS Data'!$A:$B,2,FALSE)</f>
        <v>221230</v>
      </c>
      <c r="K5" s="126">
        <f>VLOOKUP(T5,'FS Data'!$A:$B,2,FALSE)</f>
        <v>85749</v>
      </c>
      <c r="L5" s="195">
        <f>VLOOKUP(U5,'FS Data'!$A:$B,2,FALSE)/10</f>
        <v>38.799999999999997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65</v>
      </c>
      <c r="F6" s="115">
        <f>VLOOKUP(O6,'FS Data'!$A:$B,2,FALSE)</f>
        <v>36569</v>
      </c>
      <c r="G6" s="115">
        <f>VLOOKUP(P6,'FS Data'!$A:$B,2,FALSE)</f>
        <v>14354</v>
      </c>
      <c r="H6" s="194">
        <f>VLOOKUP(Q6,'FS Data'!$A:$B,2,FALSE)/10</f>
        <v>39.299999999999997</v>
      </c>
      <c r="I6" s="126">
        <f>VLOOKUP(R6,'FS Data'!$A:$B,2,FALSE)</f>
        <v>530</v>
      </c>
      <c r="J6" s="126">
        <f>VLOOKUP(S6,'FS Data'!$A:$B,2,FALSE)</f>
        <v>335436</v>
      </c>
      <c r="K6" s="126">
        <f>VLOOKUP(T6,'FS Data'!$A:$B,2,FALSE)</f>
        <v>136550</v>
      </c>
      <c r="L6" s="195">
        <f>VLOOKUP(U6,'FS Data'!$A:$B,2,FALSE)/10</f>
        <v>40.700000000000003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8</v>
      </c>
      <c r="F7" s="115">
        <f>VLOOKUP(O7,'FS Data'!$A:$B,2,FALSE)</f>
        <v>4660</v>
      </c>
      <c r="G7" s="115">
        <f>VLOOKUP(P7,'FS Data'!$A:$B,2,FALSE)</f>
        <v>2284</v>
      </c>
      <c r="H7" s="194">
        <f>VLOOKUP(Q7,'FS Data'!$A:$B,2,FALSE)/10</f>
        <v>49</v>
      </c>
      <c r="I7" s="126">
        <f>VLOOKUP(R7,'FS Data'!$A:$B,2,FALSE)</f>
        <v>43</v>
      </c>
      <c r="J7" s="126">
        <f>VLOOKUP(S7,'FS Data'!$A:$B,2,FALSE)</f>
        <v>24980</v>
      </c>
      <c r="K7" s="126">
        <f>VLOOKUP(T7,'FS Data'!$A:$B,2,FALSE)</f>
        <v>10417</v>
      </c>
      <c r="L7" s="195">
        <f>VLOOKUP(U7,'FS Data'!$A:$B,2,FALSE)/10</f>
        <v>41.7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121</v>
      </c>
      <c r="F10" s="149">
        <f>VLOOKUP(O10,'FS Data'!$A:$B,2,FALSE)</f>
        <v>59025</v>
      </c>
      <c r="G10" s="149">
        <f>VLOOKUP(P10,'FS Data'!$A:$B,2,FALSE)</f>
        <v>24067</v>
      </c>
      <c r="H10" s="199">
        <f>VLOOKUP(Q10,'FS Data'!$A:$B,2,FALSE)/10</f>
        <v>40.799999999999997</v>
      </c>
      <c r="I10" s="146">
        <f>VLOOKUP(R10,'FS Data'!$A:$B,2,FALSE)</f>
        <v>996</v>
      </c>
      <c r="J10" s="146">
        <f>VLOOKUP(S10,'FS Data'!$A:$B,2,FALSE)</f>
        <v>581646</v>
      </c>
      <c r="K10" s="146">
        <f>VLOOKUP(T10,'FS Data'!$A:$B,2,FALSE)</f>
        <v>232716</v>
      </c>
      <c r="L10" s="200">
        <f>VLOOKUP(U10,'FS Data'!$A:$B,2,FALSE)/10</f>
        <v>40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32</v>
      </c>
      <c r="F11" s="20">
        <f>VLOOKUP(O11,'FS Data'!$A:$B,2,FALSE)</f>
        <v>2375</v>
      </c>
      <c r="G11" s="20">
        <f>VLOOKUP(P11,'FS Data'!$A:$B,2,FALSE)</f>
        <v>679</v>
      </c>
      <c r="H11" s="180">
        <f>VLOOKUP(Q11,'FS Data'!$A:$B,2,FALSE)/10</f>
        <v>28.6</v>
      </c>
      <c r="I11" s="118">
        <f>VLOOKUP(R11,'FS Data'!$A:$B,2,FALSE)</f>
        <v>261</v>
      </c>
      <c r="J11" s="118">
        <f>VLOOKUP(S11,'FS Data'!$A:$B,2,FALSE)</f>
        <v>22536</v>
      </c>
      <c r="K11" s="118">
        <f>VLOOKUP(T11,'FS Data'!$A:$B,2,FALSE)</f>
        <v>6466</v>
      </c>
      <c r="L11" s="198">
        <f>VLOOKUP(U11,'FS Data'!$A:$B,2,FALSE)/10</f>
        <v>28.7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58</v>
      </c>
      <c r="F12" s="115">
        <f>VLOOKUP(O12,'FS Data'!$A:$B,2,FALSE)</f>
        <v>5957</v>
      </c>
      <c r="G12" s="115">
        <f>VLOOKUP(P12,'FS Data'!$A:$B,2,FALSE)</f>
        <v>1702</v>
      </c>
      <c r="H12" s="194">
        <f>VLOOKUP(Q12,'FS Data'!$A:$B,2,FALSE)/10</f>
        <v>28.6</v>
      </c>
      <c r="I12" s="126">
        <f>VLOOKUP(R12,'FS Data'!$A:$B,2,FALSE)</f>
        <v>524</v>
      </c>
      <c r="J12" s="126">
        <f>VLOOKUP(S12,'FS Data'!$A:$B,2,FALSE)</f>
        <v>50613</v>
      </c>
      <c r="K12" s="126">
        <f>VLOOKUP(T12,'FS Data'!$A:$B,2,FALSE)</f>
        <v>14463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10</v>
      </c>
      <c r="F13" s="129">
        <f>VLOOKUP(O13,'FS Data'!$A:$B,2,FALSE)</f>
        <v>1314</v>
      </c>
      <c r="G13" s="129">
        <f>VLOOKUP(P13,'FS Data'!$A:$B,2,FALSE)</f>
        <v>375</v>
      </c>
      <c r="H13" s="196">
        <f>VLOOKUP(Q13,'FS Data'!$A:$B,2,FALSE)/10</f>
        <v>28.5</v>
      </c>
      <c r="I13" s="173">
        <f>VLOOKUP(R13,'FS Data'!$A:$B,2,FALSE)</f>
        <v>21</v>
      </c>
      <c r="J13" s="173">
        <f>VLOOKUP(S13,'FS Data'!$A:$B,2,FALSE)</f>
        <v>2748</v>
      </c>
      <c r="K13" s="173">
        <f>VLOOKUP(T13,'FS Data'!$A:$B,2,FALSE)</f>
        <v>785</v>
      </c>
      <c r="L13" s="197">
        <f>VLOOKUP(U13,'FS Data'!$A:$B,2,FALSE)/10</f>
        <v>28.6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100</v>
      </c>
      <c r="F15" s="149">
        <f>VLOOKUP(O15,'FS Data'!$A:$B,2,FALSE)</f>
        <v>9646</v>
      </c>
      <c r="G15" s="149">
        <f>VLOOKUP(P15,'FS Data'!$A:$B,2,FALSE)</f>
        <v>2756</v>
      </c>
      <c r="H15" s="199">
        <f>VLOOKUP(Q15,'FS Data'!$A:$B,2,FALSE)/10</f>
        <v>28.6</v>
      </c>
      <c r="I15" s="146">
        <f>VLOOKUP(R15,'FS Data'!$A:$B,2,FALSE)</f>
        <v>806</v>
      </c>
      <c r="J15" s="146">
        <f>VLOOKUP(S15,'FS Data'!$A:$B,2,FALSE)</f>
        <v>75897</v>
      </c>
      <c r="K15" s="146">
        <f>VLOOKUP(T15,'FS Data'!$A:$B,2,FALSE)</f>
        <v>21714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1</v>
      </c>
      <c r="F16" s="20">
        <f>VLOOKUP(O16,'FS Data'!$A:$B,2,FALSE)</f>
        <v>2526</v>
      </c>
      <c r="G16" s="20">
        <f>VLOOKUP(P16,'FS Data'!$A:$B,2,FALSE)</f>
        <v>979</v>
      </c>
      <c r="H16" s="180">
        <f>VLOOKUP(Q16,'FS Data'!$A:$B,2,FALSE)/10</f>
        <v>38.799999999999997</v>
      </c>
      <c r="I16" s="118">
        <f>VLOOKUP(R16,'FS Data'!$A:$B,2,FALSE)</f>
        <v>2</v>
      </c>
      <c r="J16" s="118">
        <f>VLOOKUP(S16,'FS Data'!$A:$B,2,FALSE)</f>
        <v>2926</v>
      </c>
      <c r="K16" s="118">
        <f>VLOOKUP(T16,'FS Data'!$A:$B,2,FALSE)</f>
        <v>1137</v>
      </c>
      <c r="L16" s="198">
        <f>VLOOKUP(U16,'FS Data'!$A:$B,2,FALSE)/10</f>
        <v>38.9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2</v>
      </c>
      <c r="J17" s="126">
        <f>VLOOKUP(S17,'FS Data'!$A:$B,2,FALSE)</f>
        <v>4096</v>
      </c>
      <c r="K17" s="126">
        <f>VLOOKUP(T17,'FS Data'!$A:$B,2,FALSE)</f>
        <v>1148</v>
      </c>
      <c r="L17" s="195">
        <f>VLOOKUP(U17,'FS Data'!$A:$B,2,FALSE)/10</f>
        <v>28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2</v>
      </c>
      <c r="J18" s="126">
        <f>VLOOKUP(S18,'FS Data'!$A:$B,2,FALSE)</f>
        <v>207</v>
      </c>
      <c r="K18" s="126">
        <f>VLOOKUP(T18,'FS Data'!$A:$B,2,FALSE)</f>
        <v>70</v>
      </c>
      <c r="L18" s="195">
        <f>VLOOKUP(U18,'FS Data'!$A:$B,2,FALSE)/10</f>
        <v>33.799999999999997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1</v>
      </c>
      <c r="F21" s="149">
        <f>VLOOKUP(O21,'FS Data'!$A:$B,2,FALSE)</f>
        <v>2526</v>
      </c>
      <c r="G21" s="149">
        <f>VLOOKUP(P21,'FS Data'!$A:$B,2,FALSE)</f>
        <v>979</v>
      </c>
      <c r="H21" s="199">
        <f>VLOOKUP(Q21,'FS Data'!$A:$B,2,FALSE)/10</f>
        <v>38.799999999999997</v>
      </c>
      <c r="I21" s="146">
        <f>VLOOKUP(R21,'FS Data'!$A:$B,2,FALSE)</f>
        <v>6</v>
      </c>
      <c r="J21" s="146">
        <f>VLOOKUP(S21,'FS Data'!$A:$B,2,FALSE)</f>
        <v>7229</v>
      </c>
      <c r="K21" s="146">
        <f>VLOOKUP(T21,'FS Data'!$A:$B,2,FALSE)</f>
        <v>2355</v>
      </c>
      <c r="L21" s="200">
        <f>VLOOKUP(U21,'FS Data'!$A:$B,2,FALSE)/10</f>
        <v>32.6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26</v>
      </c>
      <c r="F22" s="20">
        <f>VLOOKUP(O22,'FS Data'!$A:$B,2,FALSE)</f>
        <v>14178</v>
      </c>
      <c r="G22" s="20">
        <f>VLOOKUP(P22,'FS Data'!$A:$B,2,FALSE)</f>
        <v>4049</v>
      </c>
      <c r="H22" s="180">
        <f>VLOOKUP(Q22,'FS Data'!$A:$B,2,FALSE)/10</f>
        <v>28.6</v>
      </c>
      <c r="I22" s="118">
        <f>VLOOKUP(R22,'FS Data'!$A:$B,2,FALSE)</f>
        <v>290</v>
      </c>
      <c r="J22" s="118">
        <f>VLOOKUP(S22,'FS Data'!$A:$B,2,FALSE)</f>
        <v>113656</v>
      </c>
      <c r="K22" s="118">
        <f>VLOOKUP(T22,'FS Data'!$A:$B,2,FALSE)</f>
        <v>29464</v>
      </c>
      <c r="L22" s="198">
        <f>VLOOKUP(U22,'FS Data'!$A:$B,2,FALSE)/10</f>
        <v>25.9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54</v>
      </c>
      <c r="F23" s="115">
        <f>VLOOKUP(O23,'FS Data'!$A:$B,2,FALSE)</f>
        <v>42435</v>
      </c>
      <c r="G23" s="115">
        <f>VLOOKUP(P23,'FS Data'!$A:$B,2,FALSE)</f>
        <v>12094</v>
      </c>
      <c r="H23" s="194">
        <f>VLOOKUP(Q23,'FS Data'!$A:$B,2,FALSE)/10</f>
        <v>28.5</v>
      </c>
      <c r="I23" s="126">
        <f>VLOOKUP(R23,'FS Data'!$A:$B,2,FALSE)</f>
        <v>427</v>
      </c>
      <c r="J23" s="126">
        <f>VLOOKUP(S23,'FS Data'!$A:$B,2,FALSE)</f>
        <v>280396</v>
      </c>
      <c r="K23" s="126">
        <f>VLOOKUP(T23,'FS Data'!$A:$B,2,FALSE)</f>
        <v>80018</v>
      </c>
      <c r="L23" s="195">
        <f>VLOOKUP(U23,'FS Data'!$A:$B,2,FALSE)/10</f>
        <v>28.5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4351</v>
      </c>
      <c r="G24" s="115">
        <f>VLOOKUP(P24,'FS Data'!$A:$B,2,FALSE)</f>
        <v>1243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96293</v>
      </c>
      <c r="K24" s="126">
        <f>VLOOKUP(T24,'FS Data'!$A:$B,2,FALSE)</f>
        <v>27829</v>
      </c>
      <c r="L24" s="195">
        <f>VLOOKUP(U24,'FS Data'!$A:$B,2,FALSE)/10</f>
        <v>28.9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80</v>
      </c>
      <c r="F27" s="149">
        <f>VLOOKUP(O27,'FS Data'!$A:$B,2,FALSE)</f>
        <v>60964</v>
      </c>
      <c r="G27" s="149">
        <f>VLOOKUP(P27,'FS Data'!$A:$B,2,FALSE)</f>
        <v>17386</v>
      </c>
      <c r="H27" s="199">
        <f>VLOOKUP(Q27,'FS Data'!$A:$B,2,FALSE)/10</f>
        <v>28.5</v>
      </c>
      <c r="I27" s="146">
        <f>VLOOKUP(R27,'FS Data'!$A:$B,2,FALSE)</f>
        <v>717</v>
      </c>
      <c r="J27" s="146">
        <f>VLOOKUP(S27,'FS Data'!$A:$B,2,FALSE)</f>
        <v>490345</v>
      </c>
      <c r="K27" s="146">
        <f>VLOOKUP(T27,'FS Data'!$A:$B,2,FALSE)</f>
        <v>137311</v>
      </c>
      <c r="L27" s="200">
        <f>VLOOKUP(U27,'FS Data'!$A:$B,2,FALSE)/10</f>
        <v>28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38</v>
      </c>
      <c r="F28" s="20">
        <f>VLOOKUP(O28,'FS Data'!$A:$B,2,FALSE)</f>
        <v>12920</v>
      </c>
      <c r="G28" s="20">
        <f>VLOOKUP(P28,'FS Data'!$A:$B,2,FALSE)</f>
        <v>4456</v>
      </c>
      <c r="H28" s="180">
        <f>VLOOKUP(Q28,'FS Data'!$A:$B,2,FALSE)/10</f>
        <v>34.5</v>
      </c>
      <c r="I28" s="118">
        <f>VLOOKUP(R28,'FS Data'!$A:$B,2,FALSE)</f>
        <v>316</v>
      </c>
      <c r="J28" s="118">
        <f>VLOOKUP(S28,'FS Data'!$A:$B,2,FALSE)</f>
        <v>93592</v>
      </c>
      <c r="K28" s="118">
        <f>VLOOKUP(T28,'FS Data'!$A:$B,2,FALSE)</f>
        <v>30268</v>
      </c>
      <c r="L28" s="198">
        <f>VLOOKUP(U28,'FS Data'!$A:$B,2,FALSE)/10</f>
        <v>32.299999999999997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39</v>
      </c>
      <c r="F29" s="115">
        <f>VLOOKUP(O29,'FS Data'!$A:$B,2,FALSE)</f>
        <v>12044</v>
      </c>
      <c r="G29" s="115">
        <f>VLOOKUP(P29,'FS Data'!$A:$B,2,FALSE)</f>
        <v>4213</v>
      </c>
      <c r="H29" s="194">
        <f>VLOOKUP(Q29,'FS Data'!$A:$B,2,FALSE)/10</f>
        <v>35</v>
      </c>
      <c r="I29" s="126">
        <f>VLOOKUP(R29,'FS Data'!$A:$B,2,FALSE)</f>
        <v>242</v>
      </c>
      <c r="J29" s="126">
        <f>VLOOKUP(S29,'FS Data'!$A:$B,2,FALSE)</f>
        <v>56963</v>
      </c>
      <c r="K29" s="126">
        <f>VLOOKUP(T29,'FS Data'!$A:$B,2,FALSE)</f>
        <v>19922</v>
      </c>
      <c r="L29" s="195">
        <f>VLOOKUP(U29,'FS Data'!$A:$B,2,FALSE)/10</f>
        <v>35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16</v>
      </c>
      <c r="F30" s="115">
        <f>VLOOKUP(O30,'FS Data'!$A:$B,2,FALSE)</f>
        <v>2450</v>
      </c>
      <c r="G30" s="115">
        <f>VLOOKUP(P30,'FS Data'!$A:$B,2,FALSE)</f>
        <v>747</v>
      </c>
      <c r="H30" s="194">
        <f>VLOOKUP(Q30,'FS Data'!$A:$B,2,FALSE)/10</f>
        <v>30.5</v>
      </c>
      <c r="I30" s="126">
        <f>VLOOKUP(R30,'FS Data'!$A:$B,2,FALSE)</f>
        <v>83</v>
      </c>
      <c r="J30" s="126">
        <f>VLOOKUP(S30,'FS Data'!$A:$B,2,FALSE)</f>
        <v>11243</v>
      </c>
      <c r="K30" s="126">
        <f>VLOOKUP(T30,'FS Data'!$A:$B,2,FALSE)</f>
        <v>3474</v>
      </c>
      <c r="L30" s="195">
        <f>VLOOKUP(U30,'FS Data'!$A:$B,2,FALSE)/10</f>
        <v>30.9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93</v>
      </c>
      <c r="F33" s="149">
        <f>VLOOKUP(O33,'FS Data'!$A:$B,2,FALSE)</f>
        <v>27414</v>
      </c>
      <c r="G33" s="149">
        <f>VLOOKUP(P33,'FS Data'!$A:$B,2,FALSE)</f>
        <v>9416</v>
      </c>
      <c r="H33" s="199">
        <f>VLOOKUP(Q33,'FS Data'!$A:$B,2,FALSE)/10</f>
        <v>34.299999999999997</v>
      </c>
      <c r="I33" s="146">
        <f>VLOOKUP(R33,'FS Data'!$A:$B,2,FALSE)</f>
        <v>641</v>
      </c>
      <c r="J33" s="146">
        <f>VLOOKUP(S33,'FS Data'!$A:$B,2,FALSE)</f>
        <v>161798</v>
      </c>
      <c r="K33" s="146">
        <f>VLOOKUP(T33,'FS Data'!$A:$B,2,FALSE)</f>
        <v>53664</v>
      </c>
      <c r="L33" s="200">
        <f>VLOOKUP(U33,'FS Data'!$A:$B,2,FALSE)/10</f>
        <v>33.200000000000003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88</v>
      </c>
      <c r="F35" s="115">
        <f>VLOOKUP(O35,'FS Data'!$A:$B,2,FALSE)</f>
        <v>21474</v>
      </c>
      <c r="G35" s="240">
        <f>VLOOKUP(P35,'FS Data'!$A:$B,2,FALSE)</f>
        <v>5840</v>
      </c>
      <c r="H35" s="194">
        <f>VLOOKUP(Q35,'FS Data'!$A:$B,2,FALSE)/10</f>
        <v>27.2</v>
      </c>
      <c r="I35" s="126">
        <f>VLOOKUP(R35,'FS Data'!$A:$B,2,FALSE)</f>
        <v>766</v>
      </c>
      <c r="J35" s="126">
        <f>VLOOKUP(S35,'FS Data'!$A:$B,2,FALSE)</f>
        <v>156783</v>
      </c>
      <c r="K35" s="243">
        <f>VLOOKUP(T35,'FS Data'!$A:$B,2,FALSE)</f>
        <v>45604</v>
      </c>
      <c r="L35" s="244">
        <f>VLOOKUP(U35,'FS Data'!$A:$B,2,FALSE)/10</f>
        <v>29.1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8</v>
      </c>
      <c r="F39" s="115">
        <f>VLOOKUP(O39,'FS Data'!$A:$B,2,FALSE)</f>
        <v>5744</v>
      </c>
      <c r="G39" s="240">
        <f>VLOOKUP(P39,'FS Data'!$A:$B,2,FALSE)</f>
        <v>1826</v>
      </c>
      <c r="H39" s="194">
        <f>VLOOKUP(Q39,'FS Data'!$A:$B,2,FALSE)/10</f>
        <v>31.8</v>
      </c>
      <c r="I39" s="126">
        <f>VLOOKUP(R39,'FS Data'!$A:$B,2,FALSE)</f>
        <v>94</v>
      </c>
      <c r="J39" s="126">
        <f>VLOOKUP(S39,'FS Data'!$A:$B,2,FALSE)</f>
        <v>20419</v>
      </c>
      <c r="K39" s="243">
        <f>VLOOKUP(T39,'FS Data'!$A:$B,2,FALSE)</f>
        <v>6310</v>
      </c>
      <c r="L39" s="244">
        <f>VLOOKUP(U39,'FS Data'!$A:$B,2,FALSE)/10</f>
        <v>30.9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64</v>
      </c>
      <c r="F40" s="115">
        <f>VLOOKUP(O40,'FS Data'!$A:$B,2,FALSE)</f>
        <v>13483</v>
      </c>
      <c r="G40" s="115">
        <f>VLOOKUP(P40,'FS Data'!$A:$B,2,FALSE)</f>
        <v>3970</v>
      </c>
      <c r="H40" s="194">
        <f>VLOOKUP(Q40,'FS Data'!$A:$B,2,FALSE)/10</f>
        <v>29.4</v>
      </c>
      <c r="I40" s="126">
        <f>VLOOKUP(R40,'FS Data'!$A:$B,2,FALSE)</f>
        <v>409</v>
      </c>
      <c r="J40" s="126">
        <f>VLOOKUP(S40,'FS Data'!$A:$B,2,FALSE)</f>
        <v>92309</v>
      </c>
      <c r="K40" s="243">
        <f>VLOOKUP(T40,'FS Data'!$A:$B,2,FALSE)</f>
        <v>23272</v>
      </c>
      <c r="L40" s="195">
        <f>VLOOKUP(U40,'FS Data'!$A:$B,2,FALSE)/10</f>
        <v>25.2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160</v>
      </c>
      <c r="F45" s="149">
        <f>VLOOKUP(O45,'FS Data'!$A:$B,2,FALSE)</f>
        <v>40701</v>
      </c>
      <c r="G45" s="149">
        <f>VLOOKUP(P45,'FS Data'!$A:$B,2,FALSE)</f>
        <v>11636</v>
      </c>
      <c r="H45" s="199">
        <f>VLOOKUP(Q45,'FS Data'!$A:$B,2,FALSE)/10</f>
        <v>28.6</v>
      </c>
      <c r="I45" s="146">
        <f>VLOOKUP(R45,'FS Data'!$A:$B,2,FALSE)</f>
        <v>1269</v>
      </c>
      <c r="J45" s="146">
        <f>VLOOKUP(S45,'FS Data'!$A:$B,2,FALSE)</f>
        <v>269511</v>
      </c>
      <c r="K45" s="146">
        <f>VLOOKUP(T45,'FS Data'!$A:$B,2,FALSE)</f>
        <v>75186</v>
      </c>
      <c r="L45" s="200">
        <f>VLOOKUP(U45,'FS Data'!$A:$B,2,FALSE)/10</f>
        <v>27.9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65</v>
      </c>
      <c r="F46" s="20">
        <f>VLOOKUP(O46,'FS Data'!$A:$B,2,FALSE)</f>
        <v>19253</v>
      </c>
      <c r="G46" s="20">
        <f>VLOOKUP(P46,'FS Data'!$A:$B,2,FALSE)</f>
        <v>4543</v>
      </c>
      <c r="H46" s="180">
        <f>VLOOKUP(Q46,'FS Data'!$A:$B,2,FALSE)/10</f>
        <v>23.6</v>
      </c>
      <c r="I46" s="118">
        <f>VLOOKUP(R46,'FS Data'!$A:$B,2,FALSE)</f>
        <v>971</v>
      </c>
      <c r="J46" s="118">
        <f>VLOOKUP(S46,'FS Data'!$A:$B,2,FALSE)</f>
        <v>443757</v>
      </c>
      <c r="K46" s="118">
        <f>VLOOKUP(T46,'FS Data'!$A:$B,2,FALSE)</f>
        <v>91459</v>
      </c>
      <c r="L46" s="198">
        <f>VLOOKUP(U46,'FS Data'!$A:$B,2,FALSE)/10</f>
        <v>20.6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65</v>
      </c>
      <c r="F50" s="20">
        <f>VLOOKUP(O50,'FS Data'!$A:$B,2,FALSE)</f>
        <v>19253</v>
      </c>
      <c r="G50" s="20">
        <f>VLOOKUP(P50,'FS Data'!$A:$B,2,FALSE)</f>
        <v>4543</v>
      </c>
      <c r="H50" s="180">
        <f>VLOOKUP(Q50,'FS Data'!$A:$B,2,FALSE)/10</f>
        <v>23.6</v>
      </c>
      <c r="I50" s="118">
        <f>VLOOKUP(R50,'FS Data'!$A:$B,2,FALSE)</f>
        <v>971</v>
      </c>
      <c r="J50" s="118">
        <f>VLOOKUP(S50,'FS Data'!$A:$B,2,FALSE)</f>
        <v>443757</v>
      </c>
      <c r="K50" s="118">
        <f>VLOOKUP(T50,'FS Data'!$A:$B,2,FALSE)</f>
        <v>91459</v>
      </c>
      <c r="L50" s="198">
        <f>VLOOKUP(U50,'FS Data'!$A:$B,2,FALSE)/10</f>
        <v>20.6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170</v>
      </c>
      <c r="F51" s="20">
        <f>VLOOKUP(O51,'FS Data'!$A:$B,2,FALSE)</f>
        <v>131139</v>
      </c>
      <c r="G51" s="20">
        <f>VLOOKUP(P51,'FS Data'!$A:$B,2,FALSE)</f>
        <v>35107</v>
      </c>
      <c r="H51" s="180">
        <f>VLOOKUP(Q51,'FS Data'!$A:$B,2,FALSE)/10</f>
        <v>26.8</v>
      </c>
      <c r="I51" s="118">
        <f>VLOOKUP(R51,'FS Data'!$A:$B,2,FALSE)</f>
        <v>1052</v>
      </c>
      <c r="J51" s="118">
        <f>VLOOKUP(S51,'FS Data'!$A:$B,2,FALSE)</f>
        <v>686371</v>
      </c>
      <c r="K51" s="118">
        <f>VLOOKUP(T51,'FS Data'!$A:$B,2,FALSE)</f>
        <v>181063</v>
      </c>
      <c r="L51" s="198">
        <f>VLOOKUP(U51,'FS Data'!$A:$B,2,FALSE)/10</f>
        <v>26.4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-9633</v>
      </c>
      <c r="H52" s="258"/>
      <c r="I52" s="259"/>
      <c r="J52" s="260"/>
      <c r="K52" s="120">
        <f>VLOOKUP(T52,'FS Data'!$A:$B,2,FALSE)</f>
        <v>-50838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-9633</v>
      </c>
      <c r="H56" s="258"/>
      <c r="I56" s="259"/>
      <c r="J56" s="260"/>
      <c r="K56" s="120">
        <f>VLOOKUP(T56,'FS Data'!$A:$B,2,FALSE)</f>
        <v>50838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790</v>
      </c>
      <c r="F57" s="149">
        <f>VLOOKUP(O57,'FS Data'!$A:$B,2,FALSE)</f>
        <v>350668</v>
      </c>
      <c r="G57" s="20">
        <f>VLOOKUP(P57,'FS Data'!$A:$B,2,FALSE)</f>
        <v>115523</v>
      </c>
      <c r="H57" s="199">
        <f>VLOOKUP(Q57,'FS Data'!$A:$B,2,FALSE)/10</f>
        <v>32.9</v>
      </c>
      <c r="I57" s="146">
        <f>VLOOKUP(R57,'FS Data'!$A:$B,2,FALSE)</f>
        <v>6458</v>
      </c>
      <c r="J57" s="146">
        <f>VLOOKUP(S57,'FS Data'!$A:$B,2,FALSE)</f>
        <v>2716554</v>
      </c>
      <c r="K57" s="118">
        <f>VLOOKUP(T57,'FS Data'!$A:$B,2,FALSE)</f>
        <v>846306</v>
      </c>
      <c r="L57" s="200">
        <f>VLOOKUP(U57,'FS Data'!$A:$B,2,FALSE)/10</f>
        <v>31.2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540</v>
      </c>
      <c r="F59" s="175">
        <f>VLOOKUP(O59,'FS Data'!$A:$B,2,FALSE)</f>
        <v>240888</v>
      </c>
      <c r="G59" s="175">
        <f>VLOOKUP(P59,'FS Data'!$A:$B,2,FALSE)</f>
        <v>78511</v>
      </c>
      <c r="H59" s="180">
        <f>VLOOKUP(Q59,'FS Data'!$A:$B,2,FALSE)/10</f>
        <v>32.6</v>
      </c>
      <c r="I59" s="176">
        <f>VLOOKUP(R59,'FS Data'!$A:$B,2,FALSE)</f>
        <v>4584</v>
      </c>
      <c r="J59" s="176">
        <f>VLOOKUP(S59,'FS Data'!$A:$B,2,FALSE)</f>
        <v>1853579</v>
      </c>
      <c r="K59" s="176">
        <f>VLOOKUP(T59,'FS Data'!$A:$B,2,FALSE)</f>
        <v>551630</v>
      </c>
      <c r="L59" s="198">
        <f>VLOOKUP(U59,'FS Data'!$A:$B,2,FALSE)/10</f>
        <v>29.8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216</v>
      </c>
      <c r="F60" s="115">
        <f>VLOOKUP(O60,'FS Data'!$A:$B,2,FALSE)</f>
        <v>97005</v>
      </c>
      <c r="G60" s="115">
        <f>VLOOKUP(P60,'FS Data'!$A:$B,2,FALSE)</f>
        <v>32363</v>
      </c>
      <c r="H60" s="194">
        <f>VLOOKUP(Q60,'FS Data'!$A:$B,2,FALSE)/10</f>
        <v>33.4</v>
      </c>
      <c r="I60" s="126">
        <f>VLOOKUP(R60,'FS Data'!$A:$B,2,FALSE)</f>
        <v>1725</v>
      </c>
      <c r="J60" s="126">
        <f>VLOOKUP(S60,'FS Data'!$A:$B,2,FALSE)</f>
        <v>727504</v>
      </c>
      <c r="K60" s="126">
        <f>VLOOKUP(T60,'FS Data'!$A:$B,2,FALSE)</f>
        <v>252101</v>
      </c>
      <c r="L60" s="195">
        <f>VLOOKUP(U60,'FS Data'!$A:$B,2,FALSE)/10</f>
        <v>34.700000000000003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34</v>
      </c>
      <c r="F61" s="115">
        <f>VLOOKUP(O61,'FS Data'!$A:$B,2,FALSE)</f>
        <v>12775</v>
      </c>
      <c r="G61" s="115">
        <f>VLOOKUP(P61,'FS Data'!$A:$B,2,FALSE)</f>
        <v>4649</v>
      </c>
      <c r="H61" s="194">
        <f>VLOOKUP(Q61,'FS Data'!$A:$B,2,FALSE)/10</f>
        <v>36.4</v>
      </c>
      <c r="I61" s="126">
        <f>VLOOKUP(R61,'FS Data'!$A:$B,2,FALSE)</f>
        <v>149</v>
      </c>
      <c r="J61" s="126">
        <f>VLOOKUP(S61,'FS Data'!$A:$B,2,FALSE)</f>
        <v>135471</v>
      </c>
      <c r="K61" s="126">
        <f>VLOOKUP(T61,'FS Data'!$A:$B,2,FALSE)</f>
        <v>42575</v>
      </c>
      <c r="L61" s="195">
        <f>VLOOKUP(U61,'FS Data'!$A:$B,2,FALSE)/10</f>
        <v>31.4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12</v>
      </c>
      <c r="F65" s="115">
        <f>VLOOKUP(O65,'FS Data'!$A:$B,2,FALSE)</f>
        <v>6515</v>
      </c>
      <c r="G65" s="115">
        <f>VLOOKUP(P65,'FS Data'!$A:$B,2,FALSE)</f>
        <v>689</v>
      </c>
      <c r="H65" s="194">
        <f>VLOOKUP(Q65,'FS Data'!$A:$B,2,FALSE)/10</f>
        <v>10.6</v>
      </c>
      <c r="I65" s="126">
        <f>VLOOKUP(R65,'FS Data'!$A:$B,2,FALSE)</f>
        <v>75</v>
      </c>
      <c r="J65" s="126">
        <f>VLOOKUP(S65,'FS Data'!$A:$B,2,FALSE)</f>
        <v>24757</v>
      </c>
      <c r="K65" s="126">
        <f>VLOOKUP(T65,'FS Data'!$A:$B,2,FALSE)</f>
        <v>3473</v>
      </c>
      <c r="L65" s="195">
        <f>VLOOKUP(U65,'FS Data'!$A:$B,2,FALSE)/10</f>
        <v>14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73" t="s">
        <v>843</v>
      </c>
      <c r="D70" s="874"/>
      <c r="E70" s="149">
        <f>VLOOKUP(N70,'FS Data'!$A:$B,2,FALSE)</f>
        <v>12</v>
      </c>
      <c r="F70" s="149">
        <f>VLOOKUP(O70,'FS Data'!$A:$B,2,FALSE)</f>
        <v>6515</v>
      </c>
      <c r="G70" s="149">
        <f>VLOOKUP(P70,'FS Data'!$A:$B,2,FALSE)</f>
        <v>689</v>
      </c>
      <c r="H70" s="199">
        <f>VLOOKUP(Q70,'FS Data'!$A:$B,2,FALSE)/10</f>
        <v>10.6</v>
      </c>
      <c r="I70" s="146">
        <f>VLOOKUP(R70,'FS Data'!$A:$B,2,FALSE)</f>
        <v>75</v>
      </c>
      <c r="J70" s="146">
        <f>VLOOKUP(S70,'FS Data'!$A:$B,2,FALSE)</f>
        <v>24757</v>
      </c>
      <c r="K70" s="146">
        <f>VLOOKUP(T70,'FS Data'!$A:$B,2,FALSE)</f>
        <v>3473</v>
      </c>
      <c r="L70" s="195">
        <f>VLOOKUP(U70,'FS Data'!$A:$B,2,FALSE)/10</f>
        <v>14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71" t="s">
        <v>842</v>
      </c>
      <c r="D71" s="872"/>
      <c r="E71" s="202">
        <f>VLOOKUP(N71,'FS Data'!$A:$B,2,FALSE)</f>
        <v>1601</v>
      </c>
      <c r="F71" s="202">
        <f>VLOOKUP(O71,'FS Data'!$A:$B,2,FALSE)</f>
        <v>543571</v>
      </c>
      <c r="G71" s="202">
        <f>VLOOKUP(P71,'FS Data'!$A:$B,2,FALSE)</f>
        <v>244681</v>
      </c>
      <c r="H71" s="199">
        <f>VLOOKUP(Q71,'FS Data'!$A:$B,2,FALSE)/10</f>
        <v>45</v>
      </c>
      <c r="I71" s="201">
        <f>VLOOKUP(R71,'FS Data'!$A:$B,2,FALSE)</f>
        <v>12344</v>
      </c>
      <c r="J71" s="201">
        <f>VLOOKUP(S71,'FS Data'!$A:$B,2,FALSE)</f>
        <v>4125048</v>
      </c>
      <c r="K71" s="201">
        <f>VLOOKUP(T71,'FS Data'!$A:$B,2,FALSE)</f>
        <v>1743951</v>
      </c>
      <c r="L71" s="195">
        <f>VLOOKUP(U71,'FS Data'!$A:$B,2,FALSE)/10</f>
        <v>42.3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opLeftCell="E16" zoomScale="80" zoomScaleNormal="80" workbookViewId="0">
      <selection activeCell="Z36" sqref="Z36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875" t="s">
        <v>909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</row>
    <row r="3" spans="2:35" ht="18.75" customHeight="1" x14ac:dyDescent="0.25">
      <c r="B3" s="13">
        <v>1</v>
      </c>
      <c r="C3" s="877" t="s">
        <v>910</v>
      </c>
      <c r="D3" s="878"/>
      <c r="E3" s="879"/>
      <c r="F3" s="811" t="s">
        <v>911</v>
      </c>
      <c r="G3" s="880"/>
      <c r="H3" s="881" t="s">
        <v>912</v>
      </c>
      <c r="I3" s="880"/>
      <c r="J3" s="881" t="s">
        <v>913</v>
      </c>
      <c r="K3" s="882"/>
      <c r="L3" s="882"/>
      <c r="M3" s="881" t="s">
        <v>82</v>
      </c>
      <c r="N3" s="903"/>
      <c r="O3" s="881" t="s">
        <v>83</v>
      </c>
      <c r="P3" s="880"/>
      <c r="Q3" s="881" t="s">
        <v>84</v>
      </c>
      <c r="R3" s="880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13">
        <f>VLOOKUP(W4,'FS Data'!$A:$B,2,FALSE)</f>
        <v>147350</v>
      </c>
      <c r="J4" s="772"/>
      <c r="K4" s="769">
        <f>VLOOKUP(Z4,'FS Data'!$A:$B,2,FALSE)</f>
        <v>128113</v>
      </c>
      <c r="L4" s="772"/>
      <c r="M4" s="769">
        <f>VLOOKUP(AB4,'FS Data'!$A:$B,2,FALSE)</f>
        <v>16547</v>
      </c>
      <c r="N4" s="913"/>
      <c r="O4" s="769">
        <f>VLOOKUP(AD4,'FS Data'!$A:$B,2,FALSE)</f>
        <v>2690</v>
      </c>
      <c r="P4" s="772"/>
      <c r="Q4" s="769">
        <f>VLOOKUP(AF4,'FS Data'!$A:$B,2,FALSE)</f>
        <v>0</v>
      </c>
      <c r="R4" s="772"/>
      <c r="S4" s="769">
        <f>VLOOKUP(AH4,'FS Data'!$A:$B,2,FALSE)</f>
        <v>0</v>
      </c>
      <c r="T4" s="772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13">
        <f>VLOOKUP(W5,'FS Data'!$A:$B,2,FALSE)</f>
        <v>332363</v>
      </c>
      <c r="J5" s="772"/>
      <c r="K5" s="769">
        <f>VLOOKUP(Z5,'FS Data'!$A:$B,2,FALSE)</f>
        <v>300131</v>
      </c>
      <c r="L5" s="772"/>
      <c r="M5" s="769">
        <f>VLOOKUP(AB5,'FS Data'!$A:$B,2,FALSE)</f>
        <v>9168</v>
      </c>
      <c r="N5" s="913"/>
      <c r="O5" s="769">
        <f>VLOOKUP(AD5,'FS Data'!$A:$B,2,FALSE)</f>
        <v>10774</v>
      </c>
      <c r="P5" s="772"/>
      <c r="Q5" s="769">
        <f>VLOOKUP(AF5,'FS Data'!$A:$B,2,FALSE)</f>
        <v>530</v>
      </c>
      <c r="R5" s="772"/>
      <c r="S5" s="769">
        <f>VLOOKUP(AH5,'FS Data'!$A:$B,2,FALSE)</f>
        <v>11760</v>
      </c>
      <c r="T5" s="772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13">
        <f>VLOOKUP(W6,'FS Data'!$A:$B,2,FALSE)</f>
        <v>36945</v>
      </c>
      <c r="J6" s="772"/>
      <c r="K6" s="769">
        <f>VLOOKUP(Z6,'FS Data'!$A:$B,2,FALSE)</f>
        <v>25891</v>
      </c>
      <c r="L6" s="772"/>
      <c r="M6" s="769">
        <f>VLOOKUP(AB6,'FS Data'!$A:$B,2,FALSE)</f>
        <v>11054</v>
      </c>
      <c r="N6" s="913"/>
      <c r="O6" s="769">
        <f>VLOOKUP(AD6,'FS Data'!$A:$B,2,FALSE)</f>
        <v>0</v>
      </c>
      <c r="P6" s="772"/>
      <c r="Q6" s="769">
        <f>VLOOKUP(AF6,'FS Data'!$A:$B,2,FALSE)</f>
        <v>0</v>
      </c>
      <c r="R6" s="772"/>
      <c r="S6" s="769">
        <f>VLOOKUP(AH6,'FS Data'!$A:$B,2,FALSE)</f>
        <v>0</v>
      </c>
      <c r="T6" s="772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34" t="s">
        <v>85</v>
      </c>
      <c r="E7" s="935"/>
      <c r="F7" s="935"/>
      <c r="G7" s="935"/>
      <c r="H7" s="936"/>
      <c r="I7" s="926" t="s">
        <v>49</v>
      </c>
      <c r="J7" s="927"/>
      <c r="K7" s="932" t="s">
        <v>86</v>
      </c>
      <c r="L7" s="933"/>
      <c r="M7" s="911" t="s">
        <v>87</v>
      </c>
      <c r="N7" s="912"/>
      <c r="O7" s="911" t="s">
        <v>88</v>
      </c>
      <c r="P7" s="912"/>
      <c r="Q7" s="911" t="s">
        <v>89</v>
      </c>
      <c r="R7" s="912"/>
      <c r="S7" s="915" t="s">
        <v>90</v>
      </c>
      <c r="T7" s="916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20" t="s">
        <v>91</v>
      </c>
      <c r="D8" s="921"/>
      <c r="E8" s="921"/>
      <c r="F8" s="921"/>
      <c r="G8" s="921"/>
      <c r="H8" s="922"/>
      <c r="I8" s="135">
        <f>VLOOKUP(W8,'FS Data'!$A:$B,2,FALSE)</f>
        <v>364774</v>
      </c>
      <c r="J8" s="115">
        <f>VLOOKUP(X8,'FS Data'!$A:$B,2,FALSE)</f>
        <v>8</v>
      </c>
      <c r="K8" s="115">
        <f>VLOOKUP(Z8,'FS Data'!$A:$B,2,FALSE)</f>
        <v>129916</v>
      </c>
      <c r="L8" s="115">
        <f>VLOOKUP(AA8,'FS Data'!$A:$B,2,FALSE)</f>
        <v>3</v>
      </c>
      <c r="M8" s="115">
        <f>VLOOKUP(AB8,'FS Data'!$A:$B,2,FALSE)</f>
        <v>101798</v>
      </c>
      <c r="N8" s="127">
        <f>VLOOKUP(AC8,'FS Data'!$A:$B,2,FALSE)</f>
        <v>2</v>
      </c>
      <c r="O8" s="123">
        <f>VLOOKUP(AD8,'FS Data'!$A:$B,2,FALSE)</f>
        <v>47600</v>
      </c>
      <c r="P8" s="123">
        <f>VLOOKUP(AE8,'FS Data'!$A:$B,2,FALSE)</f>
        <v>1</v>
      </c>
      <c r="Q8" s="123">
        <f>VLOOKUP(AF8,'FS Data'!$A:$B,2,FALSE)</f>
        <v>0</v>
      </c>
      <c r="R8" s="123">
        <f>VLOOKUP(AG8,'FS Data'!$A:$B,2,FALSE)</f>
        <v>0</v>
      </c>
      <c r="S8" s="123">
        <f>VLOOKUP(AH8,'FS Data'!$A:$B,2,FALSE)</f>
        <v>85460</v>
      </c>
      <c r="T8" s="123">
        <f>VLOOKUP(AI8,'FS Data'!$A:$B,2,FALSE)</f>
        <v>2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20" t="s">
        <v>92</v>
      </c>
      <c r="D9" s="921"/>
      <c r="E9" s="921"/>
      <c r="F9" s="921"/>
      <c r="G9" s="921"/>
      <c r="H9" s="922"/>
      <c r="I9" s="135">
        <f>VLOOKUP(W9,'FS Data'!$A:$B,2,FALSE)</f>
        <v>414077</v>
      </c>
      <c r="J9" s="115">
        <f>VLOOKUP(X9,'FS Data'!$A:$B,2,FALSE)</f>
        <v>12</v>
      </c>
      <c r="K9" s="115">
        <f>VLOOKUP(Z9,'FS Data'!$A:$B,2,FALSE)</f>
        <v>213782</v>
      </c>
      <c r="L9" s="115">
        <f>VLOOKUP(AA9,'FS Data'!$A:$B,2,FALSE)</f>
        <v>7</v>
      </c>
      <c r="M9" s="115">
        <f>VLOOKUP(AB9,'FS Data'!$A:$B,2,FALSE)</f>
        <v>141543</v>
      </c>
      <c r="N9" s="127">
        <f>VLOOKUP(AC9,'FS Data'!$A:$B,2,FALSE)</f>
        <v>3</v>
      </c>
      <c r="O9" s="123">
        <f>VLOOKUP(AD9,'FS Data'!$A:$B,2,FALSE)</f>
        <v>40477</v>
      </c>
      <c r="P9" s="123">
        <f>VLOOKUP(AE9,'FS Data'!$A:$B,2,FALSE)</f>
        <v>1</v>
      </c>
      <c r="Q9" s="123">
        <f>VLOOKUP(AF9,'FS Data'!$A:$B,2,FALSE)</f>
        <v>0</v>
      </c>
      <c r="R9" s="123">
        <f>VLOOKUP(AG9,'FS Data'!$A:$B,2,FALSE)</f>
        <v>0</v>
      </c>
      <c r="S9" s="123">
        <f>VLOOKUP(AH9,'FS Data'!$A:$B,2,FALSE)</f>
        <v>18275</v>
      </c>
      <c r="T9" s="123">
        <f>VLOOKUP(AI9,'FS Data'!$A:$B,2,FALSE)</f>
        <v>1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20" t="s">
        <v>204</v>
      </c>
      <c r="D10" s="921"/>
      <c r="E10" s="921"/>
      <c r="F10" s="921"/>
      <c r="G10" s="921"/>
      <c r="H10" s="922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20" t="s">
        <v>63</v>
      </c>
      <c r="D11" s="921"/>
      <c r="E11" s="921"/>
      <c r="F11" s="921"/>
      <c r="G11" s="921"/>
      <c r="H11" s="922"/>
      <c r="I11" s="135">
        <f>VLOOKUP(W11,'FS Data'!$A:$B,2,FALSE)</f>
        <v>451523</v>
      </c>
      <c r="J11" s="115">
        <f>VLOOKUP(X11,'FS Data'!$A:$B,2,FALSE)</f>
        <v>15</v>
      </c>
      <c r="K11" s="115">
        <f>VLOOKUP(Z11,'FS Data'!$A:$B,2,FALSE)</f>
        <v>265338</v>
      </c>
      <c r="L11" s="115">
        <f>VLOOKUP(AA11,'FS Data'!$A:$B,2,FALSE)</f>
        <v>9</v>
      </c>
      <c r="M11" s="115">
        <f>VLOOKUP(AB11,'FS Data'!$A:$B,2,FALSE)</f>
        <v>126300</v>
      </c>
      <c r="N11" s="127">
        <f>VLOOKUP(AC11,'FS Data'!$A:$B,2,FALSE)</f>
        <v>3</v>
      </c>
      <c r="O11" s="123">
        <f>VLOOKUP(AD11,'FS Data'!$A:$B,2,FALSE)</f>
        <v>58859</v>
      </c>
      <c r="P11" s="123">
        <f>VLOOKUP(AE11,'FS Data'!$A:$B,2,FALSE)</f>
        <v>2</v>
      </c>
      <c r="Q11" s="123">
        <f>VLOOKUP(AF11,'FS Data'!$A:$B,2,FALSE)</f>
        <v>0</v>
      </c>
      <c r="R11" s="123">
        <f>VLOOKUP(AG11,'FS Data'!$A:$B,2,FALSE)</f>
        <v>0</v>
      </c>
      <c r="S11" s="123">
        <f>VLOOKUP(AH11,'FS Data'!$A:$B,2,FALSE)</f>
        <v>1026</v>
      </c>
      <c r="T11" s="123">
        <f>VLOOKUP(AI11,'FS Data'!$A:$B,2,FALSE)</f>
        <v>1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08" t="s">
        <v>93</v>
      </c>
      <c r="E12" s="909"/>
      <c r="F12" s="909"/>
      <c r="G12" s="907" t="s">
        <v>94</v>
      </c>
      <c r="H12" s="907"/>
      <c r="I12" s="907"/>
      <c r="J12" s="907" t="s">
        <v>95</v>
      </c>
      <c r="K12" s="907"/>
      <c r="L12" s="422" t="s">
        <v>96</v>
      </c>
      <c r="M12" s="928" t="s">
        <v>97</v>
      </c>
      <c r="N12" s="929"/>
      <c r="O12" s="926" t="s">
        <v>98</v>
      </c>
      <c r="P12" s="927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04">
        <f>VLOOKUP(W13,'FS Data'!$A:$B,2,FALSE)</f>
        <v>3499315</v>
      </c>
      <c r="H13" s="905"/>
      <c r="I13" s="906"/>
      <c r="J13" s="904">
        <f>VLOOKUP(Z13,'FS Data'!$A:$B,2,FALSE)</f>
        <v>271466</v>
      </c>
      <c r="K13" s="905"/>
      <c r="L13" s="180">
        <f>VLOOKUP(AA13,'FS Data'!$A:$B,2,FALSE)/10</f>
        <v>7.8</v>
      </c>
      <c r="M13" s="904">
        <f>VLOOKUP(AB13,'FS Data'!$A:$B,2,FALSE)</f>
        <v>33528236</v>
      </c>
      <c r="N13" s="946"/>
      <c r="O13" s="769">
        <f>VLOOKUP(AD13,'FS Data'!$A:$B,2,FALSE)</f>
        <v>2504788</v>
      </c>
      <c r="P13" s="914"/>
      <c r="Q13" s="219">
        <f>VLOOKUP(AF13,'FS Data'!$A:$B,2,FALSE)/10</f>
        <v>7.5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04">
        <f>VLOOKUP(W14,'FS Data'!$A:$B,2,FALSE)</f>
        <v>543571</v>
      </c>
      <c r="H14" s="905"/>
      <c r="I14" s="906"/>
      <c r="J14" s="904">
        <f>VLOOKUP(Z14,'FS Data'!$A:$B,2,FALSE)</f>
        <v>244681</v>
      </c>
      <c r="K14" s="905"/>
      <c r="L14" s="180">
        <f>VLOOKUP(AA14,'FS Data'!$A:$B,2,FALSE)/10</f>
        <v>45</v>
      </c>
      <c r="M14" s="769">
        <f>VLOOKUP(AB14,'FS Data'!$A:$B,2,FALSE)</f>
        <v>4125048</v>
      </c>
      <c r="N14" s="910"/>
      <c r="O14" s="769">
        <f>VLOOKUP(AD14,'FS Data'!$A:$B,2,FALSE)</f>
        <v>1743951</v>
      </c>
      <c r="P14" s="914"/>
      <c r="Q14" s="180">
        <f>VLOOKUP(AF14,'FS Data'!$A:$B,2,FALSE)/10</f>
        <v>42.3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04">
        <f>VLOOKUP(W15,'FS Data'!$A:$B,2,FALSE)</f>
        <v>4042886</v>
      </c>
      <c r="H15" s="905"/>
      <c r="I15" s="906"/>
      <c r="J15" s="904">
        <f>VLOOKUP(Z15,'FS Data'!$A:$B,2,FALSE)</f>
        <v>516147</v>
      </c>
      <c r="K15" s="905"/>
      <c r="L15" s="180">
        <f>VLOOKUP(AA15,'FS Data'!$A:$B,2,FALSE)/10</f>
        <v>12.8</v>
      </c>
      <c r="M15" s="769">
        <f>VLOOKUP(AB15,'FS Data'!$A:$B,2,FALSE)</f>
        <v>37653284</v>
      </c>
      <c r="N15" s="910"/>
      <c r="O15" s="769">
        <f>VLOOKUP(AD15,'FS Data'!$A:$B,2,FALSE)</f>
        <v>4248739</v>
      </c>
      <c r="P15" s="914"/>
      <c r="Q15" s="180">
        <f>VLOOKUP(AF15,'FS Data'!$A:$B,2,FALSE)/10</f>
        <v>11.3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04">
        <f>VLOOKUP(Z16,'FS Data'!$A:$B,2,FALSE)</f>
        <v>125162</v>
      </c>
      <c r="K16" s="905"/>
      <c r="L16" s="180">
        <f>VLOOKUP(AA16,'FS Data'!$A:$B,2,FALSE)/10</f>
        <v>24.2</v>
      </c>
      <c r="M16" s="431"/>
      <c r="N16" s="431"/>
      <c r="O16" s="769">
        <f>VLOOKUP(AD16,'FS Data'!$A:$B,2,FALSE)</f>
        <v>1253873</v>
      </c>
      <c r="P16" s="914"/>
      <c r="Q16" s="180">
        <f>VLOOKUP(AF16,'FS Data'!$A:$B,2,FALSE)/10</f>
        <v>29.5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04">
        <f>VLOOKUP(Z17,'FS Data'!$A:$B,2,FALSE)</f>
        <v>178833</v>
      </c>
      <c r="K17" s="905"/>
      <c r="L17" s="180">
        <f>VLOOKUP(AA17,'FS Data'!$A:$B,2,FALSE)/10</f>
        <v>34.6</v>
      </c>
      <c r="M17" s="429"/>
      <c r="N17" s="429"/>
      <c r="O17" s="769">
        <f>VLOOKUP(AD17,'FS Data'!$A:$B,2,FALSE)</f>
        <v>1565567</v>
      </c>
      <c r="P17" s="914"/>
      <c r="Q17" s="180">
        <f>VLOOKUP(AF17,'FS Data'!$A:$B,2,FALSE)/10</f>
        <v>36.799999999999997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04">
        <f>VLOOKUP(Z18,'FS Data'!$A:$B,2,FALSE)</f>
        <v>85710</v>
      </c>
      <c r="K18" s="905"/>
      <c r="L18" s="180">
        <f>VLOOKUP(AA18,'FS Data'!$A:$B,2,FALSE)/10</f>
        <v>16.600000000000001</v>
      </c>
      <c r="M18" s="429"/>
      <c r="N18" s="429"/>
      <c r="O18" s="769">
        <f>VLOOKUP(AD18,'FS Data'!$A:$B,2,FALSE)</f>
        <v>719644</v>
      </c>
      <c r="P18" s="914"/>
      <c r="Q18" s="180">
        <f>VLOOKUP(AF18,'FS Data'!$A:$B,2,FALSE)/10</f>
        <v>16.899999999999999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04">
        <f>VLOOKUP(Z19,'FS Data'!$A:$B,2,FALSE)</f>
        <v>87811</v>
      </c>
      <c r="K19" s="905"/>
      <c r="L19" s="180">
        <f>VLOOKUP(AA19,'FS Data'!$A:$B,2,FALSE)/10</f>
        <v>17</v>
      </c>
      <c r="M19" s="429"/>
      <c r="N19" s="429"/>
      <c r="O19" s="769">
        <f>VLOOKUP(AD19,'FS Data'!$A:$B,2,FALSE)</f>
        <v>890711</v>
      </c>
      <c r="P19" s="914"/>
      <c r="Q19" s="180">
        <f>VLOOKUP(AF19,'FS Data'!$A:$B,2,FALSE)/10</f>
        <v>21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04">
        <f>VLOOKUP(Z20,'FS Data'!$A:$B,2,FALSE)</f>
        <v>38631</v>
      </c>
      <c r="K20" s="905"/>
      <c r="L20" s="429"/>
      <c r="M20" s="429"/>
      <c r="N20" s="429"/>
      <c r="O20" s="769">
        <f>VLOOKUP(AD20,'FS Data'!$A:$B,2,FALSE)</f>
        <v>-181056</v>
      </c>
      <c r="P20" s="914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40" t="s">
        <v>129</v>
      </c>
      <c r="D21" s="941"/>
      <c r="E21" s="941"/>
      <c r="F21" s="942"/>
      <c r="G21" s="885" t="s">
        <v>130</v>
      </c>
      <c r="H21" s="886"/>
      <c r="I21" s="886"/>
      <c r="J21" s="887"/>
      <c r="K21" s="885" t="s">
        <v>131</v>
      </c>
      <c r="L21" s="886"/>
      <c r="M21" s="887"/>
      <c r="N21" s="885" t="s">
        <v>47</v>
      </c>
      <c r="O21" s="886"/>
      <c r="P21" s="887"/>
      <c r="Q21" s="885" t="s">
        <v>361</v>
      </c>
      <c r="R21" s="886"/>
      <c r="S21" s="886"/>
      <c r="T21" s="888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17" t="s">
        <v>132</v>
      </c>
      <c r="D22" s="918"/>
      <c r="E22" s="918"/>
      <c r="F22" s="919"/>
      <c r="G22" s="889">
        <f>VLOOKUP(U22,'FS Data'!$A:$B,2,FALSE)/100</f>
        <v>179.95</v>
      </c>
      <c r="H22" s="890"/>
      <c r="I22" s="890"/>
      <c r="J22" s="891"/>
      <c r="K22" s="889">
        <f>VLOOKUP(V22,'FS Data'!$A:$B,2,FALSE)/100</f>
        <v>0</v>
      </c>
      <c r="L22" s="890"/>
      <c r="M22" s="891"/>
      <c r="N22" s="892">
        <f>VLOOKUP(X22,'FS Data'!$A:$B,2,FALSE)/100</f>
        <v>0</v>
      </c>
      <c r="O22" s="892"/>
      <c r="P22" s="892"/>
      <c r="Q22" s="889">
        <f>VLOOKUP(Y22,'FS Data'!$A:$B,2,FALSE)/100</f>
        <v>0</v>
      </c>
      <c r="R22" s="890"/>
      <c r="S22" s="891"/>
      <c r="T22" s="891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47" t="s">
        <v>254</v>
      </c>
      <c r="D23" s="948"/>
      <c r="E23" s="948"/>
      <c r="F23" s="949"/>
      <c r="G23" s="889">
        <f>VLOOKUP(U23,'FS Data'!$A:$B,2,FALSE)/100</f>
        <v>135.24</v>
      </c>
      <c r="H23" s="890"/>
      <c r="I23" s="890"/>
      <c r="J23" s="891"/>
      <c r="K23" s="889">
        <f>VLOOKUP(V23,'FS Data'!$A:$B,2,FALSE)/100</f>
        <v>0</v>
      </c>
      <c r="L23" s="890"/>
      <c r="M23" s="891"/>
      <c r="N23" s="892">
        <f>VLOOKUP(X23,'FS Data'!$A:$B,2,FALSE)/100</f>
        <v>0</v>
      </c>
      <c r="O23" s="892"/>
      <c r="P23" s="892"/>
      <c r="Q23" s="889">
        <f>VLOOKUP(Y23,'FS Data'!$A:$B,2,FALSE)/100</f>
        <v>0</v>
      </c>
      <c r="R23" s="890"/>
      <c r="S23" s="891"/>
      <c r="T23" s="891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50" t="s">
        <v>133</v>
      </c>
      <c r="D24" s="951"/>
      <c r="E24" s="951"/>
      <c r="F24" s="952"/>
      <c r="G24" s="889">
        <f>VLOOKUP(U24,'FS Data'!$A:$B,2,FALSE)/100</f>
        <v>179.95</v>
      </c>
      <c r="H24" s="890"/>
      <c r="I24" s="890"/>
      <c r="J24" s="891"/>
      <c r="K24" s="889">
        <f>VLOOKUP(V24,'FS Data'!$A:$B,2,FALSE)/100</f>
        <v>0</v>
      </c>
      <c r="L24" s="890"/>
      <c r="M24" s="891"/>
      <c r="N24" s="892">
        <f>VLOOKUP(X24,'FS Data'!$A:$B,2,FALSE)/100</f>
        <v>0</v>
      </c>
      <c r="O24" s="892"/>
      <c r="P24" s="892"/>
      <c r="Q24" s="889">
        <f>VLOOKUP(Y24,'FS Data'!$A:$B,2,FALSE)/100</f>
        <v>0</v>
      </c>
      <c r="R24" s="890"/>
      <c r="S24" s="891"/>
      <c r="T24" s="891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23" t="s">
        <v>134</v>
      </c>
      <c r="D25" s="924"/>
      <c r="E25" s="924"/>
      <c r="F25" s="925"/>
      <c r="G25" s="889">
        <f>VLOOKUP(U25,'FS Data'!$A:$B,2,FALSE)/100</f>
        <v>70</v>
      </c>
      <c r="H25" s="890"/>
      <c r="I25" s="890"/>
      <c r="J25" s="891"/>
      <c r="K25" s="889">
        <f>VLOOKUP(V25,'FS Data'!$A:$B,2,FALSE)/100</f>
        <v>0</v>
      </c>
      <c r="L25" s="890"/>
      <c r="M25" s="891"/>
      <c r="N25" s="438"/>
      <c r="O25" s="439"/>
      <c r="P25" s="898"/>
      <c r="Q25" s="899"/>
      <c r="R25" s="930"/>
      <c r="S25" s="931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53" t="s">
        <v>135</v>
      </c>
      <c r="D26" s="954"/>
      <c r="E26" s="955"/>
      <c r="F26" s="128">
        <f>VLOOKUP(U26,'FS Data'!$A:$B,2,FALSE)</f>
        <v>8</v>
      </c>
      <c r="G26" s="430"/>
      <c r="H26" s="430"/>
      <c r="I26" s="434"/>
      <c r="J26" s="894" t="s">
        <v>136</v>
      </c>
      <c r="K26" s="895"/>
      <c r="L26" s="769">
        <f>VLOOKUP(W26,'FS Data'!$A:$B,2,FALSE)</f>
        <v>4</v>
      </c>
      <c r="M26" s="896"/>
      <c r="N26" s="430"/>
      <c r="O26" s="430"/>
      <c r="P26" s="954" t="s">
        <v>137</v>
      </c>
      <c r="Q26" s="956"/>
      <c r="R26" s="957"/>
      <c r="S26" s="958">
        <f>VLOOKUP(Z26,'FS Data'!$A:$B,2,FALSE)</f>
        <v>22</v>
      </c>
      <c r="T26" s="959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43" t="s">
        <v>360</v>
      </c>
      <c r="D27" s="432"/>
      <c r="E27" s="433"/>
      <c r="F27" s="895" t="s">
        <v>138</v>
      </c>
      <c r="G27" s="895"/>
      <c r="H27" s="895" t="s">
        <v>139</v>
      </c>
      <c r="I27" s="895"/>
      <c r="J27" s="897" t="s">
        <v>140</v>
      </c>
      <c r="K27" s="897"/>
      <c r="L27" s="359" t="s">
        <v>48</v>
      </c>
      <c r="M27" s="895" t="s">
        <v>141</v>
      </c>
      <c r="N27" s="895"/>
      <c r="O27" s="359" t="s">
        <v>142</v>
      </c>
      <c r="P27" s="895" t="s">
        <v>26</v>
      </c>
      <c r="Q27" s="895"/>
      <c r="R27" s="895" t="s">
        <v>64</v>
      </c>
      <c r="S27" s="895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44"/>
      <c r="D28" s="355" t="s">
        <v>310</v>
      </c>
      <c r="E28" s="223"/>
      <c r="F28" s="960"/>
      <c r="G28" s="960"/>
      <c r="H28" s="424"/>
      <c r="I28" s="435"/>
      <c r="J28" s="436"/>
      <c r="K28" s="436"/>
      <c r="L28" s="436"/>
      <c r="M28" s="961"/>
      <c r="N28" s="909"/>
      <c r="O28" s="437"/>
      <c r="P28" s="893">
        <f>VLOOKUP(AD28,'FS Data'!$A:$B,2,FALSE)/100</f>
        <v>1</v>
      </c>
      <c r="Q28" s="893"/>
      <c r="R28" s="893">
        <f>VLOOKUP(AF28,'FS Data'!$A:$B,2,FALSE)/100</f>
        <v>1</v>
      </c>
      <c r="S28" s="89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44"/>
      <c r="D29" s="355" t="s">
        <v>311</v>
      </c>
      <c r="E29" s="223"/>
      <c r="F29" s="900">
        <f>VLOOKUP(W29,'FS Data'!$A:$B,2,FALSE)/100</f>
        <v>0.5</v>
      </c>
      <c r="G29" s="901"/>
      <c r="H29" s="893">
        <f>VLOOKUP(X29,'FS Data'!$A:$B,2,FALSE)/100</f>
        <v>0</v>
      </c>
      <c r="I29" s="893"/>
      <c r="J29" s="893">
        <f>VLOOKUP(Y29,'FS Data'!$A:$B,2,FALSE)/100</f>
        <v>0.5</v>
      </c>
      <c r="K29" s="893"/>
      <c r="L29" s="182">
        <f>VLOOKUP(Z29,'FS Data'!$A:$B,2,FALSE)/100</f>
        <v>0.5</v>
      </c>
      <c r="M29" s="893">
        <f>VLOOKUP(AA29,'FS Data'!$A:$B,2,FALSE)/100</f>
        <v>0.5</v>
      </c>
      <c r="N29" s="893"/>
      <c r="O29" s="358">
        <f>VLOOKUP(AB29,'FS Data'!$A:$B,2,FALSE)/100</f>
        <v>0</v>
      </c>
      <c r="P29" s="893">
        <f>VLOOKUP(AD29,'FS Data'!$A:$B,2,FALSE)/100</f>
        <v>0.5</v>
      </c>
      <c r="Q29" s="893"/>
      <c r="R29" s="893">
        <f>VLOOKUP(AF29,'FS Data'!$A:$B,2,FALSE)/100</f>
        <v>2.5</v>
      </c>
      <c r="S29" s="89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44"/>
      <c r="D30" s="355" t="s">
        <v>312</v>
      </c>
      <c r="E30" s="223"/>
      <c r="F30" s="900">
        <f>VLOOKUP(W30,'FS Data'!$A:$B,2,FALSE)/100</f>
        <v>2</v>
      </c>
      <c r="G30" s="901"/>
      <c r="H30" s="893">
        <f>VLOOKUP(X30,'FS Data'!$A:$B,2,FALSE)/100</f>
        <v>1</v>
      </c>
      <c r="I30" s="902"/>
      <c r="J30" s="893">
        <f>VLOOKUP(Y30,'FS Data'!$A:$B,2,FALSE)/100</f>
        <v>2</v>
      </c>
      <c r="K30" s="893"/>
      <c r="L30" s="445"/>
      <c r="M30" s="962"/>
      <c r="N30" s="937"/>
      <c r="O30" s="441"/>
      <c r="P30" s="441"/>
      <c r="Q30" s="442"/>
      <c r="R30" s="893">
        <f>VLOOKUP(AF30,'FS Data'!$A:$B,2,FALSE)/100</f>
        <v>5</v>
      </c>
      <c r="S30" s="89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44"/>
      <c r="D31" s="355" t="s">
        <v>313</v>
      </c>
      <c r="E31" s="223"/>
      <c r="F31" s="900">
        <f>VLOOKUP(W31,'FS Data'!$A:$B,2,FALSE)/100</f>
        <v>0</v>
      </c>
      <c r="G31" s="901"/>
      <c r="H31" s="893">
        <f>VLOOKUP(X31,'FS Data'!$A:$B,2,FALSE)/100</f>
        <v>0</v>
      </c>
      <c r="I31" s="893"/>
      <c r="J31" s="893">
        <f>VLOOKUP(Y31,'FS Data'!$A:$B,2,FALSE)/100</f>
        <v>0</v>
      </c>
      <c r="K31" s="893"/>
      <c r="L31" s="445"/>
      <c r="M31" s="937"/>
      <c r="N31" s="937"/>
      <c r="O31" s="441"/>
      <c r="P31" s="441"/>
      <c r="Q31" s="442"/>
      <c r="R31" s="893">
        <f>VLOOKUP(AF31,'FS Data'!$A:$B,2,FALSE)/100</f>
        <v>0</v>
      </c>
      <c r="S31" s="89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44"/>
      <c r="D32" s="355" t="s">
        <v>314</v>
      </c>
      <c r="E32" s="223"/>
      <c r="F32" s="900">
        <f>VLOOKUP(W32,'FS Data'!$A:$B,2,FALSE)/100</f>
        <v>0</v>
      </c>
      <c r="G32" s="901"/>
      <c r="H32" s="938"/>
      <c r="I32" s="939"/>
      <c r="J32" s="937"/>
      <c r="K32" s="937"/>
      <c r="L32" s="446"/>
      <c r="M32" s="447"/>
      <c r="N32" s="444"/>
      <c r="O32" s="441"/>
      <c r="P32" s="441"/>
      <c r="Q32" s="442"/>
      <c r="R32" s="893">
        <f>VLOOKUP(AF32,'FS Data'!$A:$B,2,FALSE)/100</f>
        <v>0</v>
      </c>
      <c r="S32" s="89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44"/>
      <c r="D33" s="355" t="s">
        <v>315</v>
      </c>
      <c r="E33" s="223"/>
      <c r="F33" s="448"/>
      <c r="G33" s="449"/>
      <c r="H33" s="938"/>
      <c r="I33" s="939"/>
      <c r="J33" s="937"/>
      <c r="K33" s="937"/>
      <c r="L33" s="446"/>
      <c r="M33" s="893">
        <f>VLOOKUP(AA33,'FS Data'!$A:$B,2,FALSE)/100</f>
        <v>2</v>
      </c>
      <c r="N33" s="893"/>
      <c r="O33" s="444"/>
      <c r="P33" s="441"/>
      <c r="Q33" s="442"/>
      <c r="R33" s="893">
        <f>VLOOKUP(AF33,'FS Data'!$A:$B,2,FALSE)/100</f>
        <v>2</v>
      </c>
      <c r="S33" s="89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44"/>
      <c r="D34" s="355" t="s">
        <v>316</v>
      </c>
      <c r="E34" s="110"/>
      <c r="F34" s="443"/>
      <c r="G34" s="441"/>
      <c r="H34" s="938"/>
      <c r="I34" s="939"/>
      <c r="J34" s="937"/>
      <c r="K34" s="937"/>
      <c r="L34" s="574">
        <f>VLOOKUP(Z34,'FS Data'!$A:$B,2,FALSE)/100</f>
        <v>6</v>
      </c>
      <c r="M34" s="972"/>
      <c r="N34" s="973"/>
      <c r="O34" s="358">
        <f>VLOOKUP(AB34,'FS Data'!$A:$B,2,FALSE)/100</f>
        <v>0</v>
      </c>
      <c r="P34" s="443"/>
      <c r="Q34" s="442"/>
      <c r="R34" s="893">
        <f>VLOOKUP(AF34,'FS Data'!$A:$B,2,FALSE)/100</f>
        <v>6</v>
      </c>
      <c r="S34" s="89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44"/>
      <c r="D35" s="355" t="s">
        <v>317</v>
      </c>
      <c r="E35" s="356"/>
      <c r="F35" s="443"/>
      <c r="G35" s="441"/>
      <c r="H35" s="938"/>
      <c r="I35" s="939"/>
      <c r="J35" s="937"/>
      <c r="K35" s="937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893">
        <f>VLOOKUP(AF35,'FS Data'!$A:$B,2,FALSE)/100</f>
        <v>0</v>
      </c>
      <c r="S35" s="89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44"/>
      <c r="D36" s="355" t="s">
        <v>318</v>
      </c>
      <c r="E36" s="110"/>
      <c r="F36" s="450"/>
      <c r="G36" s="444"/>
      <c r="H36" s="938"/>
      <c r="I36" s="939"/>
      <c r="J36" s="937"/>
      <c r="K36" s="937"/>
      <c r="L36" s="574">
        <f>VLOOKUP(Z36,'FS Data'!$A:$B,2,FALSE)/100</f>
        <v>2</v>
      </c>
      <c r="M36" s="974"/>
      <c r="N36" s="975"/>
      <c r="O36" s="358">
        <f>VLOOKUP(AB36,'FS Data'!$A:$B,2,FALSE)/100</f>
        <v>0</v>
      </c>
      <c r="P36" s="443"/>
      <c r="Q36" s="442"/>
      <c r="R36" s="893">
        <f>VLOOKUP(AF36,'FS Data'!$A:$B,2,FALSE)/100</f>
        <v>2</v>
      </c>
      <c r="S36" s="89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44"/>
      <c r="D37" s="355" t="s">
        <v>319</v>
      </c>
      <c r="E37" s="223"/>
      <c r="F37" s="900">
        <f>VLOOKUP(W37,'FS Data'!$A:$B,2,FALSE)/100</f>
        <v>0.5</v>
      </c>
      <c r="G37" s="901"/>
      <c r="H37" s="893">
        <f>VLOOKUP(X37,'FS Data'!$A:$B,2,FALSE)/100</f>
        <v>0</v>
      </c>
      <c r="I37" s="893"/>
      <c r="J37" s="893">
        <f>VLOOKUP(Y37,'FS Data'!$A:$B,2,FALSE)/100</f>
        <v>0.5</v>
      </c>
      <c r="K37" s="893"/>
      <c r="L37" s="182">
        <f>VLOOKUP(Z37,'FS Data'!$A:$B,2,FALSE)/100</f>
        <v>1.5</v>
      </c>
      <c r="M37" s="893">
        <f>VLOOKUP(AA37,'FS Data'!$A:$B,2,FALSE)/100</f>
        <v>0</v>
      </c>
      <c r="N37" s="893"/>
      <c r="O37" s="358">
        <f>VLOOKUP(AB37,'FS Data'!$A:$B,2,FALSE)/100</f>
        <v>0</v>
      </c>
      <c r="P37" s="893">
        <f>VLOOKUP(AD37,'FS Data'!$A:$B,2,FALSE)/100</f>
        <v>2</v>
      </c>
      <c r="Q37" s="893"/>
      <c r="R37" s="893">
        <f>VLOOKUP(AF37,'FS Data'!$A:$B,2,FALSE)/100</f>
        <v>4.5</v>
      </c>
      <c r="S37" s="89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45"/>
      <c r="D38" s="282" t="s">
        <v>320</v>
      </c>
      <c r="E38" s="220"/>
      <c r="F38" s="900">
        <f>VLOOKUP(W38,'FS Data'!$A:$B,2,FALSE)/100</f>
        <v>3</v>
      </c>
      <c r="G38" s="901"/>
      <c r="H38" s="893">
        <f>VLOOKUP(X38,'FS Data'!$A:$B,2,FALSE)/100</f>
        <v>1</v>
      </c>
      <c r="I38" s="893"/>
      <c r="J38" s="893">
        <f>VLOOKUP(Y38,'FS Data'!$A:$B,2,FALSE)/100</f>
        <v>3</v>
      </c>
      <c r="K38" s="893"/>
      <c r="L38" s="182">
        <f>VLOOKUP(Z38,'FS Data'!$A:$B,2,FALSE)/100</f>
        <v>10</v>
      </c>
      <c r="M38" s="893">
        <f>VLOOKUP(AA38,'FS Data'!$A:$B,2,FALSE)/100</f>
        <v>2.5</v>
      </c>
      <c r="N38" s="893"/>
      <c r="O38" s="358">
        <f>VLOOKUP(AB38,'FS Data'!$A:$B,2,FALSE)/100</f>
        <v>0</v>
      </c>
      <c r="P38" s="893">
        <f>VLOOKUP(AD38,'FS Data'!$A:$B,2,FALSE)/100</f>
        <v>3.5</v>
      </c>
      <c r="Q38" s="893"/>
      <c r="R38" s="893">
        <f>VLOOKUP(AF38,'FS Data'!$A:$B,2,FALSE)/100</f>
        <v>23</v>
      </c>
      <c r="S38" s="89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1000" t="s">
        <v>362</v>
      </c>
      <c r="D40" s="966" t="s">
        <v>321</v>
      </c>
      <c r="E40" s="967"/>
      <c r="F40" s="967"/>
      <c r="G40" s="967"/>
      <c r="H40" s="967"/>
      <c r="I40" s="968"/>
      <c r="J40" s="883">
        <f>VLOOKUP(U40,'FS Data'!$A:$B,2,FALSE)/10</f>
        <v>11.3</v>
      </c>
      <c r="K40" s="884"/>
      <c r="L40" s="966" t="s">
        <v>327</v>
      </c>
      <c r="M40" s="967"/>
      <c r="N40" s="967"/>
      <c r="O40" s="967"/>
      <c r="P40" s="967"/>
      <c r="Q40" s="968"/>
      <c r="R40" s="883">
        <f>VLOOKUP(AF40,'FS Data'!$A:$B,2,FALSE)/10</f>
        <v>0.8</v>
      </c>
      <c r="S40" s="884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1001"/>
      <c r="D41" s="966" t="s">
        <v>322</v>
      </c>
      <c r="E41" s="967"/>
      <c r="F41" s="967"/>
      <c r="G41" s="967"/>
      <c r="H41" s="967"/>
      <c r="I41" s="968"/>
      <c r="J41" s="883">
        <f>VLOOKUP(U41,'FS Data'!$A:$B,2,FALSE)/10</f>
        <v>11.7</v>
      </c>
      <c r="K41" s="884"/>
      <c r="L41" s="966" t="s">
        <v>328</v>
      </c>
      <c r="M41" s="967"/>
      <c r="N41" s="967"/>
      <c r="O41" s="967"/>
      <c r="P41" s="967"/>
      <c r="Q41" s="968"/>
      <c r="R41" s="883">
        <f>VLOOKUP(AF41,'FS Data'!$A:$B,2,FALSE)/10</f>
        <v>1.3</v>
      </c>
      <c r="S41" s="884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1001"/>
      <c r="D42" s="966" t="s">
        <v>323</v>
      </c>
      <c r="E42" s="967"/>
      <c r="F42" s="967"/>
      <c r="G42" s="967"/>
      <c r="H42" s="967"/>
      <c r="I42" s="968"/>
      <c r="J42" s="883">
        <f>VLOOKUP(U42,'FS Data'!$A:$B,2,FALSE)/10</f>
        <v>1.5</v>
      </c>
      <c r="K42" s="884"/>
      <c r="L42" s="963" t="s">
        <v>329</v>
      </c>
      <c r="M42" s="964"/>
      <c r="N42" s="964"/>
      <c r="O42" s="964"/>
      <c r="P42" s="964"/>
      <c r="Q42" s="965"/>
      <c r="R42" s="883">
        <f>VLOOKUP(AE42,'FS Data'!$A:$B,2,FALSE)/10</f>
        <v>5.6</v>
      </c>
      <c r="S42" s="884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1001"/>
      <c r="D43" s="966" t="s">
        <v>324</v>
      </c>
      <c r="E43" s="967"/>
      <c r="F43" s="967"/>
      <c r="G43" s="967"/>
      <c r="H43" s="967"/>
      <c r="I43" s="968"/>
      <c r="J43" s="883">
        <f>VLOOKUP(U43,'FS Data'!$A:$B,2,FALSE)/10</f>
        <v>48.8</v>
      </c>
      <c r="K43" s="884"/>
      <c r="L43" s="969" t="s">
        <v>330</v>
      </c>
      <c r="M43" s="970"/>
      <c r="N43" s="970"/>
      <c r="O43" s="970"/>
      <c r="P43" s="970"/>
      <c r="Q43" s="971"/>
      <c r="R43" s="883">
        <f>VLOOKUP(AB43,'FS Data'!$A:$B,2,FALSE)/10</f>
        <v>4.5999999999999996</v>
      </c>
      <c r="S43" s="884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1001"/>
      <c r="D44" s="966" t="s">
        <v>325</v>
      </c>
      <c r="E44" s="967"/>
      <c r="F44" s="967"/>
      <c r="G44" s="967"/>
      <c r="H44" s="967"/>
      <c r="I44" s="968"/>
      <c r="J44" s="883">
        <f>VLOOKUP(U44,'FS Data'!$A:$B,2,FALSE)/10</f>
        <v>40.299999999999997</v>
      </c>
      <c r="K44" s="884"/>
      <c r="L44" s="982"/>
      <c r="M44" s="982"/>
      <c r="N44" s="982"/>
      <c r="O44" s="982"/>
      <c r="P44" s="982"/>
      <c r="Q44" s="982"/>
      <c r="R44" s="983"/>
      <c r="S44" s="983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1001"/>
      <c r="D45" s="963" t="s">
        <v>326</v>
      </c>
      <c r="E45" s="964"/>
      <c r="F45" s="964"/>
      <c r="G45" s="964"/>
      <c r="H45" s="964"/>
      <c r="I45" s="965"/>
      <c r="J45" s="883">
        <f>VLOOKUP(U45,'FS Data'!$A:$B,2,FALSE)/10</f>
        <v>10.3</v>
      </c>
      <c r="K45" s="884"/>
      <c r="L45" s="1002" t="s">
        <v>331</v>
      </c>
      <c r="M45" s="1003"/>
      <c r="N45" s="1003"/>
      <c r="O45" s="1003"/>
      <c r="P45" s="1003"/>
      <c r="Q45" s="1004"/>
      <c r="R45" s="883">
        <f>VLOOKUP(AB45,'FS Data'!$A:$B,2,FALSE)/10</f>
        <v>51.5</v>
      </c>
      <c r="S45" s="884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1001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1000" t="s">
        <v>362</v>
      </c>
      <c r="D47" s="966" t="s">
        <v>321</v>
      </c>
      <c r="E47" s="967"/>
      <c r="F47" s="967"/>
      <c r="G47" s="967"/>
      <c r="H47" s="967"/>
      <c r="I47" s="968"/>
      <c r="J47" s="883">
        <f>VLOOKUP(U47,'FS Data'!$A:$B,2,FALSE)/10</f>
        <v>0</v>
      </c>
      <c r="K47" s="884"/>
      <c r="L47" s="966" t="s">
        <v>332</v>
      </c>
      <c r="M47" s="967"/>
      <c r="N47" s="967"/>
      <c r="O47" s="967"/>
      <c r="P47" s="967"/>
      <c r="Q47" s="968"/>
      <c r="R47" s="883">
        <f>VLOOKUP(AF47,'FS Data'!$A:$B,2,FALSE)/10</f>
        <v>0</v>
      </c>
      <c r="S47" s="884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1001"/>
      <c r="D48" s="966" t="s">
        <v>322</v>
      </c>
      <c r="E48" s="967"/>
      <c r="F48" s="967"/>
      <c r="G48" s="967"/>
      <c r="H48" s="967"/>
      <c r="I48" s="968"/>
      <c r="J48" s="883">
        <f>VLOOKUP(U48,'FS Data'!$A:$B,2,FALSE)/10</f>
        <v>0</v>
      </c>
      <c r="K48" s="884"/>
      <c r="L48" s="966" t="s">
        <v>333</v>
      </c>
      <c r="M48" s="967"/>
      <c r="N48" s="967"/>
      <c r="O48" s="967"/>
      <c r="P48" s="967"/>
      <c r="Q48" s="968"/>
      <c r="R48" s="883">
        <f>VLOOKUP(AF48,'FS Data'!$A:$B,2,FALSE)/10</f>
        <v>0</v>
      </c>
      <c r="S48" s="884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1001"/>
      <c r="D49" s="966" t="s">
        <v>323</v>
      </c>
      <c r="E49" s="967"/>
      <c r="F49" s="967"/>
      <c r="G49" s="967"/>
      <c r="H49" s="967"/>
      <c r="I49" s="968"/>
      <c r="J49" s="883">
        <f>VLOOKUP(U49,'FS Data'!$A:$B,2,FALSE)/10</f>
        <v>0</v>
      </c>
      <c r="K49" s="884"/>
      <c r="L49" s="966" t="s">
        <v>334</v>
      </c>
      <c r="M49" s="967"/>
      <c r="N49" s="967"/>
      <c r="O49" s="967"/>
      <c r="P49" s="967"/>
      <c r="Q49" s="968"/>
      <c r="R49" s="883">
        <f>VLOOKUP(AE49,'FS Data'!$A:$B,2,FALSE)/10</f>
        <v>0</v>
      </c>
      <c r="S49" s="884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1001"/>
      <c r="D50" s="966" t="s">
        <v>324</v>
      </c>
      <c r="E50" s="967"/>
      <c r="F50" s="967"/>
      <c r="G50" s="967"/>
      <c r="H50" s="967"/>
      <c r="I50" s="968"/>
      <c r="J50" s="883">
        <f>VLOOKUP(U50,'FS Data'!$A:$B,2,FALSE)/10</f>
        <v>0</v>
      </c>
      <c r="K50" s="884"/>
      <c r="L50" s="969" t="s">
        <v>335</v>
      </c>
      <c r="M50" s="970"/>
      <c r="N50" s="970"/>
      <c r="O50" s="970"/>
      <c r="P50" s="970"/>
      <c r="Q50" s="971"/>
      <c r="R50" s="883">
        <f>VLOOKUP(AB50,'FS Data'!$A:$B,2,FALSE)/10</f>
        <v>0</v>
      </c>
      <c r="S50" s="884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1001"/>
      <c r="D51" s="966" t="s">
        <v>325</v>
      </c>
      <c r="E51" s="967"/>
      <c r="F51" s="967"/>
      <c r="G51" s="967"/>
      <c r="H51" s="967"/>
      <c r="I51" s="968"/>
      <c r="J51" s="883">
        <f>VLOOKUP(U51,'FS Data'!$A:$B,2,FALSE)/10</f>
        <v>0</v>
      </c>
      <c r="K51" s="884"/>
      <c r="L51" s="986"/>
      <c r="M51" s="986"/>
      <c r="N51" s="986"/>
      <c r="O51" s="986"/>
      <c r="P51" s="986"/>
      <c r="Q51" s="986"/>
      <c r="R51" s="984"/>
      <c r="S51" s="985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1001"/>
      <c r="D52" s="966" t="s">
        <v>326</v>
      </c>
      <c r="E52" s="967"/>
      <c r="F52" s="967"/>
      <c r="G52" s="967"/>
      <c r="H52" s="967"/>
      <c r="I52" s="968"/>
      <c r="J52" s="883">
        <f>VLOOKUP(U52,'FS Data'!$A:$B,2,FALSE)/10</f>
        <v>0</v>
      </c>
      <c r="K52" s="884"/>
      <c r="L52" s="966" t="s">
        <v>336</v>
      </c>
      <c r="M52" s="967"/>
      <c r="N52" s="967"/>
      <c r="O52" s="967"/>
      <c r="P52" s="967"/>
      <c r="Q52" s="968"/>
      <c r="R52" s="883">
        <f>VLOOKUP(AH52,'FS Data'!$A:$B,2,FALSE)/10</f>
        <v>0</v>
      </c>
      <c r="S52" s="884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1001"/>
      <c r="D53" s="990" t="s">
        <v>27</v>
      </c>
      <c r="E53" s="991"/>
      <c r="F53" s="991"/>
      <c r="G53" s="991"/>
      <c r="H53" s="991"/>
      <c r="I53" s="940" t="s">
        <v>28</v>
      </c>
      <c r="J53" s="992"/>
      <c r="K53" s="992"/>
      <c r="L53" s="992"/>
      <c r="M53" s="992"/>
      <c r="N53" s="993"/>
      <c r="O53" s="989" t="s">
        <v>29</v>
      </c>
      <c r="P53" s="774"/>
      <c r="Q53" s="774"/>
      <c r="R53" s="994">
        <f>VLOOKUP(AH53,'FS Data'!$A:$B,2,FALSE)/100</f>
        <v>168.38</v>
      </c>
      <c r="S53" s="995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996" t="s">
        <v>30</v>
      </c>
      <c r="D54" s="997"/>
      <c r="E54" s="185" t="s">
        <v>31</v>
      </c>
      <c r="F54" s="187" t="s">
        <v>219</v>
      </c>
      <c r="G54" s="998" t="s">
        <v>123</v>
      </c>
      <c r="H54" s="999"/>
      <c r="I54" s="996" t="s">
        <v>30</v>
      </c>
      <c r="J54" s="829"/>
      <c r="K54" s="633" t="s">
        <v>31</v>
      </c>
      <c r="L54" s="186" t="s">
        <v>219</v>
      </c>
      <c r="M54" s="987" t="s">
        <v>123</v>
      </c>
      <c r="N54" s="988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976" t="s">
        <v>32</v>
      </c>
      <c r="D55" s="977"/>
      <c r="E55" s="183">
        <v>800</v>
      </c>
      <c r="F55" s="123">
        <f>VLOOKUP(Y55,'FS Data'!$A:$B,2,FALSE)</f>
        <v>0</v>
      </c>
      <c r="G55" s="978">
        <f>VLOOKUP(Z55,'FS Data'!$A:$B,2,FALSE)</f>
        <v>0</v>
      </c>
      <c r="H55" s="979"/>
      <c r="I55" s="980" t="s">
        <v>33</v>
      </c>
      <c r="J55" s="829"/>
      <c r="K55" s="634" t="s">
        <v>417</v>
      </c>
      <c r="L55" s="357">
        <f>VLOOKUP(AB55,'FS Data'!$A:$B,2,FALSE)</f>
        <v>0</v>
      </c>
      <c r="M55" s="981">
        <f>VLOOKUP(AD55,'FS Data'!$A:$B,2,FALSE)</f>
        <v>-447</v>
      </c>
      <c r="N55" s="978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976" t="s">
        <v>34</v>
      </c>
      <c r="D56" s="977"/>
      <c r="E56" s="183">
        <v>801</v>
      </c>
      <c r="F56" s="123">
        <f>VLOOKUP(Y56,'FS Data'!$A:$B,2,FALSE)</f>
        <v>0</v>
      </c>
      <c r="G56" s="978">
        <f>VLOOKUP(Z56,'FS Data'!$A:$B,2,FALSE)</f>
        <v>71</v>
      </c>
      <c r="H56" s="979"/>
      <c r="I56" s="980" t="s">
        <v>35</v>
      </c>
      <c r="J56" s="829"/>
      <c r="K56" s="634" t="s">
        <v>418</v>
      </c>
      <c r="L56" s="357">
        <f>VLOOKUP(AB56,'FS Data'!$A:$B,2,FALSE)</f>
        <v>-2</v>
      </c>
      <c r="M56" s="981">
        <f>VLOOKUP(AD56,'FS Data'!$A:$B,2,FALSE)</f>
        <v>12</v>
      </c>
      <c r="N56" s="978"/>
      <c r="O56" s="989" t="s">
        <v>36</v>
      </c>
      <c r="P56" s="774"/>
      <c r="Q56" s="774"/>
      <c r="R56" s="913">
        <f>VLOOKUP(AH56,'FS Data'!$A:$B,2,FALSE)</f>
        <v>0</v>
      </c>
      <c r="S56" s="772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976" t="s">
        <v>37</v>
      </c>
      <c r="D57" s="977"/>
      <c r="E57" s="183">
        <v>805</v>
      </c>
      <c r="F57" s="123">
        <f>VLOOKUP(Y57,'FS Data'!$A:$B,2,FALSE)</f>
        <v>533</v>
      </c>
      <c r="G57" s="978">
        <f>VLOOKUP(Z57,'FS Data'!$A:$B,2,FALSE)</f>
        <v>174192</v>
      </c>
      <c r="H57" s="979"/>
      <c r="I57" s="980" t="s">
        <v>38</v>
      </c>
      <c r="J57" s="829"/>
      <c r="K57" s="635" t="s">
        <v>419</v>
      </c>
      <c r="L57" s="357">
        <f>VLOOKUP(AB57,'FS Data'!$A:$B,2,FALSE)</f>
        <v>0</v>
      </c>
      <c r="M57" s="981">
        <f>VLOOKUP(AD57,'FS Data'!$A:$B,2,FALSE)</f>
        <v>0</v>
      </c>
      <c r="N57" s="978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976" t="s">
        <v>39</v>
      </c>
      <c r="D58" s="977"/>
      <c r="E58" s="183">
        <v>806</v>
      </c>
      <c r="F58" s="123">
        <f>VLOOKUP(Y58,'FS Data'!$A:$B,2,FALSE)</f>
        <v>0</v>
      </c>
      <c r="G58" s="978">
        <f>VLOOKUP(Z58,'FS Data'!$A:$B,2,FALSE)</f>
        <v>0</v>
      </c>
      <c r="H58" s="979"/>
      <c r="I58" s="980" t="s">
        <v>40</v>
      </c>
      <c r="J58" s="829"/>
      <c r="K58" s="634">
        <v>861</v>
      </c>
      <c r="L58" s="357">
        <f>VLOOKUP(AB58,'FS Data'!$A:$B,2,FALSE)</f>
        <v>0</v>
      </c>
      <c r="M58" s="981">
        <f>VLOOKUP(AD58,'FS Data'!$A:$B,2,FALSE)</f>
        <v>0</v>
      </c>
      <c r="N58" s="978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976" t="s">
        <v>41</v>
      </c>
      <c r="D59" s="977"/>
      <c r="E59" s="183">
        <v>810</v>
      </c>
      <c r="F59" s="123">
        <f>VLOOKUP(Y59,'FS Data'!$A:$B,2,FALSE)</f>
        <v>0</v>
      </c>
      <c r="G59" s="978">
        <f>VLOOKUP(Z59,'FS Data'!$A:$B,2,FALSE)</f>
        <v>0</v>
      </c>
      <c r="H59" s="979"/>
      <c r="I59" s="980" t="s">
        <v>42</v>
      </c>
      <c r="J59" s="829"/>
      <c r="K59" s="636">
        <v>862</v>
      </c>
      <c r="L59" s="357">
        <f>VLOOKUP(AB59,'FS Data'!$A:$B,2,FALSE)</f>
        <v>0</v>
      </c>
      <c r="M59" s="981">
        <f>VLOOKUP(AD59,'FS Data'!$A:$B,2,FALSE)</f>
        <v>0</v>
      </c>
      <c r="N59" s="978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976" t="s">
        <v>15</v>
      </c>
      <c r="D60" s="977"/>
      <c r="E60" s="183" t="s">
        <v>43</v>
      </c>
      <c r="F60" s="123">
        <f>VLOOKUP(Y60,'FS Data'!$A:$B,2,FALSE)</f>
        <v>21659</v>
      </c>
      <c r="G60" s="978">
        <f>VLOOKUP(Z60,'FS Data'!$A:$B,2,FALSE)</f>
        <v>180047</v>
      </c>
      <c r="H60" s="979"/>
      <c r="I60" s="1012" t="s">
        <v>44</v>
      </c>
      <c r="J60" s="1006"/>
      <c r="K60" s="1013"/>
      <c r="L60" s="360">
        <f>VLOOKUP(AB60,'FS Data'!$A:$B,2,FALSE)</f>
        <v>-2</v>
      </c>
      <c r="M60" s="1014">
        <f>VLOOKUP(AD60,'FS Data'!$A:$B,2,FALSE)</f>
        <v>-435</v>
      </c>
      <c r="N60" s="10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976" t="s">
        <v>16</v>
      </c>
      <c r="D61" s="977"/>
      <c r="E61" s="183" t="s">
        <v>1</v>
      </c>
      <c r="F61" s="123">
        <f>VLOOKUP(Y61,'FS Data'!$A:$B,2,FALSE)</f>
        <v>0</v>
      </c>
      <c r="G61" s="978">
        <f>VLOOKUP(Z61,'FS Data'!$A:$B,2,FALSE)</f>
        <v>0</v>
      </c>
      <c r="H61" s="979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976" t="s">
        <v>145</v>
      </c>
      <c r="D62" s="977"/>
      <c r="E62" s="183">
        <v>815</v>
      </c>
      <c r="F62" s="123">
        <f>VLOOKUP(Y62,'FS Data'!$A:$B,2,FALSE)</f>
        <v>49413</v>
      </c>
      <c r="G62" s="978">
        <f>VLOOKUP(Z62,'FS Data'!$A:$B,2,FALSE)</f>
        <v>344366</v>
      </c>
      <c r="H62" s="979"/>
      <c r="I62" s="640"/>
      <c r="J62" s="641"/>
      <c r="K62" s="641"/>
      <c r="L62" s="457"/>
      <c r="M62" s="1011"/>
      <c r="N62" s="909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976" t="s">
        <v>146</v>
      </c>
      <c r="D63" s="977"/>
      <c r="E63" s="183">
        <v>816</v>
      </c>
      <c r="F63" s="123">
        <f>VLOOKUP(Y63,'FS Data'!$A:$B,2,FALSE)</f>
        <v>0</v>
      </c>
      <c r="G63" s="978">
        <f>VLOOKUP(Z63,'FS Data'!$A:$B,2,FALSE)</f>
        <v>0</v>
      </c>
      <c r="H63" s="979"/>
      <c r="I63" s="1005" t="s">
        <v>147</v>
      </c>
      <c r="J63" s="1006"/>
      <c r="K63" s="1006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1009" t="s">
        <v>148</v>
      </c>
      <c r="D64" s="1010"/>
      <c r="E64" s="184"/>
      <c r="F64" s="123">
        <f>VLOOKUP(Y64,'FS Data'!$A:$B,2,FALSE)</f>
        <v>71605</v>
      </c>
      <c r="G64" s="978">
        <f>VLOOKUP(Z64,'FS Data'!$A:$B,2,FALSE)</f>
        <v>698676</v>
      </c>
      <c r="H64" s="979"/>
      <c r="I64" s="1007"/>
      <c r="J64" s="1008"/>
      <c r="K64" s="1008"/>
      <c r="L64" s="123">
        <f>VLOOKUP(AB64,'FS Data'!$A:$B,2,FALSE)</f>
        <v>71607</v>
      </c>
      <c r="M64" s="981">
        <f>VLOOKUP(AD64,'FS Data'!$A:$B,2,FALSE)</f>
        <v>699111</v>
      </c>
      <c r="N64" s="978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zoomScale="80" zoomScaleNormal="80" workbookViewId="0">
      <pane ySplit="1" topLeftCell="A2" activePane="bottomLeft" state="frozen"/>
      <selection activeCell="Z36" sqref="Z36"/>
      <selection pane="bottomLeft" sqref="A1:XFD1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767" bestFit="1" customWidth="1"/>
    <col min="7" max="8" width="14.85546875" style="767" bestFit="1" customWidth="1"/>
    <col min="9" max="9" width="51.5703125" style="768" bestFit="1" customWidth="1"/>
    <col min="10" max="10" width="11.42578125" style="767" bestFit="1" customWidth="1"/>
    <col min="11" max="190" width="9.140625" style="767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765" t="s">
        <v>220</v>
      </c>
      <c r="G1" s="765" t="s">
        <v>153</v>
      </c>
      <c r="H1" s="765" t="s">
        <v>154</v>
      </c>
      <c r="I1" s="765" t="s">
        <v>155</v>
      </c>
      <c r="J1" s="766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765"/>
      <c r="AH1" s="765"/>
      <c r="AI1" s="765"/>
      <c r="AJ1" s="765"/>
      <c r="AK1" s="765"/>
      <c r="AL1" s="765"/>
      <c r="AM1" s="765"/>
      <c r="AN1" s="765"/>
      <c r="AO1" s="765"/>
      <c r="AP1" s="765"/>
      <c r="AQ1" s="765"/>
      <c r="AR1" s="765"/>
      <c r="AS1" s="765"/>
      <c r="AT1" s="765"/>
      <c r="AU1" s="765"/>
      <c r="AV1" s="765"/>
      <c r="AW1" s="765"/>
      <c r="AX1" s="765"/>
      <c r="AY1" s="765"/>
      <c r="AZ1" s="765"/>
      <c r="BA1" s="765"/>
      <c r="BB1" s="765"/>
      <c r="BC1" s="765"/>
      <c r="BD1" s="765"/>
      <c r="BE1" s="765"/>
      <c r="BF1" s="765"/>
      <c r="BG1" s="765"/>
      <c r="BH1" s="765"/>
      <c r="BI1" s="765"/>
      <c r="BJ1" s="765"/>
      <c r="BK1" s="765"/>
      <c r="BL1" s="765"/>
      <c r="BM1" s="765"/>
      <c r="BN1" s="765"/>
      <c r="BO1" s="765"/>
      <c r="BP1" s="765"/>
      <c r="BQ1" s="765"/>
      <c r="BR1" s="765"/>
      <c r="BS1" s="765"/>
      <c r="BT1" s="765"/>
      <c r="BU1" s="765"/>
      <c r="BV1" s="765"/>
      <c r="BW1" s="765"/>
      <c r="BX1" s="765"/>
      <c r="BY1" s="765"/>
      <c r="BZ1" s="765"/>
      <c r="CA1" s="765"/>
      <c r="CB1" s="765"/>
      <c r="CC1" s="765"/>
      <c r="CD1" s="765"/>
      <c r="CE1" s="765"/>
      <c r="CF1" s="765"/>
      <c r="CG1" s="765"/>
      <c r="CH1" s="765"/>
      <c r="CI1" s="765"/>
      <c r="CJ1" s="765"/>
      <c r="CK1" s="765"/>
      <c r="CL1" s="765"/>
      <c r="CM1" s="765"/>
      <c r="CN1" s="765"/>
      <c r="CO1" s="765"/>
      <c r="CP1" s="765"/>
      <c r="CQ1" s="765"/>
      <c r="CR1" s="765"/>
      <c r="CS1" s="765"/>
      <c r="CT1" s="765"/>
      <c r="CU1" s="765"/>
      <c r="CV1" s="765"/>
      <c r="CW1" s="765"/>
      <c r="CX1" s="765"/>
      <c r="CY1" s="765"/>
      <c r="CZ1" s="765"/>
      <c r="DA1" s="765"/>
      <c r="DB1" s="765"/>
      <c r="DC1" s="765"/>
      <c r="DD1" s="765"/>
      <c r="DE1" s="765"/>
      <c r="DF1" s="765"/>
      <c r="DG1" s="765"/>
      <c r="DH1" s="765"/>
      <c r="DI1" s="765"/>
      <c r="DJ1" s="765"/>
      <c r="DK1" s="765"/>
      <c r="DL1" s="765"/>
      <c r="DM1" s="765"/>
      <c r="DN1" s="765"/>
      <c r="DO1" s="765"/>
      <c r="DP1" s="765"/>
      <c r="DQ1" s="765"/>
      <c r="DR1" s="765"/>
      <c r="DS1" s="765"/>
      <c r="DT1" s="765"/>
      <c r="DU1" s="765"/>
      <c r="DV1" s="765"/>
      <c r="DW1" s="765"/>
      <c r="DX1" s="765"/>
      <c r="DY1" s="765"/>
      <c r="DZ1" s="765"/>
      <c r="EA1" s="765"/>
      <c r="EB1" s="765"/>
      <c r="EC1" s="765"/>
      <c r="ED1" s="765"/>
      <c r="EE1" s="765"/>
      <c r="EF1" s="765"/>
      <c r="EG1" s="765"/>
      <c r="EH1" s="765"/>
      <c r="EI1" s="765"/>
      <c r="EJ1" s="765"/>
      <c r="EK1" s="765"/>
      <c r="EL1" s="765"/>
      <c r="EM1" s="765"/>
      <c r="EN1" s="765"/>
      <c r="EO1" s="765"/>
      <c r="EP1" s="765"/>
      <c r="EQ1" s="765"/>
      <c r="ER1" s="765"/>
      <c r="ES1" s="765"/>
      <c r="ET1" s="765"/>
      <c r="EU1" s="765"/>
      <c r="EV1" s="765"/>
      <c r="EW1" s="765"/>
      <c r="EX1" s="765"/>
      <c r="EY1" s="765"/>
      <c r="EZ1" s="765"/>
      <c r="FA1" s="765"/>
      <c r="FB1" s="765"/>
      <c r="FC1" s="765"/>
      <c r="FD1" s="765"/>
      <c r="FE1" s="765"/>
      <c r="FF1" s="765"/>
      <c r="FG1" s="765"/>
      <c r="FH1" s="765"/>
      <c r="FI1" s="765"/>
      <c r="FJ1" s="765"/>
      <c r="FK1" s="765"/>
      <c r="FL1" s="765"/>
      <c r="FM1" s="765"/>
      <c r="FN1" s="765"/>
      <c r="FO1" s="765"/>
      <c r="FP1" s="765"/>
      <c r="FQ1" s="765"/>
      <c r="FR1" s="765"/>
      <c r="FS1" s="765"/>
      <c r="FT1" s="765"/>
      <c r="FU1" s="765"/>
      <c r="FV1" s="765"/>
      <c r="FW1" s="765"/>
      <c r="FX1" s="765"/>
      <c r="FY1" s="765"/>
      <c r="FZ1" s="765"/>
      <c r="GA1" s="765"/>
      <c r="GB1" s="765"/>
      <c r="GC1" s="765"/>
      <c r="GD1" s="765"/>
      <c r="GE1" s="765"/>
      <c r="GF1" s="765"/>
      <c r="GG1" s="765"/>
      <c r="GH1" s="765"/>
    </row>
    <row r="2" spans="1:190" x14ac:dyDescent="0.25">
      <c r="A2" s="753">
        <v>1000218</v>
      </c>
      <c r="B2" s="130">
        <v>16547</v>
      </c>
      <c r="C2" s="131" t="s">
        <v>917</v>
      </c>
      <c r="D2" s="131">
        <v>16</v>
      </c>
      <c r="E2" s="131" t="s">
        <v>917</v>
      </c>
      <c r="F2" s="767">
        <v>5711</v>
      </c>
      <c r="G2" s="767">
        <v>16547</v>
      </c>
      <c r="H2" s="767">
        <v>22258</v>
      </c>
      <c r="I2" s="768" t="s">
        <v>1403</v>
      </c>
    </row>
    <row r="3" spans="1:190" x14ac:dyDescent="0.25">
      <c r="A3" s="753">
        <v>1000220</v>
      </c>
      <c r="B3" s="130">
        <v>2690</v>
      </c>
      <c r="C3" s="131" t="s">
        <v>918</v>
      </c>
      <c r="D3" s="131">
        <v>16</v>
      </c>
      <c r="E3" s="131" t="s">
        <v>918</v>
      </c>
      <c r="F3" s="767">
        <v>1447</v>
      </c>
      <c r="G3" s="767">
        <v>2690</v>
      </c>
      <c r="H3" s="767">
        <v>4137</v>
      </c>
      <c r="I3" s="768" t="s">
        <v>1404</v>
      </c>
    </row>
    <row r="4" spans="1:190" x14ac:dyDescent="0.25">
      <c r="A4" s="753">
        <v>1000222</v>
      </c>
      <c r="B4" s="130">
        <v>0</v>
      </c>
      <c r="C4" s="131" t="s">
        <v>919</v>
      </c>
      <c r="D4" s="131">
        <v>16</v>
      </c>
      <c r="E4" s="131" t="s">
        <v>919</v>
      </c>
      <c r="F4" s="767">
        <v>1447</v>
      </c>
      <c r="G4" s="767">
        <v>0</v>
      </c>
      <c r="H4" s="767">
        <v>1447</v>
      </c>
      <c r="I4" s="768" t="s">
        <v>1405</v>
      </c>
    </row>
    <row r="5" spans="1:190" x14ac:dyDescent="0.25">
      <c r="A5" s="753">
        <v>1000224</v>
      </c>
      <c r="B5" s="130">
        <v>0</v>
      </c>
      <c r="C5" s="131" t="s">
        <v>920</v>
      </c>
      <c r="D5" s="131">
        <v>16</v>
      </c>
      <c r="E5" s="131" t="s">
        <v>920</v>
      </c>
      <c r="F5" s="767">
        <v>3434</v>
      </c>
      <c r="G5" s="767">
        <v>0</v>
      </c>
      <c r="H5" s="767">
        <v>3434</v>
      </c>
      <c r="I5" s="768" t="s">
        <v>1406</v>
      </c>
    </row>
    <row r="6" spans="1:190" x14ac:dyDescent="0.25">
      <c r="A6" s="753">
        <v>1000318</v>
      </c>
      <c r="B6" s="130">
        <v>9168</v>
      </c>
      <c r="C6" s="131" t="s">
        <v>921</v>
      </c>
      <c r="D6" s="131">
        <v>16</v>
      </c>
      <c r="E6" s="131" t="s">
        <v>921</v>
      </c>
      <c r="F6" s="767">
        <v>152917</v>
      </c>
      <c r="G6" s="767">
        <v>9168</v>
      </c>
      <c r="H6" s="767">
        <v>162085</v>
      </c>
      <c r="I6" s="768" t="s">
        <v>1407</v>
      </c>
    </row>
    <row r="7" spans="1:190" x14ac:dyDescent="0.25">
      <c r="A7" s="753">
        <v>1000320</v>
      </c>
      <c r="B7" s="130">
        <v>10774</v>
      </c>
      <c r="C7" s="131" t="s">
        <v>922</v>
      </c>
      <c r="D7" s="131">
        <v>16</v>
      </c>
      <c r="E7" s="131" t="s">
        <v>922</v>
      </c>
      <c r="F7" s="767">
        <v>65801</v>
      </c>
      <c r="G7" s="767">
        <v>10774</v>
      </c>
      <c r="H7" s="767">
        <v>76575</v>
      </c>
      <c r="I7" s="768" t="s">
        <v>1408</v>
      </c>
    </row>
    <row r="8" spans="1:190" x14ac:dyDescent="0.25">
      <c r="A8" s="753">
        <v>1000322</v>
      </c>
      <c r="B8" s="130">
        <v>530</v>
      </c>
      <c r="C8" s="131" t="s">
        <v>923</v>
      </c>
      <c r="D8" s="131">
        <v>16</v>
      </c>
      <c r="E8" s="131" t="s">
        <v>923</v>
      </c>
      <c r="F8" s="767">
        <v>30732</v>
      </c>
      <c r="G8" s="767">
        <v>530</v>
      </c>
      <c r="H8" s="767">
        <v>31262</v>
      </c>
      <c r="I8" s="768" t="s">
        <v>1409</v>
      </c>
    </row>
    <row r="9" spans="1:190" x14ac:dyDescent="0.25">
      <c r="A9" s="753">
        <v>1000324</v>
      </c>
      <c r="B9" s="130">
        <v>11760</v>
      </c>
      <c r="C9" s="131" t="s">
        <v>924</v>
      </c>
      <c r="D9" s="131">
        <v>16</v>
      </c>
      <c r="E9" s="131" t="s">
        <v>924</v>
      </c>
      <c r="F9" s="767">
        <v>60094</v>
      </c>
      <c r="G9" s="767">
        <v>11760</v>
      </c>
      <c r="H9" s="767">
        <v>71854</v>
      </c>
      <c r="I9" s="768" t="s">
        <v>1410</v>
      </c>
    </row>
    <row r="10" spans="1:190" x14ac:dyDescent="0.25">
      <c r="A10" s="753">
        <v>1000418</v>
      </c>
      <c r="B10" s="130">
        <v>11054</v>
      </c>
      <c r="C10" s="131" t="s">
        <v>925</v>
      </c>
      <c r="D10" s="131">
        <v>16</v>
      </c>
      <c r="E10" s="131" t="s">
        <v>925</v>
      </c>
      <c r="F10" s="767">
        <v>12340</v>
      </c>
      <c r="G10" s="767">
        <v>11054</v>
      </c>
      <c r="H10" s="767">
        <v>23394</v>
      </c>
      <c r="I10" s="768" t="s">
        <v>1411</v>
      </c>
    </row>
    <row r="11" spans="1:190" x14ac:dyDescent="0.25">
      <c r="A11" s="753">
        <v>1000420</v>
      </c>
      <c r="B11" s="130">
        <v>0</v>
      </c>
      <c r="C11" s="131" t="s">
        <v>926</v>
      </c>
      <c r="D11" s="131">
        <v>16</v>
      </c>
      <c r="E11" s="131" t="s">
        <v>926</v>
      </c>
      <c r="F11" s="767">
        <v>833</v>
      </c>
      <c r="G11" s="767">
        <v>0</v>
      </c>
      <c r="H11" s="767">
        <v>833</v>
      </c>
      <c r="I11" s="768" t="s">
        <v>1412</v>
      </c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101798</v>
      </c>
      <c r="C14" s="131" t="s">
        <v>927</v>
      </c>
      <c r="D14" s="131">
        <v>16</v>
      </c>
      <c r="E14" s="131" t="s">
        <v>927</v>
      </c>
      <c r="F14" s="767">
        <v>1011611</v>
      </c>
      <c r="G14" s="767">
        <v>101798</v>
      </c>
      <c r="H14" s="767">
        <v>1113409</v>
      </c>
      <c r="I14" s="768" t="s">
        <v>1413</v>
      </c>
    </row>
    <row r="15" spans="1:190" x14ac:dyDescent="0.25">
      <c r="A15" s="753">
        <v>1000619</v>
      </c>
      <c r="B15" s="130">
        <v>2</v>
      </c>
      <c r="C15" s="131" t="s">
        <v>928</v>
      </c>
      <c r="D15" s="131">
        <v>16</v>
      </c>
      <c r="E15" s="131" t="s">
        <v>928</v>
      </c>
      <c r="F15" s="767">
        <v>0.23</v>
      </c>
      <c r="G15" s="767">
        <v>0.02</v>
      </c>
      <c r="H15" s="767">
        <v>0.25</v>
      </c>
      <c r="I15" s="768" t="s">
        <v>1414</v>
      </c>
    </row>
    <row r="16" spans="1:190" x14ac:dyDescent="0.25">
      <c r="A16" s="753">
        <v>1000620</v>
      </c>
      <c r="B16" s="130">
        <v>47600</v>
      </c>
      <c r="C16" s="131" t="s">
        <v>929</v>
      </c>
      <c r="D16" s="131">
        <v>16</v>
      </c>
      <c r="E16" s="131" t="s">
        <v>929</v>
      </c>
      <c r="F16" s="767">
        <v>920941</v>
      </c>
      <c r="G16" s="767">
        <v>47600</v>
      </c>
      <c r="H16" s="767">
        <v>968541</v>
      </c>
      <c r="I16" s="768" t="s">
        <v>1415</v>
      </c>
    </row>
    <row r="17" spans="1:9" x14ac:dyDescent="0.25">
      <c r="A17" s="753">
        <v>1000621</v>
      </c>
      <c r="B17" s="130">
        <v>1</v>
      </c>
      <c r="C17" s="131" t="s">
        <v>930</v>
      </c>
      <c r="D17" s="131">
        <v>16</v>
      </c>
      <c r="E17" s="131" t="s">
        <v>930</v>
      </c>
      <c r="F17" s="767">
        <v>0.19</v>
      </c>
      <c r="G17" s="767">
        <v>0.01</v>
      </c>
      <c r="H17" s="767">
        <v>0.2</v>
      </c>
      <c r="I17" s="768" t="s">
        <v>1416</v>
      </c>
    </row>
    <row r="18" spans="1:9" x14ac:dyDescent="0.25">
      <c r="A18" s="753">
        <v>1000622</v>
      </c>
      <c r="B18" s="130">
        <v>0</v>
      </c>
      <c r="C18" s="131" t="s">
        <v>931</v>
      </c>
      <c r="D18" s="131">
        <v>16</v>
      </c>
      <c r="E18" s="131" t="s">
        <v>931</v>
      </c>
      <c r="F18" s="767">
        <v>665692</v>
      </c>
      <c r="G18" s="767">
        <v>0</v>
      </c>
      <c r="H18" s="767">
        <v>665692</v>
      </c>
      <c r="I18" s="768" t="s">
        <v>1417</v>
      </c>
    </row>
    <row r="19" spans="1:9" x14ac:dyDescent="0.25">
      <c r="A19" s="753">
        <v>1000623</v>
      </c>
      <c r="B19" s="130">
        <v>0</v>
      </c>
      <c r="C19" s="131" t="s">
        <v>932</v>
      </c>
      <c r="D19" s="131">
        <v>16</v>
      </c>
      <c r="E19" s="131" t="s">
        <v>932</v>
      </c>
      <c r="F19" s="767">
        <v>0.15</v>
      </c>
      <c r="G19" s="767">
        <v>0</v>
      </c>
      <c r="H19" s="767">
        <v>0.15</v>
      </c>
      <c r="I19" s="768" t="s">
        <v>1418</v>
      </c>
    </row>
    <row r="20" spans="1:9" x14ac:dyDescent="0.25">
      <c r="A20" s="753">
        <v>1000624</v>
      </c>
      <c r="B20" s="130">
        <v>85460</v>
      </c>
      <c r="C20" s="131" t="s">
        <v>933</v>
      </c>
      <c r="D20" s="131">
        <v>16</v>
      </c>
      <c r="E20" s="131" t="s">
        <v>933</v>
      </c>
      <c r="F20" s="767">
        <v>1138484</v>
      </c>
      <c r="G20" s="767">
        <v>85460</v>
      </c>
      <c r="H20" s="767">
        <v>1223944</v>
      </c>
      <c r="I20" s="768" t="s">
        <v>1419</v>
      </c>
    </row>
    <row r="21" spans="1:9" x14ac:dyDescent="0.25">
      <c r="A21" s="753">
        <v>1000625</v>
      </c>
      <c r="B21" s="130">
        <v>2</v>
      </c>
      <c r="C21" s="131" t="s">
        <v>934</v>
      </c>
      <c r="D21" s="131">
        <v>16</v>
      </c>
      <c r="E21" s="131" t="s">
        <v>934</v>
      </c>
      <c r="F21" s="767">
        <v>0.21</v>
      </c>
      <c r="G21" s="767">
        <v>0.02</v>
      </c>
      <c r="H21" s="767">
        <v>0.23</v>
      </c>
      <c r="I21" s="768" t="s">
        <v>1420</v>
      </c>
    </row>
    <row r="22" spans="1:9" x14ac:dyDescent="0.25">
      <c r="A22" s="753">
        <v>1000718</v>
      </c>
      <c r="B22" s="130">
        <v>141543</v>
      </c>
      <c r="C22" s="131" t="s">
        <v>935</v>
      </c>
      <c r="D22" s="131">
        <v>16</v>
      </c>
      <c r="E22" s="131" t="s">
        <v>935</v>
      </c>
      <c r="F22" s="767">
        <v>904964</v>
      </c>
      <c r="G22" s="767">
        <v>141543</v>
      </c>
      <c r="H22" s="767">
        <v>1046507</v>
      </c>
      <c r="I22" s="768" t="s">
        <v>1421</v>
      </c>
    </row>
    <row r="23" spans="1:9" x14ac:dyDescent="0.25">
      <c r="A23" s="753">
        <v>1000719</v>
      </c>
      <c r="B23" s="130">
        <v>3</v>
      </c>
      <c r="C23" s="131" t="s">
        <v>936</v>
      </c>
      <c r="D23" s="131">
        <v>16</v>
      </c>
      <c r="E23" s="131" t="s">
        <v>936</v>
      </c>
      <c r="F23" s="767">
        <v>0.24</v>
      </c>
      <c r="G23" s="767">
        <v>0.03</v>
      </c>
      <c r="H23" s="767">
        <v>0.27</v>
      </c>
      <c r="I23" s="768" t="s">
        <v>1422</v>
      </c>
    </row>
    <row r="24" spans="1:9" x14ac:dyDescent="0.25">
      <c r="A24" s="753">
        <v>1000720</v>
      </c>
      <c r="B24" s="130">
        <v>40477</v>
      </c>
      <c r="C24" s="131" t="s">
        <v>937</v>
      </c>
      <c r="D24" s="131">
        <v>16</v>
      </c>
      <c r="E24" s="131" t="s">
        <v>937</v>
      </c>
      <c r="F24" s="767">
        <v>654728</v>
      </c>
      <c r="G24" s="767">
        <v>40477</v>
      </c>
      <c r="H24" s="767">
        <v>695205</v>
      </c>
      <c r="I24" s="768" t="s">
        <v>1423</v>
      </c>
    </row>
    <row r="25" spans="1:9" x14ac:dyDescent="0.25">
      <c r="A25" s="753">
        <v>1000721</v>
      </c>
      <c r="B25" s="130">
        <v>1</v>
      </c>
      <c r="C25" s="131" t="s">
        <v>938</v>
      </c>
      <c r="D25" s="131">
        <v>16</v>
      </c>
      <c r="E25" s="131" t="s">
        <v>938</v>
      </c>
      <c r="F25" s="767">
        <v>0.15</v>
      </c>
      <c r="G25" s="767">
        <v>0.01</v>
      </c>
      <c r="H25" s="767">
        <v>0.16</v>
      </c>
      <c r="I25" s="768" t="s">
        <v>1424</v>
      </c>
    </row>
    <row r="26" spans="1:9" x14ac:dyDescent="0.25">
      <c r="A26" s="753">
        <v>1000722</v>
      </c>
      <c r="B26" s="130">
        <v>0</v>
      </c>
      <c r="C26" s="131" t="s">
        <v>939</v>
      </c>
      <c r="D26" s="131">
        <v>16</v>
      </c>
      <c r="E26" s="131" t="s">
        <v>939</v>
      </c>
      <c r="F26" s="767">
        <v>387831</v>
      </c>
      <c r="G26" s="767">
        <v>0</v>
      </c>
      <c r="H26" s="767">
        <v>387831</v>
      </c>
      <c r="I26" s="768" t="s">
        <v>1425</v>
      </c>
    </row>
    <row r="27" spans="1:9" x14ac:dyDescent="0.25">
      <c r="A27" s="753">
        <v>1000723</v>
      </c>
      <c r="B27" s="130">
        <v>0</v>
      </c>
      <c r="C27" s="131" t="s">
        <v>940</v>
      </c>
      <c r="D27" s="131">
        <v>16</v>
      </c>
      <c r="E27" s="131" t="s">
        <v>940</v>
      </c>
      <c r="F27" s="767">
        <v>0.09</v>
      </c>
      <c r="G27" s="767">
        <v>0</v>
      </c>
      <c r="H27" s="767">
        <v>0.09</v>
      </c>
      <c r="I27" s="768" t="s">
        <v>1426</v>
      </c>
    </row>
    <row r="28" spans="1:9" x14ac:dyDescent="0.25">
      <c r="A28" s="753">
        <v>1000724</v>
      </c>
      <c r="B28" s="130">
        <v>18275</v>
      </c>
      <c r="C28" s="131" t="s">
        <v>941</v>
      </c>
      <c r="D28" s="131">
        <v>16</v>
      </c>
      <c r="E28" s="131" t="s">
        <v>941</v>
      </c>
      <c r="F28" s="767">
        <v>1085470</v>
      </c>
      <c r="G28" s="767">
        <v>18275</v>
      </c>
      <c r="H28" s="767">
        <v>1103745</v>
      </c>
      <c r="I28" s="768" t="s">
        <v>1427</v>
      </c>
    </row>
    <row r="29" spans="1:9" x14ac:dyDescent="0.25">
      <c r="A29" s="753">
        <v>1000725</v>
      </c>
      <c r="B29" s="130">
        <v>1</v>
      </c>
      <c r="C29" s="131" t="s">
        <v>942</v>
      </c>
      <c r="D29" s="131">
        <v>16</v>
      </c>
      <c r="E29" s="131" t="s">
        <v>942</v>
      </c>
      <c r="F29" s="767">
        <v>0.24</v>
      </c>
      <c r="G29" s="767">
        <v>0.01</v>
      </c>
      <c r="H29" s="767">
        <v>0.25</v>
      </c>
      <c r="I29" s="768" t="s">
        <v>1428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126300</v>
      </c>
      <c r="C38" s="131" t="s">
        <v>943</v>
      </c>
      <c r="D38" s="131">
        <v>16</v>
      </c>
      <c r="E38" s="131" t="s">
        <v>943</v>
      </c>
      <c r="F38" s="767">
        <v>1101456</v>
      </c>
      <c r="G38" s="767">
        <v>126300</v>
      </c>
      <c r="H38" s="767">
        <v>1227756</v>
      </c>
      <c r="I38" s="768" t="s">
        <v>1429</v>
      </c>
    </row>
    <row r="39" spans="1:9" x14ac:dyDescent="0.25">
      <c r="A39" s="753">
        <v>1000919</v>
      </c>
      <c r="B39" s="130">
        <v>3</v>
      </c>
      <c r="C39" s="131" t="s">
        <v>944</v>
      </c>
      <c r="D39" s="131">
        <v>16</v>
      </c>
      <c r="E39" s="131" t="s">
        <v>944</v>
      </c>
      <c r="F39" s="767">
        <v>0.41</v>
      </c>
      <c r="G39" s="767">
        <v>0.03</v>
      </c>
      <c r="H39" s="767">
        <v>0.44</v>
      </c>
      <c r="I39" s="768" t="s">
        <v>1430</v>
      </c>
    </row>
    <row r="40" spans="1:9" x14ac:dyDescent="0.25">
      <c r="A40" s="753">
        <v>1000920</v>
      </c>
      <c r="B40" s="130">
        <v>58859</v>
      </c>
      <c r="C40" s="131" t="s">
        <v>945</v>
      </c>
      <c r="D40" s="131">
        <v>16</v>
      </c>
      <c r="E40" s="131" t="s">
        <v>945</v>
      </c>
      <c r="F40" s="767">
        <v>585091</v>
      </c>
      <c r="G40" s="767">
        <v>58859</v>
      </c>
      <c r="H40" s="767">
        <v>643950</v>
      </c>
      <c r="I40" s="768" t="s">
        <v>1431</v>
      </c>
    </row>
    <row r="41" spans="1:9" x14ac:dyDescent="0.25">
      <c r="A41" s="753">
        <v>1000921</v>
      </c>
      <c r="B41" s="130">
        <v>2</v>
      </c>
      <c r="C41" s="131" t="s">
        <v>946</v>
      </c>
      <c r="D41" s="131">
        <v>16</v>
      </c>
      <c r="E41" s="131" t="s">
        <v>946</v>
      </c>
      <c r="F41" s="767">
        <v>0.18</v>
      </c>
      <c r="G41" s="767">
        <v>0.02</v>
      </c>
      <c r="H41" s="767">
        <v>0.2</v>
      </c>
      <c r="I41" s="768" t="s">
        <v>1432</v>
      </c>
    </row>
    <row r="42" spans="1:9" x14ac:dyDescent="0.25">
      <c r="A42" s="753">
        <v>1000922</v>
      </c>
      <c r="B42" s="130">
        <v>0</v>
      </c>
      <c r="C42" s="131" t="s">
        <v>947</v>
      </c>
      <c r="D42" s="131">
        <v>16</v>
      </c>
      <c r="E42" s="131" t="s">
        <v>947</v>
      </c>
      <c r="F42" s="767">
        <v>368507</v>
      </c>
      <c r="G42" s="767">
        <v>0</v>
      </c>
      <c r="H42" s="767">
        <v>368507</v>
      </c>
      <c r="I42" s="768" t="s">
        <v>1433</v>
      </c>
    </row>
    <row r="43" spans="1:9" x14ac:dyDescent="0.25">
      <c r="A43" s="753">
        <v>1000923</v>
      </c>
      <c r="B43" s="130">
        <v>0</v>
      </c>
      <c r="C43" s="131" t="s">
        <v>948</v>
      </c>
      <c r="D43" s="131">
        <v>16</v>
      </c>
      <c r="E43" s="131" t="s">
        <v>948</v>
      </c>
      <c r="F43" s="767">
        <v>0.1</v>
      </c>
      <c r="G43" s="767">
        <v>0</v>
      </c>
      <c r="H43" s="767">
        <v>0.1</v>
      </c>
      <c r="I43" s="768" t="s">
        <v>1434</v>
      </c>
    </row>
    <row r="44" spans="1:9" x14ac:dyDescent="0.25">
      <c r="A44" s="753">
        <v>1000924</v>
      </c>
      <c r="B44" s="130">
        <v>1026</v>
      </c>
      <c r="C44" s="131" t="s">
        <v>949</v>
      </c>
      <c r="D44" s="131">
        <v>16</v>
      </c>
      <c r="E44" s="131" t="s">
        <v>949</v>
      </c>
      <c r="F44" s="767">
        <v>605302</v>
      </c>
      <c r="G44" s="767">
        <v>1026</v>
      </c>
      <c r="H44" s="767">
        <v>606328</v>
      </c>
      <c r="I44" s="768" t="s">
        <v>1435</v>
      </c>
    </row>
    <row r="45" spans="1:9" x14ac:dyDescent="0.25">
      <c r="A45" s="753">
        <v>1000925</v>
      </c>
      <c r="B45" s="130">
        <v>1</v>
      </c>
      <c r="C45" s="131" t="s">
        <v>950</v>
      </c>
      <c r="D45" s="131">
        <v>16</v>
      </c>
      <c r="E45" s="131" t="s">
        <v>950</v>
      </c>
      <c r="F45" s="767">
        <v>0.22</v>
      </c>
      <c r="G45" s="767">
        <v>0.01</v>
      </c>
      <c r="H45" s="767">
        <v>0.23</v>
      </c>
      <c r="I45" s="768" t="s">
        <v>1436</v>
      </c>
    </row>
    <row r="46" spans="1:9" x14ac:dyDescent="0.25">
      <c r="A46" s="753">
        <v>1002004</v>
      </c>
      <c r="B46" s="130">
        <v>17995</v>
      </c>
      <c r="C46" s="131" t="s">
        <v>951</v>
      </c>
      <c r="D46" s="131">
        <v>16</v>
      </c>
      <c r="E46" s="131" t="s">
        <v>951</v>
      </c>
      <c r="F46" s="767">
        <v>179.95</v>
      </c>
      <c r="G46" s="767">
        <v>0</v>
      </c>
      <c r="H46" s="767">
        <v>179.95</v>
      </c>
      <c r="I46" s="768" t="s">
        <v>1437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952</v>
      </c>
      <c r="D50" s="131">
        <v>16</v>
      </c>
      <c r="E50" s="131" t="s">
        <v>952</v>
      </c>
      <c r="F50" s="767">
        <v>135.24</v>
      </c>
      <c r="G50" s="767">
        <v>0</v>
      </c>
      <c r="H50" s="767">
        <v>135.24</v>
      </c>
      <c r="I50" s="768" t="s">
        <v>1438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953</v>
      </c>
      <c r="D54" s="131">
        <v>16</v>
      </c>
      <c r="E54" s="131" t="s">
        <v>953</v>
      </c>
      <c r="F54" s="767">
        <v>179.95</v>
      </c>
      <c r="G54" s="767">
        <v>0</v>
      </c>
      <c r="H54" s="767">
        <v>179.95</v>
      </c>
      <c r="I54" s="768" t="s">
        <v>1439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954</v>
      </c>
      <c r="D58" s="131">
        <v>16</v>
      </c>
      <c r="E58" s="131" t="s">
        <v>954</v>
      </c>
      <c r="F58" s="767">
        <v>70</v>
      </c>
      <c r="G58" s="767">
        <v>0</v>
      </c>
      <c r="H58" s="767">
        <v>70</v>
      </c>
      <c r="I58" s="768" t="s">
        <v>1440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955</v>
      </c>
      <c r="D60" s="131">
        <v>16</v>
      </c>
      <c r="E60" s="131" t="s">
        <v>955</v>
      </c>
      <c r="F60" s="767">
        <v>0.08</v>
      </c>
      <c r="G60" s="767">
        <v>0</v>
      </c>
      <c r="H60" s="767">
        <v>0.08</v>
      </c>
      <c r="I60" s="768" t="s">
        <v>1441</v>
      </c>
    </row>
    <row r="61" spans="1:9" x14ac:dyDescent="0.25">
      <c r="A61" s="753">
        <v>1002408</v>
      </c>
      <c r="B61" s="130">
        <v>4</v>
      </c>
      <c r="C61" s="131" t="s">
        <v>956</v>
      </c>
      <c r="D61" s="131">
        <v>16</v>
      </c>
      <c r="E61" s="131" t="s">
        <v>956</v>
      </c>
      <c r="F61" s="767">
        <v>0.04</v>
      </c>
      <c r="G61" s="767">
        <v>0</v>
      </c>
      <c r="H61" s="767">
        <v>0.04</v>
      </c>
      <c r="I61" s="768" t="s">
        <v>1442</v>
      </c>
    </row>
    <row r="62" spans="1:9" x14ac:dyDescent="0.25">
      <c r="A62" s="753">
        <v>1002414</v>
      </c>
      <c r="B62" s="130">
        <v>22</v>
      </c>
      <c r="C62" s="131">
        <v>179</v>
      </c>
      <c r="D62" s="131">
        <v>16</v>
      </c>
      <c r="E62" s="131">
        <v>179</v>
      </c>
      <c r="F62" s="767">
        <v>1.89</v>
      </c>
      <c r="G62" s="767">
        <v>0.22</v>
      </c>
      <c r="H62" s="767">
        <v>2.11</v>
      </c>
      <c r="I62" s="768" t="s">
        <v>1443</v>
      </c>
    </row>
    <row r="63" spans="1:9" x14ac:dyDescent="0.25">
      <c r="A63" s="753">
        <v>1002620</v>
      </c>
      <c r="B63" s="130">
        <v>100</v>
      </c>
      <c r="C63" s="131" t="s">
        <v>957</v>
      </c>
      <c r="D63" s="131">
        <v>16</v>
      </c>
      <c r="E63" s="131" t="s">
        <v>957</v>
      </c>
      <c r="F63" s="767">
        <v>1</v>
      </c>
      <c r="G63" s="767">
        <v>0</v>
      </c>
      <c r="H63" s="767">
        <v>1</v>
      </c>
      <c r="I63" s="768" t="s">
        <v>1444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958</v>
      </c>
      <c r="D65" s="131">
        <v>16</v>
      </c>
      <c r="E65" s="131" t="s">
        <v>958</v>
      </c>
      <c r="F65" s="767">
        <v>0.5</v>
      </c>
      <c r="G65" s="767">
        <v>0</v>
      </c>
      <c r="H65" s="767">
        <v>0.5</v>
      </c>
      <c r="I65" s="768" t="s">
        <v>1445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959</v>
      </c>
      <c r="D67" s="131">
        <v>16</v>
      </c>
      <c r="E67" s="131" t="s">
        <v>959</v>
      </c>
      <c r="F67" s="767">
        <v>0.5</v>
      </c>
      <c r="G67" s="767">
        <v>0</v>
      </c>
      <c r="H67" s="767">
        <v>0.5</v>
      </c>
      <c r="I67" s="768" t="s">
        <v>1446</v>
      </c>
    </row>
    <row r="68" spans="1:9" x14ac:dyDescent="0.25">
      <c r="A68" s="753">
        <v>1002714</v>
      </c>
      <c r="B68" s="130">
        <v>50</v>
      </c>
      <c r="C68" s="131" t="s">
        <v>960</v>
      </c>
      <c r="D68" s="131">
        <v>16</v>
      </c>
      <c r="E68" s="131" t="s">
        <v>960</v>
      </c>
      <c r="F68" s="767">
        <v>0.5</v>
      </c>
      <c r="G68" s="767">
        <v>0</v>
      </c>
      <c r="H68" s="767">
        <v>0.5</v>
      </c>
      <c r="I68" s="768" t="s">
        <v>1447</v>
      </c>
    </row>
    <row r="69" spans="1:9" x14ac:dyDescent="0.25">
      <c r="A69" s="753">
        <v>1002716</v>
      </c>
      <c r="B69" s="130">
        <v>50</v>
      </c>
      <c r="C69" s="131" t="s">
        <v>961</v>
      </c>
      <c r="D69" s="131">
        <v>16</v>
      </c>
      <c r="E69" s="131" t="s">
        <v>961</v>
      </c>
      <c r="F69" s="767">
        <v>0.5</v>
      </c>
      <c r="G69" s="767">
        <v>0</v>
      </c>
      <c r="H69" s="767">
        <v>0.5</v>
      </c>
      <c r="I69" s="768" t="s">
        <v>1448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962</v>
      </c>
      <c r="D71" s="131">
        <v>16</v>
      </c>
      <c r="E71" s="131" t="s">
        <v>962</v>
      </c>
      <c r="F71" s="767">
        <v>0.5</v>
      </c>
      <c r="G71" s="767">
        <v>0</v>
      </c>
      <c r="H71" s="767">
        <v>0.5</v>
      </c>
      <c r="I71" s="768" t="s">
        <v>1449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963</v>
      </c>
      <c r="D73" s="131">
        <v>16</v>
      </c>
      <c r="E73" s="131" t="s">
        <v>963</v>
      </c>
      <c r="F73" s="767">
        <v>2</v>
      </c>
      <c r="G73" s="767">
        <v>0</v>
      </c>
      <c r="H73" s="767">
        <v>2</v>
      </c>
      <c r="I73" s="768" t="s">
        <v>1450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767">
        <v>1</v>
      </c>
      <c r="G74" s="767">
        <v>0</v>
      </c>
      <c r="H74" s="767">
        <v>1</v>
      </c>
      <c r="I74" s="768" t="s">
        <v>1451</v>
      </c>
    </row>
    <row r="75" spans="1:9" x14ac:dyDescent="0.25">
      <c r="A75" s="753">
        <v>1002812</v>
      </c>
      <c r="B75" s="130">
        <v>200</v>
      </c>
      <c r="C75" s="131" t="s">
        <v>964</v>
      </c>
      <c r="D75" s="131">
        <v>16</v>
      </c>
      <c r="E75" s="131" t="s">
        <v>964</v>
      </c>
      <c r="F75" s="767">
        <v>2</v>
      </c>
      <c r="G75" s="767">
        <v>0</v>
      </c>
      <c r="H75" s="767">
        <v>2</v>
      </c>
      <c r="I75" s="768" t="s">
        <v>1452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965</v>
      </c>
      <c r="D83" s="131">
        <v>16</v>
      </c>
      <c r="E83" s="131" t="s">
        <v>965</v>
      </c>
      <c r="F83" s="767">
        <v>2</v>
      </c>
      <c r="G83" s="767">
        <v>0</v>
      </c>
      <c r="H83" s="767">
        <v>2</v>
      </c>
      <c r="I83" s="768" t="s">
        <v>1453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600</v>
      </c>
      <c r="C85" s="131" t="s">
        <v>966</v>
      </c>
      <c r="D85" s="131">
        <v>16</v>
      </c>
      <c r="E85" s="131" t="s">
        <v>966</v>
      </c>
      <c r="F85" s="767">
        <v>6</v>
      </c>
      <c r="G85" s="767">
        <v>0</v>
      </c>
      <c r="H85" s="767">
        <v>6</v>
      </c>
      <c r="I85" s="768" t="s">
        <v>1454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600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200</v>
      </c>
      <c r="C91" s="131" t="s">
        <v>967</v>
      </c>
      <c r="D91" s="131">
        <v>16</v>
      </c>
      <c r="E91" s="131" t="s">
        <v>967</v>
      </c>
      <c r="F91" s="767">
        <v>2</v>
      </c>
      <c r="G91" s="767">
        <v>0</v>
      </c>
      <c r="H91" s="767">
        <v>2</v>
      </c>
      <c r="I91" s="768" t="s">
        <v>1455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200</v>
      </c>
      <c r="E93" s="131"/>
    </row>
    <row r="94" spans="1:9" x14ac:dyDescent="0.25">
      <c r="A94" s="753">
        <v>1003508</v>
      </c>
      <c r="B94" s="130">
        <v>50</v>
      </c>
      <c r="C94" s="131" t="s">
        <v>968</v>
      </c>
      <c r="D94" s="131">
        <v>16</v>
      </c>
      <c r="E94" s="131" t="s">
        <v>968</v>
      </c>
      <c r="F94" s="767">
        <v>0.5</v>
      </c>
      <c r="G94" s="767">
        <v>0</v>
      </c>
      <c r="H94" s="767">
        <v>0.5</v>
      </c>
      <c r="I94" s="768" t="s">
        <v>1456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969</v>
      </c>
      <c r="D96" s="131">
        <v>16</v>
      </c>
      <c r="E96" s="131" t="s">
        <v>969</v>
      </c>
      <c r="F96" s="767">
        <v>0.5</v>
      </c>
      <c r="G96" s="767">
        <v>0</v>
      </c>
      <c r="H96" s="767">
        <v>0.5</v>
      </c>
      <c r="I96" s="768" t="s">
        <v>1457</v>
      </c>
    </row>
    <row r="97" spans="1:9" x14ac:dyDescent="0.25">
      <c r="A97" s="753">
        <v>1003514</v>
      </c>
      <c r="B97" s="130">
        <v>150</v>
      </c>
      <c r="C97" s="131" t="s">
        <v>970</v>
      </c>
      <c r="D97" s="131">
        <v>16</v>
      </c>
      <c r="E97" s="131" t="s">
        <v>970</v>
      </c>
      <c r="F97" s="767">
        <v>1.5</v>
      </c>
      <c r="G97" s="767">
        <v>0</v>
      </c>
      <c r="H97" s="767">
        <v>1.5</v>
      </c>
      <c r="I97" s="768" t="s">
        <v>1458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971</v>
      </c>
      <c r="D100" s="131">
        <v>16</v>
      </c>
      <c r="E100" s="131" t="s">
        <v>971</v>
      </c>
      <c r="F100" s="767">
        <v>2</v>
      </c>
      <c r="G100" s="767">
        <v>0</v>
      </c>
      <c r="H100" s="767">
        <v>2</v>
      </c>
      <c r="I100" s="768" t="s">
        <v>1459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1000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2300</v>
      </c>
      <c r="E109" s="131"/>
    </row>
    <row r="110" spans="1:9" x14ac:dyDescent="0.25">
      <c r="A110" s="753">
        <v>1005124</v>
      </c>
      <c r="B110" s="130">
        <v>16838</v>
      </c>
      <c r="C110" s="131" t="s">
        <v>972</v>
      </c>
      <c r="D110" s="131">
        <v>16</v>
      </c>
      <c r="E110" s="131" t="s">
        <v>972</v>
      </c>
      <c r="F110" s="767">
        <v>163.65</v>
      </c>
      <c r="G110" s="767">
        <v>4.7300000000000004</v>
      </c>
      <c r="H110" s="767">
        <v>168.38</v>
      </c>
      <c r="I110" s="768" t="s">
        <v>1460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767">
        <v>-446.69</v>
      </c>
      <c r="G113" s="767">
        <v>0</v>
      </c>
      <c r="H113" s="767">
        <v>-446.69</v>
      </c>
      <c r="I113" s="768" t="s">
        <v>1461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767">
        <v>-446.69</v>
      </c>
      <c r="G114" s="767">
        <v>0</v>
      </c>
      <c r="H114" s="767">
        <v>-446.69</v>
      </c>
      <c r="I114" s="768" t="s">
        <v>1461</v>
      </c>
    </row>
    <row r="115" spans="1:9" x14ac:dyDescent="0.25">
      <c r="A115" s="753">
        <v>1005412</v>
      </c>
      <c r="B115" s="130">
        <v>0</v>
      </c>
      <c r="C115" s="131">
        <v>801</v>
      </c>
      <c r="D115" s="131">
        <v>16</v>
      </c>
      <c r="E115" s="131">
        <v>801</v>
      </c>
      <c r="F115" s="767">
        <v>-70.55</v>
      </c>
      <c r="G115" s="767">
        <v>-0.01</v>
      </c>
      <c r="H115" s="767">
        <v>-70.56</v>
      </c>
      <c r="I115" s="768" t="s">
        <v>1462</v>
      </c>
    </row>
    <row r="116" spans="1:9" x14ac:dyDescent="0.25">
      <c r="A116" s="753">
        <v>1005414</v>
      </c>
      <c r="B116" s="130">
        <v>71</v>
      </c>
      <c r="C116" s="131">
        <v>801</v>
      </c>
      <c r="D116" s="131">
        <v>16</v>
      </c>
      <c r="E116" s="131">
        <v>801</v>
      </c>
      <c r="F116" s="767">
        <v>-70.55</v>
      </c>
      <c r="G116" s="767">
        <v>-0.01</v>
      </c>
      <c r="H116" s="767">
        <v>-70.56</v>
      </c>
      <c r="I116" s="768" t="s">
        <v>1462</v>
      </c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533</v>
      </c>
      <c r="C118" s="131">
        <v>805</v>
      </c>
      <c r="D118" s="131">
        <v>16</v>
      </c>
      <c r="E118" s="131">
        <v>805</v>
      </c>
      <c r="F118" s="767">
        <v>-173658.79</v>
      </c>
      <c r="G118" s="767">
        <v>-533.37</v>
      </c>
      <c r="H118" s="767">
        <v>-174192.16</v>
      </c>
      <c r="I118" s="768" t="s">
        <v>1463</v>
      </c>
    </row>
    <row r="119" spans="1:9" x14ac:dyDescent="0.25">
      <c r="A119" s="753">
        <v>1005514</v>
      </c>
      <c r="B119" s="130">
        <v>174192</v>
      </c>
      <c r="C119" s="131">
        <v>805</v>
      </c>
      <c r="D119" s="131">
        <v>16</v>
      </c>
      <c r="E119" s="131">
        <v>805</v>
      </c>
      <c r="F119" s="767">
        <v>-173658.79</v>
      </c>
      <c r="G119" s="767">
        <v>-533.37</v>
      </c>
      <c r="H119" s="767">
        <v>-174192.16</v>
      </c>
      <c r="I119" s="768" t="s">
        <v>1463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21659</v>
      </c>
      <c r="C130" s="131" t="s">
        <v>43</v>
      </c>
      <c r="D130" s="131">
        <v>16</v>
      </c>
      <c r="E130" s="131" t="s">
        <v>43</v>
      </c>
      <c r="F130" s="767">
        <v>-158387.44</v>
      </c>
      <c r="G130" s="767">
        <v>-21659.19</v>
      </c>
      <c r="H130" s="767">
        <v>-180046.63</v>
      </c>
      <c r="I130" s="768" t="s">
        <v>15</v>
      </c>
    </row>
    <row r="131" spans="1:9" x14ac:dyDescent="0.25">
      <c r="A131" s="753">
        <v>1005814</v>
      </c>
      <c r="B131" s="130">
        <v>180047</v>
      </c>
      <c r="C131" s="131" t="s">
        <v>43</v>
      </c>
      <c r="D131" s="131">
        <v>16</v>
      </c>
      <c r="E131" s="131" t="s">
        <v>43</v>
      </c>
      <c r="F131" s="767">
        <v>-158387.44</v>
      </c>
      <c r="G131" s="767">
        <v>-21659.19</v>
      </c>
      <c r="H131" s="767">
        <v>-180046.63</v>
      </c>
      <c r="I131" s="768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49413</v>
      </c>
      <c r="C134" s="131">
        <v>815</v>
      </c>
      <c r="D134" s="131">
        <v>16</v>
      </c>
      <c r="E134" s="131">
        <v>815</v>
      </c>
      <c r="F134" s="767">
        <v>-281903.14</v>
      </c>
      <c r="G134" s="767">
        <v>-46412.76</v>
      </c>
      <c r="H134" s="767">
        <v>-328315.90000000002</v>
      </c>
      <c r="I134" s="768" t="s">
        <v>1464</v>
      </c>
    </row>
    <row r="135" spans="1:9" x14ac:dyDescent="0.25">
      <c r="A135" s="753"/>
      <c r="C135" s="131">
        <v>815</v>
      </c>
      <c r="D135" s="131">
        <v>16</v>
      </c>
      <c r="E135" s="131" t="s">
        <v>1465</v>
      </c>
      <c r="F135" s="767">
        <v>-13050</v>
      </c>
      <c r="G135" s="767">
        <v>-3000</v>
      </c>
      <c r="H135" s="767">
        <v>-16050</v>
      </c>
      <c r="I135" s="768" t="s">
        <v>1466</v>
      </c>
    </row>
    <row r="136" spans="1:9" x14ac:dyDescent="0.25">
      <c r="A136" s="753">
        <v>1006014</v>
      </c>
      <c r="B136" s="130">
        <v>344366</v>
      </c>
      <c r="C136" s="131">
        <v>815</v>
      </c>
      <c r="D136" s="131">
        <v>16</v>
      </c>
      <c r="E136" s="131">
        <v>815</v>
      </c>
      <c r="F136" s="767">
        <v>-281903.14</v>
      </c>
      <c r="G136" s="767">
        <v>-46412.76</v>
      </c>
      <c r="H136" s="767">
        <v>-328315.90000000002</v>
      </c>
      <c r="I136" s="768" t="s">
        <v>1464</v>
      </c>
    </row>
    <row r="137" spans="1:9" x14ac:dyDescent="0.25">
      <c r="A137" s="753"/>
      <c r="C137" s="131">
        <v>815</v>
      </c>
      <c r="D137" s="131">
        <v>16</v>
      </c>
      <c r="E137" s="131" t="s">
        <v>1465</v>
      </c>
      <c r="F137" s="767">
        <v>-13050</v>
      </c>
      <c r="G137" s="767">
        <v>-3000</v>
      </c>
      <c r="H137" s="767">
        <v>-16050</v>
      </c>
      <c r="I137" s="768" t="s">
        <v>1466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71605</v>
      </c>
      <c r="E140" s="131"/>
    </row>
    <row r="141" spans="1:9" x14ac:dyDescent="0.25">
      <c r="A141" s="753">
        <v>1006214</v>
      </c>
      <c r="B141" s="130">
        <v>698676</v>
      </c>
      <c r="E141" s="131"/>
    </row>
    <row r="142" spans="1:9" x14ac:dyDescent="0.25">
      <c r="A142" s="753">
        <v>900112</v>
      </c>
      <c r="B142" s="130">
        <v>48</v>
      </c>
      <c r="C142" s="131" t="s">
        <v>975</v>
      </c>
      <c r="D142" s="131">
        <v>16</v>
      </c>
      <c r="E142" s="131" t="s">
        <v>975</v>
      </c>
      <c r="F142" s="767">
        <v>-3.75</v>
      </c>
      <c r="G142" s="767">
        <v>-0.48</v>
      </c>
      <c r="H142" s="767">
        <v>-4.2300000000000004</v>
      </c>
      <c r="I142" s="768" t="s">
        <v>1467</v>
      </c>
    </row>
    <row r="143" spans="1:9" x14ac:dyDescent="0.25">
      <c r="A143" s="753">
        <v>900114</v>
      </c>
      <c r="B143" s="130">
        <v>17796</v>
      </c>
      <c r="C143" s="131" t="s">
        <v>10</v>
      </c>
      <c r="D143" s="131">
        <v>16</v>
      </c>
      <c r="E143" s="131" t="s">
        <v>10</v>
      </c>
      <c r="F143" s="767">
        <v>-203433.86</v>
      </c>
      <c r="G143" s="767">
        <v>-17795.72</v>
      </c>
      <c r="H143" s="767">
        <v>-221229.58</v>
      </c>
      <c r="I143" s="768" t="s">
        <v>1468</v>
      </c>
    </row>
    <row r="144" spans="1:9" x14ac:dyDescent="0.25">
      <c r="A144" s="753">
        <v>900116</v>
      </c>
      <c r="B144" s="130">
        <v>7429</v>
      </c>
      <c r="C144" s="131" t="s">
        <v>10</v>
      </c>
      <c r="D144" s="131">
        <v>16</v>
      </c>
      <c r="E144" s="131" t="s">
        <v>10</v>
      </c>
      <c r="F144" s="767">
        <v>-203433.86</v>
      </c>
      <c r="G144" s="767">
        <v>-17795.72</v>
      </c>
      <c r="H144" s="767">
        <v>-221229.58</v>
      </c>
      <c r="I144" s="768" t="s">
        <v>1468</v>
      </c>
    </row>
    <row r="145" spans="1:9" x14ac:dyDescent="0.25">
      <c r="A145" s="753"/>
      <c r="C145" s="131" t="s">
        <v>976</v>
      </c>
      <c r="D145" s="131">
        <v>16</v>
      </c>
      <c r="E145" s="131" t="s">
        <v>976</v>
      </c>
      <c r="F145" s="767">
        <v>125114.1</v>
      </c>
      <c r="G145" s="767">
        <v>10366.67</v>
      </c>
      <c r="H145" s="767">
        <v>135480.76999999999</v>
      </c>
      <c r="I145" s="768" t="s">
        <v>1469</v>
      </c>
    </row>
    <row r="146" spans="1:9" x14ac:dyDescent="0.25">
      <c r="A146" s="753">
        <v>900118</v>
      </c>
      <c r="B146" s="130">
        <v>417</v>
      </c>
      <c r="E146" s="131"/>
    </row>
    <row r="147" spans="1:9" x14ac:dyDescent="0.25">
      <c r="A147" s="753">
        <v>900122</v>
      </c>
      <c r="B147" s="130">
        <v>423</v>
      </c>
      <c r="C147" s="131" t="s">
        <v>975</v>
      </c>
      <c r="D147" s="131">
        <v>16</v>
      </c>
      <c r="E147" s="131" t="s">
        <v>975</v>
      </c>
      <c r="F147" s="767">
        <v>-3.75</v>
      </c>
      <c r="G147" s="767">
        <v>-0.48</v>
      </c>
      <c r="H147" s="767">
        <v>-4.2300000000000004</v>
      </c>
      <c r="I147" s="768" t="s">
        <v>1467</v>
      </c>
    </row>
    <row r="148" spans="1:9" x14ac:dyDescent="0.25">
      <c r="A148" s="753">
        <v>900124</v>
      </c>
      <c r="B148" s="130">
        <v>221230</v>
      </c>
      <c r="C148" s="131" t="s">
        <v>10</v>
      </c>
      <c r="D148" s="131">
        <v>16</v>
      </c>
      <c r="E148" s="131" t="s">
        <v>10</v>
      </c>
      <c r="F148" s="767">
        <v>-203433.86</v>
      </c>
      <c r="G148" s="767">
        <v>-17795.72</v>
      </c>
      <c r="H148" s="767">
        <v>-221229.58</v>
      </c>
      <c r="I148" s="768" t="s">
        <v>1468</v>
      </c>
    </row>
    <row r="149" spans="1:9" x14ac:dyDescent="0.25">
      <c r="A149" s="753">
        <v>900126</v>
      </c>
      <c r="B149" s="130">
        <v>85749</v>
      </c>
      <c r="C149" s="131" t="s">
        <v>10</v>
      </c>
      <c r="D149" s="131">
        <v>16</v>
      </c>
      <c r="E149" s="131" t="s">
        <v>10</v>
      </c>
      <c r="F149" s="767">
        <v>-203433.86</v>
      </c>
      <c r="G149" s="767">
        <v>-17795.72</v>
      </c>
      <c r="H149" s="767">
        <v>-221229.58</v>
      </c>
      <c r="I149" s="768" t="s">
        <v>1468</v>
      </c>
    </row>
    <row r="150" spans="1:9" x14ac:dyDescent="0.25">
      <c r="A150" s="753"/>
      <c r="C150" s="131" t="s">
        <v>976</v>
      </c>
      <c r="D150" s="131">
        <v>16</v>
      </c>
      <c r="E150" s="131" t="s">
        <v>976</v>
      </c>
      <c r="F150" s="767">
        <v>125114.1</v>
      </c>
      <c r="G150" s="767">
        <v>10366.67</v>
      </c>
      <c r="H150" s="767">
        <v>135480.76999999999</v>
      </c>
      <c r="I150" s="768" t="s">
        <v>1469</v>
      </c>
    </row>
    <row r="151" spans="1:9" x14ac:dyDescent="0.25">
      <c r="A151" s="753">
        <v>900128</v>
      </c>
      <c r="B151" s="130">
        <v>388</v>
      </c>
      <c r="E151" s="131"/>
    </row>
    <row r="152" spans="1:9" x14ac:dyDescent="0.25">
      <c r="A152" s="753">
        <v>900212</v>
      </c>
      <c r="B152" s="130">
        <v>65</v>
      </c>
      <c r="C152" s="131" t="s">
        <v>977</v>
      </c>
      <c r="D152" s="131">
        <v>16</v>
      </c>
      <c r="E152" s="131" t="s">
        <v>977</v>
      </c>
      <c r="F152" s="767">
        <v>-4.6500000000000004</v>
      </c>
      <c r="G152" s="767">
        <v>-0.65</v>
      </c>
      <c r="H152" s="767">
        <v>-5.3</v>
      </c>
      <c r="I152" s="768" t="s">
        <v>1470</v>
      </c>
    </row>
    <row r="153" spans="1:9" x14ac:dyDescent="0.25">
      <c r="A153" s="753">
        <v>900214</v>
      </c>
      <c r="B153" s="130">
        <v>36569</v>
      </c>
      <c r="C153" s="131" t="s">
        <v>11</v>
      </c>
      <c r="D153" s="131">
        <v>16</v>
      </c>
      <c r="E153" s="131" t="s">
        <v>11</v>
      </c>
      <c r="F153" s="767">
        <v>-298866.40999999997</v>
      </c>
      <c r="G153" s="767">
        <v>-36569.339999999997</v>
      </c>
      <c r="H153" s="767">
        <v>-335435.75</v>
      </c>
      <c r="I153" s="768" t="s">
        <v>1471</v>
      </c>
    </row>
    <row r="154" spans="1:9" x14ac:dyDescent="0.25">
      <c r="A154" s="753">
        <v>900216</v>
      </c>
      <c r="B154" s="130">
        <v>14354</v>
      </c>
      <c r="C154" s="131" t="s">
        <v>11</v>
      </c>
      <c r="D154" s="131">
        <v>16</v>
      </c>
      <c r="E154" s="131" t="s">
        <v>11</v>
      </c>
      <c r="F154" s="767">
        <v>-298866.40999999997</v>
      </c>
      <c r="G154" s="767">
        <v>-36569.339999999997</v>
      </c>
      <c r="H154" s="767">
        <v>-335435.75</v>
      </c>
      <c r="I154" s="768" t="s">
        <v>1471</v>
      </c>
    </row>
    <row r="155" spans="1:9" x14ac:dyDescent="0.25">
      <c r="A155" s="753"/>
      <c r="C155" s="131" t="s">
        <v>978</v>
      </c>
      <c r="D155" s="131">
        <v>16</v>
      </c>
      <c r="E155" s="131" t="s">
        <v>978</v>
      </c>
      <c r="F155" s="767">
        <v>176671.26</v>
      </c>
      <c r="G155" s="767">
        <v>22215.05</v>
      </c>
      <c r="H155" s="767">
        <v>198886.31</v>
      </c>
      <c r="I155" s="768" t="s">
        <v>1472</v>
      </c>
    </row>
    <row r="156" spans="1:9" x14ac:dyDescent="0.25">
      <c r="A156" s="753">
        <v>900218</v>
      </c>
      <c r="B156" s="130">
        <v>393</v>
      </c>
      <c r="E156" s="131"/>
    </row>
    <row r="157" spans="1:9" x14ac:dyDescent="0.25">
      <c r="A157" s="753">
        <v>900222</v>
      </c>
      <c r="B157" s="130">
        <v>530</v>
      </c>
      <c r="C157" s="131" t="s">
        <v>977</v>
      </c>
      <c r="D157" s="131">
        <v>16</v>
      </c>
      <c r="E157" s="131" t="s">
        <v>977</v>
      </c>
      <c r="F157" s="767">
        <v>-4.6500000000000004</v>
      </c>
      <c r="G157" s="767">
        <v>-0.65</v>
      </c>
      <c r="H157" s="767">
        <v>-5.3</v>
      </c>
      <c r="I157" s="768" t="s">
        <v>1470</v>
      </c>
    </row>
    <row r="158" spans="1:9" x14ac:dyDescent="0.25">
      <c r="A158" s="753">
        <v>900224</v>
      </c>
      <c r="B158" s="130">
        <v>335436</v>
      </c>
      <c r="C158" s="131" t="s">
        <v>11</v>
      </c>
      <c r="D158" s="131">
        <v>16</v>
      </c>
      <c r="E158" s="131" t="s">
        <v>11</v>
      </c>
      <c r="F158" s="767">
        <v>-298866.40999999997</v>
      </c>
      <c r="G158" s="767">
        <v>-36569.339999999997</v>
      </c>
      <c r="H158" s="767">
        <v>-335435.75</v>
      </c>
      <c r="I158" s="768" t="s">
        <v>1471</v>
      </c>
    </row>
    <row r="159" spans="1:9" x14ac:dyDescent="0.25">
      <c r="A159" s="753">
        <v>900226</v>
      </c>
      <c r="B159" s="130">
        <v>136550</v>
      </c>
      <c r="C159" s="131" t="s">
        <v>11</v>
      </c>
      <c r="D159" s="131">
        <v>16</v>
      </c>
      <c r="E159" s="131" t="s">
        <v>11</v>
      </c>
      <c r="F159" s="767">
        <v>-298866.40999999997</v>
      </c>
      <c r="G159" s="767">
        <v>-36569.339999999997</v>
      </c>
      <c r="H159" s="767">
        <v>-335435.75</v>
      </c>
      <c r="I159" s="768" t="s">
        <v>1471</v>
      </c>
    </row>
    <row r="160" spans="1:9" x14ac:dyDescent="0.25">
      <c r="A160" s="753"/>
      <c r="C160" s="131" t="s">
        <v>978</v>
      </c>
      <c r="D160" s="131">
        <v>16</v>
      </c>
      <c r="E160" s="131" t="s">
        <v>978</v>
      </c>
      <c r="F160" s="767">
        <v>176671.26</v>
      </c>
      <c r="G160" s="767">
        <v>22215.05</v>
      </c>
      <c r="H160" s="767">
        <v>198886.31</v>
      </c>
      <c r="I160" s="768" t="s">
        <v>1472</v>
      </c>
    </row>
    <row r="161" spans="1:9" x14ac:dyDescent="0.25">
      <c r="A161" s="753">
        <v>900228</v>
      </c>
      <c r="B161" s="130">
        <v>407</v>
      </c>
      <c r="E161" s="131"/>
    </row>
    <row r="162" spans="1:9" x14ac:dyDescent="0.25">
      <c r="A162" s="753">
        <v>900312</v>
      </c>
      <c r="B162" s="130">
        <v>8</v>
      </c>
      <c r="C162" s="131" t="s">
        <v>979</v>
      </c>
      <c r="D162" s="131">
        <v>16</v>
      </c>
      <c r="E162" s="131" t="s">
        <v>979</v>
      </c>
      <c r="F162" s="767">
        <v>-0.35</v>
      </c>
      <c r="G162" s="767">
        <v>-0.08</v>
      </c>
      <c r="H162" s="767">
        <v>-0.43</v>
      </c>
      <c r="I162" s="768" t="s">
        <v>1473</v>
      </c>
    </row>
    <row r="163" spans="1:9" x14ac:dyDescent="0.25">
      <c r="A163" s="753">
        <v>900314</v>
      </c>
      <c r="B163" s="130">
        <v>4660</v>
      </c>
      <c r="C163" s="131" t="s">
        <v>246</v>
      </c>
      <c r="D163" s="131">
        <v>16</v>
      </c>
      <c r="E163" s="131" t="s">
        <v>246</v>
      </c>
      <c r="F163" s="767">
        <v>-20320.09</v>
      </c>
      <c r="G163" s="767">
        <v>-4659.7299999999996</v>
      </c>
      <c r="H163" s="767">
        <v>-24979.82</v>
      </c>
      <c r="I163" s="768" t="s">
        <v>1474</v>
      </c>
    </row>
    <row r="164" spans="1:9" x14ac:dyDescent="0.25">
      <c r="A164" s="753">
        <v>900316</v>
      </c>
      <c r="B164" s="130">
        <v>2284</v>
      </c>
      <c r="C164" s="131" t="s">
        <v>246</v>
      </c>
      <c r="D164" s="131">
        <v>16</v>
      </c>
      <c r="E164" s="131" t="s">
        <v>246</v>
      </c>
      <c r="F164" s="767">
        <v>-20320.09</v>
      </c>
      <c r="G164" s="767">
        <v>-4659.7299999999996</v>
      </c>
      <c r="H164" s="767">
        <v>-24979.82</v>
      </c>
      <c r="I164" s="768" t="s">
        <v>1474</v>
      </c>
    </row>
    <row r="165" spans="1:9" x14ac:dyDescent="0.25">
      <c r="A165" s="753"/>
      <c r="C165" s="131" t="s">
        <v>980</v>
      </c>
      <c r="D165" s="131">
        <v>16</v>
      </c>
      <c r="E165" s="131" t="s">
        <v>980</v>
      </c>
      <c r="F165" s="767">
        <v>12187.51</v>
      </c>
      <c r="G165" s="767">
        <v>2375.86</v>
      </c>
      <c r="H165" s="767">
        <v>14563.37</v>
      </c>
      <c r="I165" s="768" t="s">
        <v>1475</v>
      </c>
    </row>
    <row r="166" spans="1:9" x14ac:dyDescent="0.25">
      <c r="A166" s="753">
        <v>900318</v>
      </c>
      <c r="B166" s="130">
        <v>490</v>
      </c>
      <c r="E166" s="131"/>
    </row>
    <row r="167" spans="1:9" x14ac:dyDescent="0.25">
      <c r="A167" s="753">
        <v>900322</v>
      </c>
      <c r="B167" s="130">
        <v>43</v>
      </c>
      <c r="C167" s="131" t="s">
        <v>979</v>
      </c>
      <c r="D167" s="131">
        <v>16</v>
      </c>
      <c r="E167" s="131" t="s">
        <v>979</v>
      </c>
      <c r="F167" s="767">
        <v>-0.35</v>
      </c>
      <c r="G167" s="767">
        <v>-0.08</v>
      </c>
      <c r="H167" s="767">
        <v>-0.43</v>
      </c>
      <c r="I167" s="768" t="s">
        <v>1473</v>
      </c>
    </row>
    <row r="168" spans="1:9" x14ac:dyDescent="0.25">
      <c r="A168" s="753">
        <v>900324</v>
      </c>
      <c r="B168" s="130">
        <v>24980</v>
      </c>
      <c r="C168" s="131" t="s">
        <v>246</v>
      </c>
      <c r="D168" s="131">
        <v>16</v>
      </c>
      <c r="E168" s="131" t="s">
        <v>246</v>
      </c>
      <c r="F168" s="767">
        <v>-20320.09</v>
      </c>
      <c r="G168" s="767">
        <v>-4659.7299999999996</v>
      </c>
      <c r="H168" s="767">
        <v>-24979.82</v>
      </c>
      <c r="I168" s="768" t="s">
        <v>1474</v>
      </c>
    </row>
    <row r="169" spans="1:9" x14ac:dyDescent="0.25">
      <c r="A169" s="753">
        <v>900326</v>
      </c>
      <c r="B169" s="130">
        <v>10417</v>
      </c>
      <c r="C169" s="131" t="s">
        <v>246</v>
      </c>
      <c r="D169" s="131">
        <v>16</v>
      </c>
      <c r="E169" s="131" t="s">
        <v>246</v>
      </c>
      <c r="F169" s="767">
        <v>-20320.09</v>
      </c>
      <c r="G169" s="767">
        <v>-4659.7299999999996</v>
      </c>
      <c r="H169" s="767">
        <v>-24979.82</v>
      </c>
      <c r="I169" s="768" t="s">
        <v>1474</v>
      </c>
    </row>
    <row r="170" spans="1:9" x14ac:dyDescent="0.25">
      <c r="A170" s="753"/>
      <c r="C170" s="131" t="s">
        <v>980</v>
      </c>
      <c r="D170" s="131">
        <v>16</v>
      </c>
      <c r="E170" s="131" t="s">
        <v>980</v>
      </c>
      <c r="F170" s="767">
        <v>12187.51</v>
      </c>
      <c r="G170" s="767">
        <v>2375.86</v>
      </c>
      <c r="H170" s="767">
        <v>14563.37</v>
      </c>
      <c r="I170" s="768" t="s">
        <v>1475</v>
      </c>
    </row>
    <row r="171" spans="1:9" x14ac:dyDescent="0.25">
      <c r="A171" s="753">
        <v>900328</v>
      </c>
      <c r="B171" s="130">
        <v>417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121</v>
      </c>
      <c r="E188" s="131"/>
    </row>
    <row r="189" spans="1:9" x14ac:dyDescent="0.25">
      <c r="A189" s="753">
        <v>900614</v>
      </c>
      <c r="B189" s="130">
        <v>59025</v>
      </c>
      <c r="E189" s="131"/>
    </row>
    <row r="190" spans="1:9" x14ac:dyDescent="0.25">
      <c r="A190" s="753">
        <v>900616</v>
      </c>
      <c r="B190" s="130">
        <v>24067</v>
      </c>
      <c r="C190" s="131" t="s">
        <v>10</v>
      </c>
      <c r="D190" s="131">
        <v>16</v>
      </c>
      <c r="E190" s="131" t="s">
        <v>10</v>
      </c>
      <c r="F190" s="767">
        <v>-203433.86</v>
      </c>
      <c r="G190" s="767">
        <v>-17795.72</v>
      </c>
      <c r="H190" s="767">
        <v>-221229.58</v>
      </c>
      <c r="I190" s="768" t="s">
        <v>1468</v>
      </c>
    </row>
    <row r="191" spans="1:9" x14ac:dyDescent="0.25">
      <c r="A191" s="753"/>
      <c r="C191" s="131" t="s">
        <v>976</v>
      </c>
      <c r="D191" s="131">
        <v>16</v>
      </c>
      <c r="E191" s="131" t="s">
        <v>976</v>
      </c>
      <c r="F191" s="767">
        <v>125114.1</v>
      </c>
      <c r="G191" s="767">
        <v>10366.67</v>
      </c>
      <c r="H191" s="767">
        <v>135480.76999999999</v>
      </c>
      <c r="I191" s="768" t="s">
        <v>1469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767">
        <v>-298866.40999999997</v>
      </c>
      <c r="G192" s="767">
        <v>-36569.339999999997</v>
      </c>
      <c r="H192" s="767">
        <v>-335435.75</v>
      </c>
      <c r="I192" s="768" t="s">
        <v>1471</v>
      </c>
    </row>
    <row r="193" spans="1:9" x14ac:dyDescent="0.25">
      <c r="A193" s="753"/>
      <c r="C193" s="131" t="s">
        <v>978</v>
      </c>
      <c r="D193" s="131">
        <v>16</v>
      </c>
      <c r="E193" s="131" t="s">
        <v>978</v>
      </c>
      <c r="F193" s="767">
        <v>176671.26</v>
      </c>
      <c r="G193" s="767">
        <v>22215.05</v>
      </c>
      <c r="H193" s="767">
        <v>198886.31</v>
      </c>
      <c r="I193" s="768" t="s">
        <v>1472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767">
        <v>-20320.09</v>
      </c>
      <c r="G194" s="767">
        <v>-4659.7299999999996</v>
      </c>
      <c r="H194" s="767">
        <v>-24979.82</v>
      </c>
      <c r="I194" s="768" t="s">
        <v>1474</v>
      </c>
    </row>
    <row r="195" spans="1:9" x14ac:dyDescent="0.25">
      <c r="A195" s="753"/>
      <c r="C195" s="131" t="s">
        <v>980</v>
      </c>
      <c r="D195" s="131">
        <v>16</v>
      </c>
      <c r="E195" s="131" t="s">
        <v>980</v>
      </c>
      <c r="F195" s="767">
        <v>12187.51</v>
      </c>
      <c r="G195" s="767">
        <v>2375.86</v>
      </c>
      <c r="H195" s="767">
        <v>14563.37</v>
      </c>
      <c r="I195" s="768" t="s">
        <v>1475</v>
      </c>
    </row>
    <row r="196" spans="1:9" x14ac:dyDescent="0.25">
      <c r="A196" s="753">
        <v>900618</v>
      </c>
      <c r="B196" s="130">
        <v>408</v>
      </c>
      <c r="E196" s="131"/>
    </row>
    <row r="197" spans="1:9" x14ac:dyDescent="0.25">
      <c r="A197" s="753">
        <v>900622</v>
      </c>
      <c r="B197" s="130">
        <v>996</v>
      </c>
      <c r="E197" s="131"/>
    </row>
    <row r="198" spans="1:9" x14ac:dyDescent="0.25">
      <c r="A198" s="753">
        <v>900624</v>
      </c>
      <c r="B198" s="130">
        <v>581646</v>
      </c>
      <c r="E198" s="131"/>
    </row>
    <row r="199" spans="1:9" x14ac:dyDescent="0.25">
      <c r="A199" s="753">
        <v>900626</v>
      </c>
      <c r="B199" s="130">
        <v>232716</v>
      </c>
      <c r="C199" s="131" t="s">
        <v>10</v>
      </c>
      <c r="D199" s="131">
        <v>16</v>
      </c>
      <c r="E199" s="131" t="s">
        <v>10</v>
      </c>
      <c r="F199" s="767">
        <v>-203433.86</v>
      </c>
      <c r="G199" s="767">
        <v>-17795.72</v>
      </c>
      <c r="H199" s="767">
        <v>-221229.58</v>
      </c>
      <c r="I199" s="768" t="s">
        <v>1468</v>
      </c>
    </row>
    <row r="200" spans="1:9" x14ac:dyDescent="0.25">
      <c r="A200" s="753"/>
      <c r="C200" s="131" t="s">
        <v>976</v>
      </c>
      <c r="D200" s="131">
        <v>16</v>
      </c>
      <c r="E200" s="131" t="s">
        <v>976</v>
      </c>
      <c r="F200" s="767">
        <v>125114.1</v>
      </c>
      <c r="G200" s="767">
        <v>10366.67</v>
      </c>
      <c r="H200" s="767">
        <v>135480.76999999999</v>
      </c>
      <c r="I200" s="768" t="s">
        <v>1469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767">
        <v>-298866.40999999997</v>
      </c>
      <c r="G201" s="767">
        <v>-36569.339999999997</v>
      </c>
      <c r="H201" s="767">
        <v>-335435.75</v>
      </c>
      <c r="I201" s="768" t="s">
        <v>1471</v>
      </c>
    </row>
    <row r="202" spans="1:9" x14ac:dyDescent="0.25">
      <c r="A202" s="753"/>
      <c r="C202" s="131" t="s">
        <v>978</v>
      </c>
      <c r="D202" s="131">
        <v>16</v>
      </c>
      <c r="E202" s="131" t="s">
        <v>978</v>
      </c>
      <c r="F202" s="767">
        <v>176671.26</v>
      </c>
      <c r="G202" s="767">
        <v>22215.05</v>
      </c>
      <c r="H202" s="767">
        <v>198886.31</v>
      </c>
      <c r="I202" s="768" t="s">
        <v>1472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767">
        <v>-20320.09</v>
      </c>
      <c r="G203" s="767">
        <v>-4659.7299999999996</v>
      </c>
      <c r="H203" s="767">
        <v>-24979.82</v>
      </c>
      <c r="I203" s="768" t="s">
        <v>1474</v>
      </c>
    </row>
    <row r="204" spans="1:9" x14ac:dyDescent="0.25">
      <c r="A204" s="753"/>
      <c r="C204" s="131" t="s">
        <v>980</v>
      </c>
      <c r="D204" s="131">
        <v>16</v>
      </c>
      <c r="E204" s="131" t="s">
        <v>980</v>
      </c>
      <c r="F204" s="767">
        <v>12187.51</v>
      </c>
      <c r="G204" s="767">
        <v>2375.86</v>
      </c>
      <c r="H204" s="767">
        <v>14563.37</v>
      </c>
      <c r="I204" s="768" t="s">
        <v>1475</v>
      </c>
    </row>
    <row r="205" spans="1:9" x14ac:dyDescent="0.25">
      <c r="A205" s="753">
        <v>900628</v>
      </c>
      <c r="B205" s="130">
        <v>400</v>
      </c>
      <c r="E205" s="131"/>
    </row>
    <row r="206" spans="1:9" x14ac:dyDescent="0.25">
      <c r="A206" s="753">
        <v>900712</v>
      </c>
      <c r="B206" s="130">
        <v>32</v>
      </c>
      <c r="C206" s="131" t="s">
        <v>981</v>
      </c>
      <c r="D206" s="131">
        <v>16</v>
      </c>
      <c r="E206" s="131" t="s">
        <v>981</v>
      </c>
      <c r="F206" s="767">
        <v>-2.29</v>
      </c>
      <c r="G206" s="767">
        <v>-0.32</v>
      </c>
      <c r="H206" s="767">
        <v>-2.61</v>
      </c>
      <c r="I206" s="768" t="s">
        <v>1476</v>
      </c>
    </row>
    <row r="207" spans="1:9" x14ac:dyDescent="0.25">
      <c r="A207" s="753">
        <v>900714</v>
      </c>
      <c r="B207" s="130">
        <v>2375</v>
      </c>
      <c r="C207" s="131" t="s">
        <v>14</v>
      </c>
      <c r="D207" s="131">
        <v>16</v>
      </c>
      <c r="E207" s="131" t="s">
        <v>14</v>
      </c>
      <c r="F207" s="767">
        <v>-20161.36</v>
      </c>
      <c r="G207" s="767">
        <v>-2374.63</v>
      </c>
      <c r="H207" s="767">
        <v>-22535.99</v>
      </c>
      <c r="I207" s="768" t="s">
        <v>1477</v>
      </c>
    </row>
    <row r="208" spans="1:9" x14ac:dyDescent="0.25">
      <c r="A208" s="753">
        <v>900716</v>
      </c>
      <c r="B208" s="130">
        <v>679</v>
      </c>
      <c r="C208" s="131" t="s">
        <v>14</v>
      </c>
      <c r="D208" s="131">
        <v>16</v>
      </c>
      <c r="E208" s="131" t="s">
        <v>14</v>
      </c>
      <c r="F208" s="767">
        <v>-20161.36</v>
      </c>
      <c r="G208" s="767">
        <v>-2374.63</v>
      </c>
      <c r="H208" s="767">
        <v>-22535.99</v>
      </c>
      <c r="I208" s="768" t="s">
        <v>1477</v>
      </c>
    </row>
    <row r="209" spans="1:9" x14ac:dyDescent="0.25">
      <c r="A209" s="753"/>
      <c r="C209" s="131" t="s">
        <v>982</v>
      </c>
      <c r="D209" s="131">
        <v>16</v>
      </c>
      <c r="E209" s="131" t="s">
        <v>982</v>
      </c>
      <c r="F209" s="767">
        <v>14373.38</v>
      </c>
      <c r="G209" s="767">
        <v>1696.21</v>
      </c>
      <c r="H209" s="767">
        <v>16069.59</v>
      </c>
      <c r="I209" s="768" t="s">
        <v>1478</v>
      </c>
    </row>
    <row r="210" spans="1:9" x14ac:dyDescent="0.25">
      <c r="A210" s="753">
        <v>900718</v>
      </c>
      <c r="B210" s="130">
        <v>286</v>
      </c>
      <c r="E210" s="131"/>
    </row>
    <row r="211" spans="1:9" x14ac:dyDescent="0.25">
      <c r="A211" s="753">
        <v>900722</v>
      </c>
      <c r="B211" s="130">
        <v>261</v>
      </c>
      <c r="C211" s="131" t="s">
        <v>981</v>
      </c>
      <c r="D211" s="131">
        <v>16</v>
      </c>
      <c r="E211" s="131" t="s">
        <v>981</v>
      </c>
      <c r="F211" s="767">
        <v>-2.29</v>
      </c>
      <c r="G211" s="767">
        <v>-0.32</v>
      </c>
      <c r="H211" s="767">
        <v>-2.61</v>
      </c>
      <c r="I211" s="768" t="s">
        <v>1476</v>
      </c>
    </row>
    <row r="212" spans="1:9" x14ac:dyDescent="0.25">
      <c r="A212" s="753">
        <v>900724</v>
      </c>
      <c r="B212" s="130">
        <v>22536</v>
      </c>
      <c r="C212" s="131" t="s">
        <v>14</v>
      </c>
      <c r="D212" s="131">
        <v>16</v>
      </c>
      <c r="E212" s="131" t="s">
        <v>14</v>
      </c>
      <c r="F212" s="767">
        <v>-20161.36</v>
      </c>
      <c r="G212" s="767">
        <v>-2374.63</v>
      </c>
      <c r="H212" s="767">
        <v>-22535.99</v>
      </c>
      <c r="I212" s="768" t="s">
        <v>1477</v>
      </c>
    </row>
    <row r="213" spans="1:9" x14ac:dyDescent="0.25">
      <c r="A213" s="753">
        <v>900726</v>
      </c>
      <c r="B213" s="130">
        <v>6466</v>
      </c>
      <c r="C213" s="131" t="s">
        <v>14</v>
      </c>
      <c r="D213" s="131">
        <v>16</v>
      </c>
      <c r="E213" s="131" t="s">
        <v>14</v>
      </c>
      <c r="F213" s="767">
        <v>-20161.36</v>
      </c>
      <c r="G213" s="767">
        <v>-2374.63</v>
      </c>
      <c r="H213" s="767">
        <v>-22535.99</v>
      </c>
      <c r="I213" s="768" t="s">
        <v>1477</v>
      </c>
    </row>
    <row r="214" spans="1:9" x14ac:dyDescent="0.25">
      <c r="A214" s="753"/>
      <c r="C214" s="131" t="s">
        <v>982</v>
      </c>
      <c r="D214" s="131">
        <v>16</v>
      </c>
      <c r="E214" s="131" t="s">
        <v>982</v>
      </c>
      <c r="F214" s="767">
        <v>14373.38</v>
      </c>
      <c r="G214" s="767">
        <v>1696.21</v>
      </c>
      <c r="H214" s="767">
        <v>16069.59</v>
      </c>
      <c r="I214" s="768" t="s">
        <v>1478</v>
      </c>
    </row>
    <row r="215" spans="1:9" x14ac:dyDescent="0.25">
      <c r="A215" s="753">
        <v>900728</v>
      </c>
      <c r="B215" s="130">
        <v>287</v>
      </c>
      <c r="E215" s="131"/>
    </row>
    <row r="216" spans="1:9" x14ac:dyDescent="0.25">
      <c r="A216" s="753">
        <v>900812</v>
      </c>
      <c r="B216" s="130">
        <v>58</v>
      </c>
      <c r="C216" s="131" t="s">
        <v>983</v>
      </c>
      <c r="D216" s="131">
        <v>16</v>
      </c>
      <c r="E216" s="131" t="s">
        <v>983</v>
      </c>
      <c r="F216" s="767">
        <v>-4.66</v>
      </c>
      <c r="G216" s="767">
        <v>-0.57999999999999996</v>
      </c>
      <c r="H216" s="767">
        <v>-5.24</v>
      </c>
      <c r="I216" s="768" t="s">
        <v>1479</v>
      </c>
    </row>
    <row r="217" spans="1:9" x14ac:dyDescent="0.25">
      <c r="A217" s="753">
        <v>900814</v>
      </c>
      <c r="B217" s="130">
        <v>5957</v>
      </c>
      <c r="C217" s="131" t="s">
        <v>17</v>
      </c>
      <c r="D217" s="131">
        <v>16</v>
      </c>
      <c r="E217" s="131" t="s">
        <v>17</v>
      </c>
      <c r="F217" s="767">
        <v>-44656.33</v>
      </c>
      <c r="G217" s="767">
        <v>-5956.64</v>
      </c>
      <c r="H217" s="767">
        <v>-50612.97</v>
      </c>
      <c r="I217" s="768" t="s">
        <v>1480</v>
      </c>
    </row>
    <row r="218" spans="1:9" x14ac:dyDescent="0.25">
      <c r="A218" s="753">
        <v>900816</v>
      </c>
      <c r="B218" s="130">
        <v>1702</v>
      </c>
      <c r="C218" s="131" t="s">
        <v>17</v>
      </c>
      <c r="D218" s="131">
        <v>16</v>
      </c>
      <c r="E218" s="131" t="s">
        <v>17</v>
      </c>
      <c r="F218" s="767">
        <v>-44656.33</v>
      </c>
      <c r="G218" s="767">
        <v>-5956.64</v>
      </c>
      <c r="H218" s="767">
        <v>-50612.97</v>
      </c>
      <c r="I218" s="768" t="s">
        <v>1480</v>
      </c>
    </row>
    <row r="219" spans="1:9" x14ac:dyDescent="0.25">
      <c r="A219" s="753"/>
      <c r="C219" s="131" t="s">
        <v>984</v>
      </c>
      <c r="D219" s="131">
        <v>16</v>
      </c>
      <c r="E219" s="131" t="s">
        <v>984</v>
      </c>
      <c r="F219" s="767">
        <v>31895.46</v>
      </c>
      <c r="G219" s="767">
        <v>4254.84</v>
      </c>
      <c r="H219" s="767">
        <v>36150.300000000003</v>
      </c>
      <c r="I219" s="768" t="s">
        <v>1481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524</v>
      </c>
      <c r="C221" s="131" t="s">
        <v>983</v>
      </c>
      <c r="D221" s="131">
        <v>16</v>
      </c>
      <c r="E221" s="131" t="s">
        <v>983</v>
      </c>
      <c r="F221" s="767">
        <v>-4.66</v>
      </c>
      <c r="G221" s="767">
        <v>-0.57999999999999996</v>
      </c>
      <c r="H221" s="767">
        <v>-5.24</v>
      </c>
      <c r="I221" s="768" t="s">
        <v>1479</v>
      </c>
    </row>
    <row r="222" spans="1:9" x14ac:dyDescent="0.25">
      <c r="A222" s="753">
        <v>900824</v>
      </c>
      <c r="B222" s="130">
        <v>50613</v>
      </c>
      <c r="C222" s="131" t="s">
        <v>17</v>
      </c>
      <c r="D222" s="131">
        <v>16</v>
      </c>
      <c r="E222" s="131" t="s">
        <v>17</v>
      </c>
      <c r="F222" s="767">
        <v>-44656.33</v>
      </c>
      <c r="G222" s="767">
        <v>-5956.64</v>
      </c>
      <c r="H222" s="767">
        <v>-50612.97</v>
      </c>
      <c r="I222" s="768" t="s">
        <v>1480</v>
      </c>
    </row>
    <row r="223" spans="1:9" x14ac:dyDescent="0.25">
      <c r="A223" s="753">
        <v>900826</v>
      </c>
      <c r="B223" s="130">
        <v>14463</v>
      </c>
      <c r="C223" s="131" t="s">
        <v>17</v>
      </c>
      <c r="D223" s="131">
        <v>16</v>
      </c>
      <c r="E223" s="131" t="s">
        <v>17</v>
      </c>
      <c r="F223" s="767">
        <v>-44656.33</v>
      </c>
      <c r="G223" s="767">
        <v>-5956.64</v>
      </c>
      <c r="H223" s="767">
        <v>-50612.97</v>
      </c>
      <c r="I223" s="768" t="s">
        <v>1480</v>
      </c>
    </row>
    <row r="224" spans="1:9" x14ac:dyDescent="0.25">
      <c r="A224" s="753"/>
      <c r="C224" s="131" t="s">
        <v>984</v>
      </c>
      <c r="D224" s="131">
        <v>16</v>
      </c>
      <c r="E224" s="131" t="s">
        <v>984</v>
      </c>
      <c r="F224" s="767">
        <v>31895.46</v>
      </c>
      <c r="G224" s="767">
        <v>4254.84</v>
      </c>
      <c r="H224" s="767">
        <v>36150.300000000003</v>
      </c>
      <c r="I224" s="768" t="s">
        <v>1481</v>
      </c>
    </row>
    <row r="225" spans="1:9" x14ac:dyDescent="0.25">
      <c r="A225" s="753">
        <v>900828</v>
      </c>
      <c r="B225" s="130">
        <v>286</v>
      </c>
      <c r="E225" s="131"/>
    </row>
    <row r="226" spans="1:9" x14ac:dyDescent="0.25">
      <c r="A226" s="753">
        <v>900912</v>
      </c>
      <c r="B226" s="130">
        <v>10</v>
      </c>
      <c r="C226" s="131" t="s">
        <v>985</v>
      </c>
      <c r="D226" s="131">
        <v>16</v>
      </c>
      <c r="E226" s="131" t="s">
        <v>985</v>
      </c>
      <c r="F226" s="767">
        <v>-0.11</v>
      </c>
      <c r="G226" s="767">
        <v>-0.1</v>
      </c>
      <c r="H226" s="767">
        <v>-0.21</v>
      </c>
      <c r="I226" s="768" t="s">
        <v>1482</v>
      </c>
    </row>
    <row r="227" spans="1:9" x14ac:dyDescent="0.25">
      <c r="A227" s="753">
        <v>900914</v>
      </c>
      <c r="B227" s="130">
        <v>1314</v>
      </c>
      <c r="C227" s="131" t="s">
        <v>247</v>
      </c>
      <c r="D227" s="131">
        <v>16</v>
      </c>
      <c r="E227" s="131" t="s">
        <v>247</v>
      </c>
      <c r="F227" s="767">
        <v>-1433.56</v>
      </c>
      <c r="G227" s="767">
        <v>-1314.44</v>
      </c>
      <c r="H227" s="767">
        <v>-2748</v>
      </c>
      <c r="I227" s="768" t="s">
        <v>1483</v>
      </c>
    </row>
    <row r="228" spans="1:9" x14ac:dyDescent="0.25">
      <c r="A228" s="753">
        <v>900916</v>
      </c>
      <c r="B228" s="130">
        <v>375</v>
      </c>
      <c r="C228" s="131" t="s">
        <v>247</v>
      </c>
      <c r="D228" s="131">
        <v>16</v>
      </c>
      <c r="E228" s="131" t="s">
        <v>247</v>
      </c>
      <c r="F228" s="767">
        <v>-1433.56</v>
      </c>
      <c r="G228" s="767">
        <v>-1314.44</v>
      </c>
      <c r="H228" s="767">
        <v>-2748</v>
      </c>
      <c r="I228" s="768" t="s">
        <v>1483</v>
      </c>
    </row>
    <row r="229" spans="1:9" x14ac:dyDescent="0.25">
      <c r="A229" s="753"/>
      <c r="C229" s="131" t="s">
        <v>986</v>
      </c>
      <c r="D229" s="131">
        <v>16</v>
      </c>
      <c r="E229" s="131" t="s">
        <v>986</v>
      </c>
      <c r="F229" s="767">
        <v>1023.99</v>
      </c>
      <c r="G229" s="767">
        <v>938.88</v>
      </c>
      <c r="H229" s="767">
        <v>1962.87</v>
      </c>
      <c r="I229" s="768" t="s">
        <v>1484</v>
      </c>
    </row>
    <row r="230" spans="1:9" x14ac:dyDescent="0.25">
      <c r="A230" s="753">
        <v>900918</v>
      </c>
      <c r="B230" s="130">
        <v>285</v>
      </c>
      <c r="E230" s="131"/>
    </row>
    <row r="231" spans="1:9" x14ac:dyDescent="0.25">
      <c r="A231" s="753">
        <v>900922</v>
      </c>
      <c r="B231" s="130">
        <v>21</v>
      </c>
      <c r="C231" s="131" t="s">
        <v>985</v>
      </c>
      <c r="D231" s="131">
        <v>16</v>
      </c>
      <c r="E231" s="131" t="s">
        <v>985</v>
      </c>
      <c r="F231" s="767">
        <v>-0.11</v>
      </c>
      <c r="G231" s="767">
        <v>-0.1</v>
      </c>
      <c r="H231" s="767">
        <v>-0.21</v>
      </c>
      <c r="I231" s="768" t="s">
        <v>1482</v>
      </c>
    </row>
    <row r="232" spans="1:9" x14ac:dyDescent="0.25">
      <c r="A232" s="753">
        <v>900924</v>
      </c>
      <c r="B232" s="130">
        <v>2748</v>
      </c>
      <c r="C232" s="131" t="s">
        <v>247</v>
      </c>
      <c r="D232" s="131">
        <v>16</v>
      </c>
      <c r="E232" s="131" t="s">
        <v>247</v>
      </c>
      <c r="F232" s="767">
        <v>-1433.56</v>
      </c>
      <c r="G232" s="767">
        <v>-1314.44</v>
      </c>
      <c r="H232" s="767">
        <v>-2748</v>
      </c>
      <c r="I232" s="768" t="s">
        <v>1483</v>
      </c>
    </row>
    <row r="233" spans="1:9" x14ac:dyDescent="0.25">
      <c r="A233" s="753">
        <v>900926</v>
      </c>
      <c r="B233" s="130">
        <v>785</v>
      </c>
      <c r="C233" s="131" t="s">
        <v>247</v>
      </c>
      <c r="D233" s="131">
        <v>16</v>
      </c>
      <c r="E233" s="131" t="s">
        <v>247</v>
      </c>
      <c r="F233" s="767">
        <v>-1433.56</v>
      </c>
      <c r="G233" s="767">
        <v>-1314.44</v>
      </c>
      <c r="H233" s="767">
        <v>-2748</v>
      </c>
      <c r="I233" s="768" t="s">
        <v>1483</v>
      </c>
    </row>
    <row r="234" spans="1:9" x14ac:dyDescent="0.25">
      <c r="A234" s="753"/>
      <c r="C234" s="131" t="s">
        <v>986</v>
      </c>
      <c r="D234" s="131">
        <v>16</v>
      </c>
      <c r="E234" s="131" t="s">
        <v>986</v>
      </c>
      <c r="F234" s="767">
        <v>1023.99</v>
      </c>
      <c r="G234" s="767">
        <v>938.88</v>
      </c>
      <c r="H234" s="767">
        <v>1962.87</v>
      </c>
      <c r="I234" s="768" t="s">
        <v>1484</v>
      </c>
    </row>
    <row r="235" spans="1:9" x14ac:dyDescent="0.25">
      <c r="A235" s="753">
        <v>900928</v>
      </c>
      <c r="B235" s="130">
        <v>286</v>
      </c>
      <c r="E235" s="131"/>
    </row>
    <row r="236" spans="1:9" x14ac:dyDescent="0.25">
      <c r="A236" s="753">
        <v>901012</v>
      </c>
      <c r="B236" s="130">
        <v>0</v>
      </c>
      <c r="E236" s="131"/>
    </row>
    <row r="237" spans="1:9" x14ac:dyDescent="0.25">
      <c r="A237" s="753">
        <v>901014</v>
      </c>
      <c r="B237" s="130">
        <v>0</v>
      </c>
      <c r="E237" s="131"/>
    </row>
    <row r="238" spans="1:9" x14ac:dyDescent="0.25">
      <c r="A238" s="753">
        <v>901016</v>
      </c>
      <c r="B238" s="130">
        <v>0</v>
      </c>
      <c r="E238" s="131"/>
    </row>
    <row r="239" spans="1:9" x14ac:dyDescent="0.25">
      <c r="A239" s="753">
        <v>901018</v>
      </c>
      <c r="B239" s="130">
        <v>0</v>
      </c>
      <c r="E239" s="131"/>
    </row>
    <row r="240" spans="1:9" x14ac:dyDescent="0.25">
      <c r="A240" s="753">
        <v>901022</v>
      </c>
      <c r="B240" s="130">
        <v>0</v>
      </c>
      <c r="E240" s="131"/>
    </row>
    <row r="241" spans="1:9" x14ac:dyDescent="0.25">
      <c r="A241" s="753">
        <v>901024</v>
      </c>
      <c r="B241" s="130">
        <v>0</v>
      </c>
      <c r="E241" s="131"/>
    </row>
    <row r="242" spans="1:9" x14ac:dyDescent="0.25">
      <c r="A242" s="753">
        <v>901026</v>
      </c>
      <c r="B242" s="130">
        <v>0</v>
      </c>
      <c r="E242" s="131"/>
    </row>
    <row r="243" spans="1:9" x14ac:dyDescent="0.25">
      <c r="A243" s="753">
        <v>901028</v>
      </c>
      <c r="B243" s="130">
        <v>0</v>
      </c>
      <c r="E243" s="131"/>
    </row>
    <row r="244" spans="1:9" x14ac:dyDescent="0.25">
      <c r="A244" s="753">
        <v>901112</v>
      </c>
      <c r="B244" s="130">
        <v>100</v>
      </c>
      <c r="E244" s="131"/>
    </row>
    <row r="245" spans="1:9" x14ac:dyDescent="0.25">
      <c r="A245" s="753">
        <v>901114</v>
      </c>
      <c r="B245" s="130">
        <v>9646</v>
      </c>
      <c r="E245" s="131"/>
    </row>
    <row r="246" spans="1:9" x14ac:dyDescent="0.25">
      <c r="A246" s="753">
        <v>901116</v>
      </c>
      <c r="B246" s="130">
        <v>2756</v>
      </c>
      <c r="C246" s="131" t="s">
        <v>14</v>
      </c>
      <c r="D246" s="131">
        <v>16</v>
      </c>
      <c r="E246" s="131" t="s">
        <v>14</v>
      </c>
      <c r="F246" s="767">
        <v>-20161.36</v>
      </c>
      <c r="G246" s="767">
        <v>-2374.63</v>
      </c>
      <c r="H246" s="767">
        <v>-22535.99</v>
      </c>
      <c r="I246" s="768" t="s">
        <v>1477</v>
      </c>
    </row>
    <row r="247" spans="1:9" x14ac:dyDescent="0.25">
      <c r="A247" s="753"/>
      <c r="C247" s="131" t="s">
        <v>982</v>
      </c>
      <c r="D247" s="131">
        <v>16</v>
      </c>
      <c r="E247" s="131" t="s">
        <v>982</v>
      </c>
      <c r="F247" s="767">
        <v>14373.38</v>
      </c>
      <c r="G247" s="767">
        <v>1696.21</v>
      </c>
      <c r="H247" s="767">
        <v>16069.59</v>
      </c>
      <c r="I247" s="768" t="s">
        <v>1478</v>
      </c>
    </row>
    <row r="248" spans="1:9" x14ac:dyDescent="0.25">
      <c r="A248" s="753"/>
      <c r="C248" s="131" t="s">
        <v>17</v>
      </c>
      <c r="D248" s="131">
        <v>16</v>
      </c>
      <c r="E248" s="131" t="s">
        <v>17</v>
      </c>
      <c r="F248" s="767">
        <v>-44656.33</v>
      </c>
      <c r="G248" s="767">
        <v>-5956.64</v>
      </c>
      <c r="H248" s="767">
        <v>-50612.97</v>
      </c>
      <c r="I248" s="768" t="s">
        <v>1480</v>
      </c>
    </row>
    <row r="249" spans="1:9" x14ac:dyDescent="0.25">
      <c r="A249" s="753"/>
      <c r="C249" s="131" t="s">
        <v>984</v>
      </c>
      <c r="D249" s="131">
        <v>16</v>
      </c>
      <c r="E249" s="131" t="s">
        <v>984</v>
      </c>
      <c r="F249" s="767">
        <v>31895.46</v>
      </c>
      <c r="G249" s="767">
        <v>4254.84</v>
      </c>
      <c r="H249" s="767">
        <v>36150.300000000003</v>
      </c>
      <c r="I249" s="768" t="s">
        <v>1481</v>
      </c>
    </row>
    <row r="250" spans="1:9" x14ac:dyDescent="0.25">
      <c r="A250" s="753"/>
      <c r="C250" s="131" t="s">
        <v>247</v>
      </c>
      <c r="D250" s="131">
        <v>16</v>
      </c>
      <c r="E250" s="131" t="s">
        <v>247</v>
      </c>
      <c r="F250" s="767">
        <v>-1433.56</v>
      </c>
      <c r="G250" s="767">
        <v>-1314.44</v>
      </c>
      <c r="H250" s="767">
        <v>-2748</v>
      </c>
      <c r="I250" s="768" t="s">
        <v>1483</v>
      </c>
    </row>
    <row r="251" spans="1:9" x14ac:dyDescent="0.25">
      <c r="A251" s="753"/>
      <c r="C251" s="131" t="s">
        <v>986</v>
      </c>
      <c r="D251" s="131">
        <v>16</v>
      </c>
      <c r="E251" s="131" t="s">
        <v>986</v>
      </c>
      <c r="F251" s="767">
        <v>1023.99</v>
      </c>
      <c r="G251" s="767">
        <v>938.88</v>
      </c>
      <c r="H251" s="767">
        <v>1962.87</v>
      </c>
      <c r="I251" s="768" t="s">
        <v>1484</v>
      </c>
    </row>
    <row r="252" spans="1:9" x14ac:dyDescent="0.25">
      <c r="A252" s="753">
        <v>901118</v>
      </c>
      <c r="B252" s="130">
        <v>286</v>
      </c>
      <c r="E252" s="131"/>
    </row>
    <row r="253" spans="1:9" x14ac:dyDescent="0.25">
      <c r="A253" s="753">
        <v>901122</v>
      </c>
      <c r="B253" s="130">
        <v>806</v>
      </c>
      <c r="E253" s="131"/>
    </row>
    <row r="254" spans="1:9" x14ac:dyDescent="0.25">
      <c r="A254" s="753">
        <v>901124</v>
      </c>
      <c r="B254" s="130">
        <v>75897</v>
      </c>
      <c r="E254" s="131"/>
    </row>
    <row r="255" spans="1:9" x14ac:dyDescent="0.25">
      <c r="A255" s="753">
        <v>901126</v>
      </c>
      <c r="B255" s="130">
        <v>21714</v>
      </c>
      <c r="C255" s="131" t="s">
        <v>14</v>
      </c>
      <c r="D255" s="131">
        <v>16</v>
      </c>
      <c r="E255" s="131" t="s">
        <v>14</v>
      </c>
      <c r="F255" s="767">
        <v>-20161.36</v>
      </c>
      <c r="G255" s="767">
        <v>-2374.63</v>
      </c>
      <c r="H255" s="767">
        <v>-22535.99</v>
      </c>
      <c r="I255" s="768" t="s">
        <v>1477</v>
      </c>
    </row>
    <row r="256" spans="1:9" x14ac:dyDescent="0.25">
      <c r="A256" s="753"/>
      <c r="C256" s="131" t="s">
        <v>982</v>
      </c>
      <c r="D256" s="131">
        <v>16</v>
      </c>
      <c r="E256" s="131" t="s">
        <v>982</v>
      </c>
      <c r="F256" s="767">
        <v>14373.38</v>
      </c>
      <c r="G256" s="767">
        <v>1696.21</v>
      </c>
      <c r="H256" s="767">
        <v>16069.59</v>
      </c>
      <c r="I256" s="768" t="s">
        <v>1478</v>
      </c>
    </row>
    <row r="257" spans="1:9" x14ac:dyDescent="0.25">
      <c r="A257" s="753"/>
      <c r="C257" s="131" t="s">
        <v>17</v>
      </c>
      <c r="D257" s="131">
        <v>16</v>
      </c>
      <c r="E257" s="131" t="s">
        <v>17</v>
      </c>
      <c r="F257" s="767">
        <v>-44656.33</v>
      </c>
      <c r="G257" s="767">
        <v>-5956.64</v>
      </c>
      <c r="H257" s="767">
        <v>-50612.97</v>
      </c>
      <c r="I257" s="768" t="s">
        <v>1480</v>
      </c>
    </row>
    <row r="258" spans="1:9" x14ac:dyDescent="0.25">
      <c r="A258" s="753"/>
      <c r="C258" s="131" t="s">
        <v>984</v>
      </c>
      <c r="D258" s="131">
        <v>16</v>
      </c>
      <c r="E258" s="131" t="s">
        <v>984</v>
      </c>
      <c r="F258" s="767">
        <v>31895.46</v>
      </c>
      <c r="G258" s="767">
        <v>4254.84</v>
      </c>
      <c r="H258" s="767">
        <v>36150.300000000003</v>
      </c>
      <c r="I258" s="768" t="s">
        <v>1481</v>
      </c>
    </row>
    <row r="259" spans="1:9" x14ac:dyDescent="0.25">
      <c r="A259" s="753"/>
      <c r="C259" s="131" t="s">
        <v>247</v>
      </c>
      <c r="D259" s="131">
        <v>16</v>
      </c>
      <c r="E259" s="131" t="s">
        <v>247</v>
      </c>
      <c r="F259" s="767">
        <v>-1433.56</v>
      </c>
      <c r="G259" s="767">
        <v>-1314.44</v>
      </c>
      <c r="H259" s="767">
        <v>-2748</v>
      </c>
      <c r="I259" s="768" t="s">
        <v>1483</v>
      </c>
    </row>
    <row r="260" spans="1:9" x14ac:dyDescent="0.25">
      <c r="A260" s="753"/>
      <c r="C260" s="131" t="s">
        <v>986</v>
      </c>
      <c r="D260" s="131">
        <v>16</v>
      </c>
      <c r="E260" s="131" t="s">
        <v>986</v>
      </c>
      <c r="F260" s="767">
        <v>1023.99</v>
      </c>
      <c r="G260" s="767">
        <v>938.88</v>
      </c>
      <c r="H260" s="767">
        <v>1962.87</v>
      </c>
      <c r="I260" s="768" t="s">
        <v>1484</v>
      </c>
    </row>
    <row r="261" spans="1:9" x14ac:dyDescent="0.25">
      <c r="A261" s="753">
        <v>901128</v>
      </c>
      <c r="B261" s="130">
        <v>286</v>
      </c>
      <c r="E261" s="131"/>
    </row>
    <row r="262" spans="1:9" x14ac:dyDescent="0.25">
      <c r="A262" s="753">
        <v>901212</v>
      </c>
      <c r="B262" s="130">
        <v>1</v>
      </c>
      <c r="C262" s="131" t="s">
        <v>987</v>
      </c>
      <c r="D262" s="131">
        <v>16</v>
      </c>
      <c r="E262" s="131" t="s">
        <v>987</v>
      </c>
      <c r="F262" s="767">
        <v>-0.01</v>
      </c>
      <c r="G262" s="767">
        <v>-0.01</v>
      </c>
      <c r="H262" s="767">
        <v>-0.02</v>
      </c>
      <c r="I262" s="768" t="s">
        <v>1485</v>
      </c>
    </row>
    <row r="263" spans="1:9" x14ac:dyDescent="0.25">
      <c r="A263" s="753">
        <v>901214</v>
      </c>
      <c r="B263" s="130">
        <v>2526</v>
      </c>
      <c r="C263" s="131" t="s">
        <v>19</v>
      </c>
      <c r="D263" s="131">
        <v>16</v>
      </c>
      <c r="E263" s="131" t="s">
        <v>19</v>
      </c>
      <c r="F263" s="767">
        <v>-400.42</v>
      </c>
      <c r="G263" s="767">
        <v>-2525.73</v>
      </c>
      <c r="H263" s="767">
        <v>-2926.15</v>
      </c>
      <c r="I263" s="768" t="s">
        <v>1486</v>
      </c>
    </row>
    <row r="264" spans="1:9" x14ac:dyDescent="0.25">
      <c r="A264" s="753">
        <v>901216</v>
      </c>
      <c r="B264" s="130">
        <v>979</v>
      </c>
      <c r="C264" s="131" t="s">
        <v>19</v>
      </c>
      <c r="D264" s="131">
        <v>16</v>
      </c>
      <c r="E264" s="131" t="s">
        <v>19</v>
      </c>
      <c r="F264" s="767">
        <v>-400.42</v>
      </c>
      <c r="G264" s="767">
        <v>-2525.73</v>
      </c>
      <c r="H264" s="767">
        <v>-2926.15</v>
      </c>
      <c r="I264" s="768" t="s">
        <v>1486</v>
      </c>
    </row>
    <row r="265" spans="1:9" x14ac:dyDescent="0.25">
      <c r="A265" s="753"/>
      <c r="C265" s="131" t="s">
        <v>988</v>
      </c>
      <c r="D265" s="131">
        <v>16</v>
      </c>
      <c r="E265" s="131" t="s">
        <v>988</v>
      </c>
      <c r="F265" s="767">
        <v>242.14</v>
      </c>
      <c r="G265" s="767">
        <v>1546.64</v>
      </c>
      <c r="H265" s="767">
        <v>1788.78</v>
      </c>
      <c r="I265" s="768" t="s">
        <v>1487</v>
      </c>
    </row>
    <row r="266" spans="1:9" x14ac:dyDescent="0.25">
      <c r="A266" s="753">
        <v>901218</v>
      </c>
      <c r="B266" s="130">
        <v>388</v>
      </c>
      <c r="E266" s="131"/>
    </row>
    <row r="267" spans="1:9" x14ac:dyDescent="0.25">
      <c r="A267" s="753">
        <v>901222</v>
      </c>
      <c r="B267" s="130">
        <v>2</v>
      </c>
      <c r="C267" s="131" t="s">
        <v>987</v>
      </c>
      <c r="D267" s="131">
        <v>16</v>
      </c>
      <c r="E267" s="131" t="s">
        <v>987</v>
      </c>
      <c r="F267" s="767">
        <v>-0.01</v>
      </c>
      <c r="G267" s="767">
        <v>-0.01</v>
      </c>
      <c r="H267" s="767">
        <v>-0.02</v>
      </c>
      <c r="I267" s="768" t="s">
        <v>1485</v>
      </c>
    </row>
    <row r="268" spans="1:9" x14ac:dyDescent="0.25">
      <c r="A268" s="753">
        <v>901224</v>
      </c>
      <c r="B268" s="130">
        <v>2926</v>
      </c>
      <c r="C268" s="131" t="s">
        <v>19</v>
      </c>
      <c r="D268" s="131">
        <v>16</v>
      </c>
      <c r="E268" s="131" t="s">
        <v>19</v>
      </c>
      <c r="F268" s="767">
        <v>-400.42</v>
      </c>
      <c r="G268" s="767">
        <v>-2525.73</v>
      </c>
      <c r="H268" s="767">
        <v>-2926.15</v>
      </c>
      <c r="I268" s="768" t="s">
        <v>1486</v>
      </c>
    </row>
    <row r="269" spans="1:9" x14ac:dyDescent="0.25">
      <c r="A269" s="753">
        <v>901226</v>
      </c>
      <c r="B269" s="130">
        <v>1137</v>
      </c>
      <c r="C269" s="131" t="s">
        <v>19</v>
      </c>
      <c r="D269" s="131">
        <v>16</v>
      </c>
      <c r="E269" s="131" t="s">
        <v>19</v>
      </c>
      <c r="F269" s="767">
        <v>-400.42</v>
      </c>
      <c r="G269" s="767">
        <v>-2525.73</v>
      </c>
      <c r="H269" s="767">
        <v>-2926.15</v>
      </c>
      <c r="I269" s="768" t="s">
        <v>1486</v>
      </c>
    </row>
    <row r="270" spans="1:9" x14ac:dyDescent="0.25">
      <c r="A270" s="753"/>
      <c r="C270" s="131" t="s">
        <v>988</v>
      </c>
      <c r="D270" s="131">
        <v>16</v>
      </c>
      <c r="E270" s="131" t="s">
        <v>988</v>
      </c>
      <c r="F270" s="767">
        <v>242.14</v>
      </c>
      <c r="G270" s="767">
        <v>1546.64</v>
      </c>
      <c r="H270" s="767">
        <v>1788.78</v>
      </c>
      <c r="I270" s="768" t="s">
        <v>1487</v>
      </c>
    </row>
    <row r="271" spans="1:9" x14ac:dyDescent="0.25">
      <c r="A271" s="753">
        <v>901228</v>
      </c>
      <c r="B271" s="130">
        <v>389</v>
      </c>
      <c r="E271" s="131"/>
    </row>
    <row r="272" spans="1:9" x14ac:dyDescent="0.25">
      <c r="A272" s="753">
        <v>901312</v>
      </c>
      <c r="B272" s="130">
        <v>0</v>
      </c>
      <c r="C272" s="131" t="s">
        <v>989</v>
      </c>
      <c r="D272" s="131">
        <v>16</v>
      </c>
      <c r="E272" s="131" t="s">
        <v>989</v>
      </c>
      <c r="F272" s="767">
        <v>-0.02</v>
      </c>
      <c r="G272" s="767">
        <v>0</v>
      </c>
      <c r="H272" s="767">
        <v>-0.02</v>
      </c>
      <c r="I272" s="768" t="s">
        <v>1488</v>
      </c>
    </row>
    <row r="273" spans="1:9" x14ac:dyDescent="0.25">
      <c r="A273" s="753">
        <v>901314</v>
      </c>
      <c r="B273" s="130">
        <v>0</v>
      </c>
      <c r="C273" s="131" t="s">
        <v>20</v>
      </c>
      <c r="D273" s="131">
        <v>16</v>
      </c>
      <c r="E273" s="131" t="s">
        <v>20</v>
      </c>
      <c r="F273" s="767">
        <v>-4095.97</v>
      </c>
      <c r="G273" s="767">
        <v>0</v>
      </c>
      <c r="H273" s="767">
        <v>-4095.97</v>
      </c>
      <c r="I273" s="768" t="s">
        <v>1489</v>
      </c>
    </row>
    <row r="274" spans="1:9" x14ac:dyDescent="0.25">
      <c r="A274" s="753">
        <v>901316</v>
      </c>
      <c r="B274" s="130">
        <v>0</v>
      </c>
      <c r="C274" s="131" t="s">
        <v>20</v>
      </c>
      <c r="D274" s="131">
        <v>16</v>
      </c>
      <c r="E274" s="131" t="s">
        <v>20</v>
      </c>
      <c r="F274" s="767">
        <v>-4095.97</v>
      </c>
      <c r="G274" s="767">
        <v>0</v>
      </c>
      <c r="H274" s="767">
        <v>-4095.97</v>
      </c>
      <c r="I274" s="768" t="s">
        <v>1489</v>
      </c>
    </row>
    <row r="275" spans="1:9" x14ac:dyDescent="0.25">
      <c r="A275" s="753"/>
      <c r="C275" s="131" t="s">
        <v>990</v>
      </c>
      <c r="D275" s="131">
        <v>16</v>
      </c>
      <c r="E275" s="131" t="s">
        <v>990</v>
      </c>
      <c r="F275" s="767">
        <v>2948.1</v>
      </c>
      <c r="G275" s="767">
        <v>0</v>
      </c>
      <c r="H275" s="767">
        <v>2948.1</v>
      </c>
      <c r="I275" s="768" t="s">
        <v>1490</v>
      </c>
    </row>
    <row r="276" spans="1:9" x14ac:dyDescent="0.25">
      <c r="A276" s="753">
        <v>901318</v>
      </c>
      <c r="B276" s="130">
        <v>0</v>
      </c>
      <c r="E276" s="131"/>
    </row>
    <row r="277" spans="1:9" x14ac:dyDescent="0.25">
      <c r="A277" s="753">
        <v>901322</v>
      </c>
      <c r="B277" s="130">
        <v>2</v>
      </c>
      <c r="C277" s="131" t="s">
        <v>989</v>
      </c>
      <c r="D277" s="131">
        <v>16</v>
      </c>
      <c r="E277" s="131" t="s">
        <v>989</v>
      </c>
      <c r="F277" s="767">
        <v>-0.02</v>
      </c>
      <c r="G277" s="767">
        <v>0</v>
      </c>
      <c r="H277" s="767">
        <v>-0.02</v>
      </c>
      <c r="I277" s="768" t="s">
        <v>1488</v>
      </c>
    </row>
    <row r="278" spans="1:9" x14ac:dyDescent="0.25">
      <c r="A278" s="753">
        <v>901324</v>
      </c>
      <c r="B278" s="130">
        <v>4096</v>
      </c>
      <c r="C278" s="131" t="s">
        <v>20</v>
      </c>
      <c r="D278" s="131">
        <v>16</v>
      </c>
      <c r="E278" s="131" t="s">
        <v>20</v>
      </c>
      <c r="F278" s="767">
        <v>-4095.97</v>
      </c>
      <c r="G278" s="767">
        <v>0</v>
      </c>
      <c r="H278" s="767">
        <v>-4095.97</v>
      </c>
      <c r="I278" s="768" t="s">
        <v>1489</v>
      </c>
    </row>
    <row r="279" spans="1:9" x14ac:dyDescent="0.25">
      <c r="A279" s="753">
        <v>901326</v>
      </c>
      <c r="B279" s="130">
        <v>1148</v>
      </c>
      <c r="C279" s="131" t="s">
        <v>20</v>
      </c>
      <c r="D279" s="131">
        <v>16</v>
      </c>
      <c r="E279" s="131" t="s">
        <v>20</v>
      </c>
      <c r="F279" s="767">
        <v>-4095.97</v>
      </c>
      <c r="G279" s="767">
        <v>0</v>
      </c>
      <c r="H279" s="767">
        <v>-4095.97</v>
      </c>
      <c r="I279" s="768" t="s">
        <v>1489</v>
      </c>
    </row>
    <row r="280" spans="1:9" x14ac:dyDescent="0.25">
      <c r="A280" s="753"/>
      <c r="C280" s="131" t="s">
        <v>990</v>
      </c>
      <c r="D280" s="131">
        <v>16</v>
      </c>
      <c r="E280" s="131" t="s">
        <v>990</v>
      </c>
      <c r="F280" s="767">
        <v>2948.1</v>
      </c>
      <c r="G280" s="767">
        <v>0</v>
      </c>
      <c r="H280" s="767">
        <v>2948.1</v>
      </c>
      <c r="I280" s="768" t="s">
        <v>1490</v>
      </c>
    </row>
    <row r="281" spans="1:9" x14ac:dyDescent="0.25">
      <c r="A281" s="753">
        <v>901328</v>
      </c>
      <c r="B281" s="130">
        <v>280</v>
      </c>
      <c r="E281" s="131"/>
    </row>
    <row r="282" spans="1:9" x14ac:dyDescent="0.25">
      <c r="A282" s="753">
        <v>901412</v>
      </c>
      <c r="B282" s="130">
        <v>0</v>
      </c>
      <c r="C282" s="131" t="s">
        <v>991</v>
      </c>
      <c r="D282" s="131">
        <v>16</v>
      </c>
      <c r="E282" s="131" t="s">
        <v>991</v>
      </c>
      <c r="F282" s="767">
        <v>-0.02</v>
      </c>
      <c r="G282" s="767">
        <v>0</v>
      </c>
      <c r="H282" s="767">
        <v>-0.02</v>
      </c>
      <c r="I282" s="768" t="s">
        <v>1491</v>
      </c>
    </row>
    <row r="283" spans="1:9" x14ac:dyDescent="0.25">
      <c r="A283" s="753">
        <v>901414</v>
      </c>
      <c r="B283" s="130">
        <v>0</v>
      </c>
      <c r="C283" s="131" t="s">
        <v>248</v>
      </c>
      <c r="D283" s="131">
        <v>16</v>
      </c>
      <c r="E283" s="131" t="s">
        <v>248</v>
      </c>
      <c r="F283" s="767">
        <v>-206.7</v>
      </c>
      <c r="G283" s="767">
        <v>0</v>
      </c>
      <c r="H283" s="767">
        <v>-206.7</v>
      </c>
      <c r="I283" s="768" t="s">
        <v>1492</v>
      </c>
    </row>
    <row r="284" spans="1:9" x14ac:dyDescent="0.25">
      <c r="A284" s="753">
        <v>901416</v>
      </c>
      <c r="B284" s="130">
        <v>0</v>
      </c>
      <c r="C284" s="131" t="s">
        <v>248</v>
      </c>
      <c r="D284" s="131">
        <v>16</v>
      </c>
      <c r="E284" s="131" t="s">
        <v>248</v>
      </c>
      <c r="F284" s="767">
        <v>-206.7</v>
      </c>
      <c r="G284" s="767">
        <v>0</v>
      </c>
      <c r="H284" s="767">
        <v>-206.7</v>
      </c>
      <c r="I284" s="768" t="s">
        <v>1492</v>
      </c>
    </row>
    <row r="285" spans="1:9" x14ac:dyDescent="0.25">
      <c r="A285" s="753"/>
      <c r="C285" s="131" t="s">
        <v>992</v>
      </c>
      <c r="D285" s="131">
        <v>16</v>
      </c>
      <c r="E285" s="131" t="s">
        <v>992</v>
      </c>
      <c r="F285" s="767">
        <v>136.69999999999999</v>
      </c>
      <c r="G285" s="767">
        <v>0</v>
      </c>
      <c r="H285" s="767">
        <v>136.69999999999999</v>
      </c>
      <c r="I285" s="768" t="s">
        <v>1493</v>
      </c>
    </row>
    <row r="286" spans="1:9" x14ac:dyDescent="0.25">
      <c r="A286" s="753">
        <v>901418</v>
      </c>
      <c r="B286" s="130">
        <v>0</v>
      </c>
      <c r="E286" s="131"/>
    </row>
    <row r="287" spans="1:9" x14ac:dyDescent="0.25">
      <c r="A287" s="753">
        <v>901422</v>
      </c>
      <c r="B287" s="130">
        <v>2</v>
      </c>
      <c r="C287" s="131" t="s">
        <v>991</v>
      </c>
      <c r="D287" s="131">
        <v>16</v>
      </c>
      <c r="E287" s="131" t="s">
        <v>991</v>
      </c>
      <c r="F287" s="767">
        <v>-0.02</v>
      </c>
      <c r="G287" s="767">
        <v>0</v>
      </c>
      <c r="H287" s="767">
        <v>-0.02</v>
      </c>
      <c r="I287" s="768" t="s">
        <v>1491</v>
      </c>
    </row>
    <row r="288" spans="1:9" x14ac:dyDescent="0.25">
      <c r="A288" s="753">
        <v>901424</v>
      </c>
      <c r="B288" s="130">
        <v>207</v>
      </c>
      <c r="C288" s="131" t="s">
        <v>248</v>
      </c>
      <c r="D288" s="131">
        <v>16</v>
      </c>
      <c r="E288" s="131" t="s">
        <v>248</v>
      </c>
      <c r="F288" s="767">
        <v>-206.7</v>
      </c>
      <c r="G288" s="767">
        <v>0</v>
      </c>
      <c r="H288" s="767">
        <v>-206.7</v>
      </c>
      <c r="I288" s="768" t="s">
        <v>1492</v>
      </c>
    </row>
    <row r="289" spans="1:9" x14ac:dyDescent="0.25">
      <c r="A289" s="753">
        <v>901426</v>
      </c>
      <c r="B289" s="130">
        <v>70</v>
      </c>
      <c r="C289" s="131" t="s">
        <v>248</v>
      </c>
      <c r="D289" s="131">
        <v>16</v>
      </c>
      <c r="E289" s="131" t="s">
        <v>248</v>
      </c>
      <c r="F289" s="767">
        <v>-206.7</v>
      </c>
      <c r="G289" s="767">
        <v>0</v>
      </c>
      <c r="H289" s="767">
        <v>-206.7</v>
      </c>
      <c r="I289" s="768" t="s">
        <v>1492</v>
      </c>
    </row>
    <row r="290" spans="1:9" x14ac:dyDescent="0.25">
      <c r="A290" s="753"/>
      <c r="C290" s="131" t="s">
        <v>992</v>
      </c>
      <c r="D290" s="131">
        <v>16</v>
      </c>
      <c r="E290" s="131" t="s">
        <v>992</v>
      </c>
      <c r="F290" s="767">
        <v>136.69999999999999</v>
      </c>
      <c r="G290" s="767">
        <v>0</v>
      </c>
      <c r="H290" s="767">
        <v>136.69999999999999</v>
      </c>
      <c r="I290" s="768" t="s">
        <v>1493</v>
      </c>
    </row>
    <row r="291" spans="1:9" x14ac:dyDescent="0.25">
      <c r="A291" s="753">
        <v>901428</v>
      </c>
      <c r="B291" s="130">
        <v>338</v>
      </c>
      <c r="E291" s="131"/>
    </row>
    <row r="292" spans="1:9" x14ac:dyDescent="0.25">
      <c r="A292" s="753">
        <v>901512</v>
      </c>
      <c r="B292" s="130">
        <v>0</v>
      </c>
      <c r="E292" s="131"/>
    </row>
    <row r="293" spans="1:9" x14ac:dyDescent="0.25">
      <c r="A293" s="753">
        <v>901514</v>
      </c>
      <c r="B293" s="130">
        <v>0</v>
      </c>
      <c r="E293" s="131"/>
    </row>
    <row r="294" spans="1:9" x14ac:dyDescent="0.25">
      <c r="A294" s="753">
        <v>901516</v>
      </c>
      <c r="B294" s="130">
        <v>0</v>
      </c>
      <c r="E294" s="131"/>
    </row>
    <row r="295" spans="1:9" x14ac:dyDescent="0.25">
      <c r="A295" s="753">
        <v>901518</v>
      </c>
      <c r="B295" s="130">
        <v>0</v>
      </c>
      <c r="E295" s="131"/>
    </row>
    <row r="296" spans="1:9" x14ac:dyDescent="0.25">
      <c r="A296" s="753">
        <v>901522</v>
      </c>
      <c r="B296" s="130">
        <v>0</v>
      </c>
      <c r="E296" s="131"/>
    </row>
    <row r="297" spans="1:9" x14ac:dyDescent="0.25">
      <c r="A297" s="753">
        <v>901524</v>
      </c>
      <c r="B297" s="130">
        <v>0</v>
      </c>
      <c r="E297" s="131"/>
    </row>
    <row r="298" spans="1:9" x14ac:dyDescent="0.25">
      <c r="A298" s="753">
        <v>901526</v>
      </c>
      <c r="B298" s="130">
        <v>0</v>
      </c>
      <c r="E298" s="131"/>
    </row>
    <row r="299" spans="1:9" x14ac:dyDescent="0.25">
      <c r="A299" s="753">
        <v>901528</v>
      </c>
      <c r="B299" s="130">
        <v>0</v>
      </c>
      <c r="E299" s="131"/>
    </row>
    <row r="300" spans="1:9" x14ac:dyDescent="0.25">
      <c r="A300" s="753">
        <v>901612</v>
      </c>
      <c r="B300" s="130">
        <v>0</v>
      </c>
      <c r="E300" s="131"/>
    </row>
    <row r="301" spans="1:9" x14ac:dyDescent="0.25">
      <c r="A301" s="753">
        <v>901614</v>
      </c>
      <c r="B301" s="130">
        <v>0</v>
      </c>
      <c r="E301" s="131"/>
    </row>
    <row r="302" spans="1:9" x14ac:dyDescent="0.25">
      <c r="A302" s="753">
        <v>901616</v>
      </c>
      <c r="B302" s="130">
        <v>0</v>
      </c>
      <c r="E302" s="131"/>
    </row>
    <row r="303" spans="1:9" x14ac:dyDescent="0.25">
      <c r="A303" s="753">
        <v>901618</v>
      </c>
      <c r="B303" s="130">
        <v>0</v>
      </c>
      <c r="E303" s="131"/>
    </row>
    <row r="304" spans="1:9" x14ac:dyDescent="0.25">
      <c r="A304" s="753">
        <v>901622</v>
      </c>
      <c r="B304" s="130">
        <v>0</v>
      </c>
      <c r="E304" s="131"/>
    </row>
    <row r="305" spans="1:9" x14ac:dyDescent="0.25">
      <c r="A305" s="753">
        <v>901624</v>
      </c>
      <c r="B305" s="130">
        <v>0</v>
      </c>
      <c r="E305" s="131"/>
    </row>
    <row r="306" spans="1:9" x14ac:dyDescent="0.25">
      <c r="A306" s="753">
        <v>901626</v>
      </c>
      <c r="B306" s="130">
        <v>0</v>
      </c>
      <c r="E306" s="131"/>
    </row>
    <row r="307" spans="1:9" x14ac:dyDescent="0.25">
      <c r="A307" s="753">
        <v>901628</v>
      </c>
      <c r="B307" s="130">
        <v>0</v>
      </c>
      <c r="E307" s="131"/>
    </row>
    <row r="308" spans="1:9" x14ac:dyDescent="0.25">
      <c r="A308" s="753">
        <v>901712</v>
      </c>
      <c r="B308" s="130">
        <v>1</v>
      </c>
      <c r="E308" s="131"/>
    </row>
    <row r="309" spans="1:9" x14ac:dyDescent="0.25">
      <c r="A309" s="753">
        <v>901714</v>
      </c>
      <c r="B309" s="130">
        <v>2526</v>
      </c>
      <c r="E309" s="131"/>
    </row>
    <row r="310" spans="1:9" x14ac:dyDescent="0.25">
      <c r="A310" s="753">
        <v>901716</v>
      </c>
      <c r="B310" s="130">
        <v>979</v>
      </c>
      <c r="C310" s="131" t="s">
        <v>19</v>
      </c>
      <c r="D310" s="131">
        <v>16</v>
      </c>
      <c r="E310" s="131" t="s">
        <v>19</v>
      </c>
      <c r="F310" s="767">
        <v>-400.42</v>
      </c>
      <c r="G310" s="767">
        <v>-2525.73</v>
      </c>
      <c r="H310" s="767">
        <v>-2926.15</v>
      </c>
      <c r="I310" s="768" t="s">
        <v>1486</v>
      </c>
    </row>
    <row r="311" spans="1:9" x14ac:dyDescent="0.25">
      <c r="A311" s="753"/>
      <c r="C311" s="131" t="s">
        <v>988</v>
      </c>
      <c r="D311" s="131">
        <v>16</v>
      </c>
      <c r="E311" s="131" t="s">
        <v>988</v>
      </c>
      <c r="F311" s="767">
        <v>242.14</v>
      </c>
      <c r="G311" s="767">
        <v>1546.64</v>
      </c>
      <c r="H311" s="767">
        <v>1788.78</v>
      </c>
      <c r="I311" s="768" t="s">
        <v>1487</v>
      </c>
    </row>
    <row r="312" spans="1:9" x14ac:dyDescent="0.25">
      <c r="A312" s="753"/>
      <c r="C312" s="131" t="s">
        <v>20</v>
      </c>
      <c r="D312" s="131">
        <v>16</v>
      </c>
      <c r="E312" s="131" t="s">
        <v>20</v>
      </c>
      <c r="F312" s="767">
        <v>-4095.97</v>
      </c>
      <c r="G312" s="767">
        <v>0</v>
      </c>
      <c r="H312" s="767">
        <v>-4095.97</v>
      </c>
      <c r="I312" s="768" t="s">
        <v>1489</v>
      </c>
    </row>
    <row r="313" spans="1:9" x14ac:dyDescent="0.25">
      <c r="A313" s="753"/>
      <c r="C313" s="131" t="s">
        <v>990</v>
      </c>
      <c r="D313" s="131">
        <v>16</v>
      </c>
      <c r="E313" s="131" t="s">
        <v>990</v>
      </c>
      <c r="F313" s="767">
        <v>2948.1</v>
      </c>
      <c r="G313" s="767">
        <v>0</v>
      </c>
      <c r="H313" s="767">
        <v>2948.1</v>
      </c>
      <c r="I313" s="768" t="s">
        <v>1490</v>
      </c>
    </row>
    <row r="314" spans="1:9" x14ac:dyDescent="0.25">
      <c r="A314" s="753"/>
      <c r="C314" s="131" t="s">
        <v>248</v>
      </c>
      <c r="D314" s="131">
        <v>16</v>
      </c>
      <c r="E314" s="131" t="s">
        <v>248</v>
      </c>
      <c r="F314" s="767">
        <v>-206.7</v>
      </c>
      <c r="G314" s="767">
        <v>0</v>
      </c>
      <c r="H314" s="767">
        <v>-206.7</v>
      </c>
      <c r="I314" s="768" t="s">
        <v>1492</v>
      </c>
    </row>
    <row r="315" spans="1:9" x14ac:dyDescent="0.25">
      <c r="A315" s="753"/>
      <c r="C315" s="131" t="s">
        <v>992</v>
      </c>
      <c r="D315" s="131">
        <v>16</v>
      </c>
      <c r="E315" s="131" t="s">
        <v>992</v>
      </c>
      <c r="F315" s="767">
        <v>136.69999999999999</v>
      </c>
      <c r="G315" s="767">
        <v>0</v>
      </c>
      <c r="H315" s="767">
        <v>136.69999999999999</v>
      </c>
      <c r="I315" s="768" t="s">
        <v>1493</v>
      </c>
    </row>
    <row r="316" spans="1:9" x14ac:dyDescent="0.25">
      <c r="A316" s="753">
        <v>901718</v>
      </c>
      <c r="B316" s="130">
        <v>388</v>
      </c>
      <c r="E316" s="131"/>
    </row>
    <row r="317" spans="1:9" x14ac:dyDescent="0.25">
      <c r="A317" s="753">
        <v>901722</v>
      </c>
      <c r="B317" s="130">
        <v>6</v>
      </c>
      <c r="E317" s="131"/>
    </row>
    <row r="318" spans="1:9" x14ac:dyDescent="0.25">
      <c r="A318" s="753">
        <v>901724</v>
      </c>
      <c r="B318" s="130">
        <v>7229</v>
      </c>
      <c r="E318" s="131"/>
    </row>
    <row r="319" spans="1:9" x14ac:dyDescent="0.25">
      <c r="A319" s="753">
        <v>901726</v>
      </c>
      <c r="B319" s="130">
        <v>2355</v>
      </c>
      <c r="C319" s="131" t="s">
        <v>19</v>
      </c>
      <c r="D319" s="131">
        <v>16</v>
      </c>
      <c r="E319" s="131" t="s">
        <v>19</v>
      </c>
      <c r="F319" s="767">
        <v>-400.42</v>
      </c>
      <c r="G319" s="767">
        <v>-2525.73</v>
      </c>
      <c r="H319" s="767">
        <v>-2926.15</v>
      </c>
      <c r="I319" s="768" t="s">
        <v>1486</v>
      </c>
    </row>
    <row r="320" spans="1:9" x14ac:dyDescent="0.25">
      <c r="A320" s="753"/>
      <c r="C320" s="131" t="s">
        <v>988</v>
      </c>
      <c r="D320" s="131">
        <v>16</v>
      </c>
      <c r="E320" s="131" t="s">
        <v>988</v>
      </c>
      <c r="F320" s="767">
        <v>242.14</v>
      </c>
      <c r="G320" s="767">
        <v>1546.64</v>
      </c>
      <c r="H320" s="767">
        <v>1788.78</v>
      </c>
      <c r="I320" s="768" t="s">
        <v>1487</v>
      </c>
    </row>
    <row r="321" spans="1:9" x14ac:dyDescent="0.25">
      <c r="A321" s="753"/>
      <c r="C321" s="131" t="s">
        <v>20</v>
      </c>
      <c r="D321" s="131">
        <v>16</v>
      </c>
      <c r="E321" s="131" t="s">
        <v>20</v>
      </c>
      <c r="F321" s="767">
        <v>-4095.97</v>
      </c>
      <c r="G321" s="767">
        <v>0</v>
      </c>
      <c r="H321" s="767">
        <v>-4095.97</v>
      </c>
      <c r="I321" s="768" t="s">
        <v>1489</v>
      </c>
    </row>
    <row r="322" spans="1:9" x14ac:dyDescent="0.25">
      <c r="A322" s="753"/>
      <c r="C322" s="131" t="s">
        <v>990</v>
      </c>
      <c r="D322" s="131">
        <v>16</v>
      </c>
      <c r="E322" s="131" t="s">
        <v>990</v>
      </c>
      <c r="F322" s="767">
        <v>2948.1</v>
      </c>
      <c r="G322" s="767">
        <v>0</v>
      </c>
      <c r="H322" s="767">
        <v>2948.1</v>
      </c>
      <c r="I322" s="768" t="s">
        <v>1490</v>
      </c>
    </row>
    <row r="323" spans="1:9" x14ac:dyDescent="0.25">
      <c r="A323" s="753"/>
      <c r="C323" s="131" t="s">
        <v>248</v>
      </c>
      <c r="D323" s="131">
        <v>16</v>
      </c>
      <c r="E323" s="131" t="s">
        <v>248</v>
      </c>
      <c r="F323" s="767">
        <v>-206.7</v>
      </c>
      <c r="G323" s="767">
        <v>0</v>
      </c>
      <c r="H323" s="767">
        <v>-206.7</v>
      </c>
      <c r="I323" s="768" t="s">
        <v>1492</v>
      </c>
    </row>
    <row r="324" spans="1:9" x14ac:dyDescent="0.25">
      <c r="A324" s="753"/>
      <c r="C324" s="131" t="s">
        <v>992</v>
      </c>
      <c r="D324" s="131">
        <v>16</v>
      </c>
      <c r="E324" s="131" t="s">
        <v>992</v>
      </c>
      <c r="F324" s="767">
        <v>136.69999999999999</v>
      </c>
      <c r="G324" s="767">
        <v>0</v>
      </c>
      <c r="H324" s="767">
        <v>136.69999999999999</v>
      </c>
      <c r="I324" s="768" t="s">
        <v>1493</v>
      </c>
    </row>
    <row r="325" spans="1:9" x14ac:dyDescent="0.25">
      <c r="A325" s="753">
        <v>901728</v>
      </c>
      <c r="B325" s="130">
        <v>326</v>
      </c>
      <c r="E325" s="131"/>
    </row>
    <row r="326" spans="1:9" x14ac:dyDescent="0.25">
      <c r="A326" s="753">
        <v>901812</v>
      </c>
      <c r="B326" s="130">
        <v>26</v>
      </c>
      <c r="C326" s="131" t="s">
        <v>993</v>
      </c>
      <c r="D326" s="131">
        <v>16</v>
      </c>
      <c r="E326" s="131" t="s">
        <v>993</v>
      </c>
      <c r="F326" s="767">
        <v>-2.64</v>
      </c>
      <c r="G326" s="767">
        <v>-0.26</v>
      </c>
      <c r="H326" s="767">
        <v>-2.9</v>
      </c>
      <c r="I326" s="768" t="s">
        <v>1494</v>
      </c>
    </row>
    <row r="327" spans="1:9" x14ac:dyDescent="0.25">
      <c r="A327" s="753">
        <v>901814</v>
      </c>
      <c r="B327" s="130">
        <v>14178</v>
      </c>
      <c r="C327" s="131" t="s">
        <v>71</v>
      </c>
      <c r="D327" s="131">
        <v>16</v>
      </c>
      <c r="E327" s="131" t="s">
        <v>71</v>
      </c>
      <c r="F327" s="767">
        <v>-99477.86</v>
      </c>
      <c r="G327" s="767">
        <v>-14177.89</v>
      </c>
      <c r="H327" s="767">
        <v>-113655.75</v>
      </c>
      <c r="I327" s="768" t="s">
        <v>1495</v>
      </c>
    </row>
    <row r="328" spans="1:9" x14ac:dyDescent="0.25">
      <c r="A328" s="753">
        <v>901816</v>
      </c>
      <c r="B328" s="130">
        <v>4049</v>
      </c>
      <c r="C328" s="131" t="s">
        <v>71</v>
      </c>
      <c r="D328" s="131">
        <v>16</v>
      </c>
      <c r="E328" s="131" t="s">
        <v>71</v>
      </c>
      <c r="F328" s="767">
        <v>-99477.86</v>
      </c>
      <c r="G328" s="767">
        <v>-14177.89</v>
      </c>
      <c r="H328" s="767">
        <v>-113655.75</v>
      </c>
      <c r="I328" s="768" t="s">
        <v>1495</v>
      </c>
    </row>
    <row r="329" spans="1:9" x14ac:dyDescent="0.25">
      <c r="A329" s="753"/>
      <c r="C329" s="131" t="s">
        <v>994</v>
      </c>
      <c r="D329" s="131">
        <v>16</v>
      </c>
      <c r="E329" s="131" t="s">
        <v>994</v>
      </c>
      <c r="F329" s="767">
        <v>74063.83</v>
      </c>
      <c r="G329" s="767">
        <v>10128.51</v>
      </c>
      <c r="H329" s="767">
        <v>84192.34</v>
      </c>
      <c r="I329" s="768" t="s">
        <v>1496</v>
      </c>
    </row>
    <row r="330" spans="1:9" x14ac:dyDescent="0.25">
      <c r="A330" s="753">
        <v>901818</v>
      </c>
      <c r="B330" s="130">
        <v>286</v>
      </c>
      <c r="E330" s="131"/>
    </row>
    <row r="331" spans="1:9" x14ac:dyDescent="0.25">
      <c r="A331" s="753">
        <v>901822</v>
      </c>
      <c r="B331" s="130">
        <v>290</v>
      </c>
      <c r="C331" s="131" t="s">
        <v>993</v>
      </c>
      <c r="D331" s="131">
        <v>16</v>
      </c>
      <c r="E331" s="131" t="s">
        <v>993</v>
      </c>
      <c r="F331" s="767">
        <v>-2.64</v>
      </c>
      <c r="G331" s="767">
        <v>-0.26</v>
      </c>
      <c r="H331" s="767">
        <v>-2.9</v>
      </c>
      <c r="I331" s="768" t="s">
        <v>1494</v>
      </c>
    </row>
    <row r="332" spans="1:9" x14ac:dyDescent="0.25">
      <c r="A332" s="753">
        <v>901824</v>
      </c>
      <c r="B332" s="130">
        <v>113656</v>
      </c>
      <c r="C332" s="131" t="s">
        <v>71</v>
      </c>
      <c r="D332" s="131">
        <v>16</v>
      </c>
      <c r="E332" s="131" t="s">
        <v>71</v>
      </c>
      <c r="F332" s="767">
        <v>-99477.86</v>
      </c>
      <c r="G332" s="767">
        <v>-14177.89</v>
      </c>
      <c r="H332" s="767">
        <v>-113655.75</v>
      </c>
      <c r="I332" s="768" t="s">
        <v>1495</v>
      </c>
    </row>
    <row r="333" spans="1:9" x14ac:dyDescent="0.25">
      <c r="A333" s="753">
        <v>901826</v>
      </c>
      <c r="B333" s="130">
        <v>29464</v>
      </c>
      <c r="C333" s="131" t="s">
        <v>71</v>
      </c>
      <c r="D333" s="131">
        <v>16</v>
      </c>
      <c r="E333" s="131" t="s">
        <v>71</v>
      </c>
      <c r="F333" s="767">
        <v>-99477.86</v>
      </c>
      <c r="G333" s="767">
        <v>-14177.89</v>
      </c>
      <c r="H333" s="767">
        <v>-113655.75</v>
      </c>
      <c r="I333" s="768" t="s">
        <v>1495</v>
      </c>
    </row>
    <row r="334" spans="1:9" x14ac:dyDescent="0.25">
      <c r="A334" s="753"/>
      <c r="C334" s="131" t="s">
        <v>994</v>
      </c>
      <c r="D334" s="131">
        <v>16</v>
      </c>
      <c r="E334" s="131" t="s">
        <v>994</v>
      </c>
      <c r="F334" s="767">
        <v>74063.83</v>
      </c>
      <c r="G334" s="767">
        <v>10128.51</v>
      </c>
      <c r="H334" s="767">
        <v>84192.34</v>
      </c>
      <c r="I334" s="768" t="s">
        <v>1496</v>
      </c>
    </row>
    <row r="335" spans="1:9" x14ac:dyDescent="0.25">
      <c r="A335" s="753">
        <v>901828</v>
      </c>
      <c r="B335" s="130">
        <v>259</v>
      </c>
      <c r="E335" s="131"/>
    </row>
    <row r="336" spans="1:9" x14ac:dyDescent="0.25">
      <c r="A336" s="753">
        <v>901912</v>
      </c>
      <c r="B336" s="130">
        <v>54</v>
      </c>
      <c r="C336" s="131" t="s">
        <v>995</v>
      </c>
      <c r="D336" s="131">
        <v>16</v>
      </c>
      <c r="E336" s="131" t="s">
        <v>995</v>
      </c>
      <c r="F336" s="767">
        <v>-3.73</v>
      </c>
      <c r="G336" s="767">
        <v>-0.54</v>
      </c>
      <c r="H336" s="767">
        <v>-4.2699999999999996</v>
      </c>
      <c r="I336" s="768" t="s">
        <v>1497</v>
      </c>
    </row>
    <row r="337" spans="1:9" x14ac:dyDescent="0.25">
      <c r="A337" s="753">
        <v>901914</v>
      </c>
      <c r="B337" s="130">
        <v>42435</v>
      </c>
      <c r="C337" s="131" t="s">
        <v>72</v>
      </c>
      <c r="D337" s="131">
        <v>16</v>
      </c>
      <c r="E337" s="131" t="s">
        <v>72</v>
      </c>
      <c r="F337" s="767">
        <v>-237960.89</v>
      </c>
      <c r="G337" s="767">
        <v>-42435.12</v>
      </c>
      <c r="H337" s="767">
        <v>-280396.01</v>
      </c>
      <c r="I337" s="768" t="s">
        <v>1498</v>
      </c>
    </row>
    <row r="338" spans="1:9" x14ac:dyDescent="0.25">
      <c r="A338" s="753">
        <v>901916</v>
      </c>
      <c r="B338" s="130">
        <v>12094</v>
      </c>
      <c r="C338" s="131" t="s">
        <v>72</v>
      </c>
      <c r="D338" s="131">
        <v>16</v>
      </c>
      <c r="E338" s="131" t="s">
        <v>72</v>
      </c>
      <c r="F338" s="767">
        <v>-237960.89</v>
      </c>
      <c r="G338" s="767">
        <v>-42435.12</v>
      </c>
      <c r="H338" s="767">
        <v>-280396.01</v>
      </c>
      <c r="I338" s="768" t="s">
        <v>1498</v>
      </c>
    </row>
    <row r="339" spans="1:9" x14ac:dyDescent="0.25">
      <c r="A339" s="753"/>
      <c r="C339" s="131" t="s">
        <v>996</v>
      </c>
      <c r="D339" s="131">
        <v>16</v>
      </c>
      <c r="E339" s="131" t="s">
        <v>996</v>
      </c>
      <c r="F339" s="767">
        <v>170036.69</v>
      </c>
      <c r="G339" s="767">
        <v>30341.48</v>
      </c>
      <c r="H339" s="767">
        <v>200378.17</v>
      </c>
      <c r="I339" s="768" t="s">
        <v>1499</v>
      </c>
    </row>
    <row r="340" spans="1:9" x14ac:dyDescent="0.25">
      <c r="A340" s="753">
        <v>901918</v>
      </c>
      <c r="B340" s="130">
        <v>285</v>
      </c>
      <c r="E340" s="131"/>
    </row>
    <row r="341" spans="1:9" x14ac:dyDescent="0.25">
      <c r="A341" s="753">
        <v>901922</v>
      </c>
      <c r="B341" s="130">
        <v>427</v>
      </c>
      <c r="C341" s="131" t="s">
        <v>995</v>
      </c>
      <c r="D341" s="131">
        <v>16</v>
      </c>
      <c r="E341" s="131" t="s">
        <v>995</v>
      </c>
      <c r="F341" s="767">
        <v>-3.73</v>
      </c>
      <c r="G341" s="767">
        <v>-0.54</v>
      </c>
      <c r="H341" s="767">
        <v>-4.2699999999999996</v>
      </c>
      <c r="I341" s="768" t="s">
        <v>1497</v>
      </c>
    </row>
    <row r="342" spans="1:9" x14ac:dyDescent="0.25">
      <c r="A342" s="753">
        <v>901924</v>
      </c>
      <c r="B342" s="130">
        <v>280396</v>
      </c>
      <c r="C342" s="131" t="s">
        <v>72</v>
      </c>
      <c r="D342" s="131">
        <v>16</v>
      </c>
      <c r="E342" s="131" t="s">
        <v>72</v>
      </c>
      <c r="F342" s="767">
        <v>-237960.89</v>
      </c>
      <c r="G342" s="767">
        <v>-42435.12</v>
      </c>
      <c r="H342" s="767">
        <v>-280396.01</v>
      </c>
      <c r="I342" s="768" t="s">
        <v>1498</v>
      </c>
    </row>
    <row r="343" spans="1:9" x14ac:dyDescent="0.25">
      <c r="A343" s="753">
        <v>901926</v>
      </c>
      <c r="B343" s="130">
        <v>80018</v>
      </c>
      <c r="C343" s="131" t="s">
        <v>72</v>
      </c>
      <c r="D343" s="131">
        <v>16</v>
      </c>
      <c r="E343" s="131" t="s">
        <v>72</v>
      </c>
      <c r="F343" s="767">
        <v>-237960.89</v>
      </c>
      <c r="G343" s="767">
        <v>-42435.12</v>
      </c>
      <c r="H343" s="767">
        <v>-280396.01</v>
      </c>
      <c r="I343" s="768" t="s">
        <v>1498</v>
      </c>
    </row>
    <row r="344" spans="1:9" x14ac:dyDescent="0.25">
      <c r="A344" s="753"/>
      <c r="C344" s="131" t="s">
        <v>996</v>
      </c>
      <c r="D344" s="131">
        <v>16</v>
      </c>
      <c r="E344" s="131" t="s">
        <v>996</v>
      </c>
      <c r="F344" s="767">
        <v>170036.69</v>
      </c>
      <c r="G344" s="767">
        <v>30341.48</v>
      </c>
      <c r="H344" s="767">
        <v>200378.17</v>
      </c>
      <c r="I344" s="768" t="s">
        <v>1499</v>
      </c>
    </row>
    <row r="345" spans="1:9" x14ac:dyDescent="0.25">
      <c r="A345" s="753">
        <v>901928</v>
      </c>
      <c r="B345" s="130">
        <v>285</v>
      </c>
      <c r="E345" s="131"/>
    </row>
    <row r="346" spans="1:9" x14ac:dyDescent="0.25">
      <c r="A346" s="753">
        <v>902012</v>
      </c>
      <c r="B346" s="130">
        <v>0</v>
      </c>
      <c r="E346" s="131"/>
    </row>
    <row r="347" spans="1:9" x14ac:dyDescent="0.25">
      <c r="A347" s="753">
        <v>902014</v>
      </c>
      <c r="B347" s="130">
        <v>4351</v>
      </c>
      <c r="C347" s="131" t="s">
        <v>249</v>
      </c>
      <c r="D347" s="131">
        <v>16</v>
      </c>
      <c r="E347" s="131" t="s">
        <v>249</v>
      </c>
      <c r="F347" s="767">
        <v>-91941.16</v>
      </c>
      <c r="G347" s="767">
        <v>-4351.46</v>
      </c>
      <c r="H347" s="767">
        <v>-96292.62</v>
      </c>
      <c r="I347" s="768" t="s">
        <v>1500</v>
      </c>
    </row>
    <row r="348" spans="1:9" x14ac:dyDescent="0.25">
      <c r="A348" s="753">
        <v>902016</v>
      </c>
      <c r="B348" s="130">
        <v>1243</v>
      </c>
      <c r="C348" s="131" t="s">
        <v>249</v>
      </c>
      <c r="D348" s="131">
        <v>16</v>
      </c>
      <c r="E348" s="131" t="s">
        <v>249</v>
      </c>
      <c r="F348" s="767">
        <v>-91941.16</v>
      </c>
      <c r="G348" s="767">
        <v>-4351.46</v>
      </c>
      <c r="H348" s="767">
        <v>-96292.62</v>
      </c>
      <c r="I348" s="768" t="s">
        <v>1500</v>
      </c>
    </row>
    <row r="349" spans="1:9" x14ac:dyDescent="0.25">
      <c r="A349" s="753"/>
      <c r="C349" s="131" t="s">
        <v>997</v>
      </c>
      <c r="D349" s="131">
        <v>16</v>
      </c>
      <c r="E349" s="131" t="s">
        <v>997</v>
      </c>
      <c r="F349" s="767">
        <v>65356.25</v>
      </c>
      <c r="G349" s="767">
        <v>3108.01</v>
      </c>
      <c r="H349" s="767">
        <v>68464.259999999995</v>
      </c>
      <c r="I349" s="768" t="s">
        <v>1501</v>
      </c>
    </row>
    <row r="350" spans="1:9" x14ac:dyDescent="0.25">
      <c r="A350" s="753">
        <v>902018</v>
      </c>
      <c r="B350" s="130">
        <v>286</v>
      </c>
      <c r="E350" s="131"/>
    </row>
    <row r="351" spans="1:9" x14ac:dyDescent="0.25">
      <c r="A351" s="753">
        <v>902022</v>
      </c>
      <c r="B351" s="130">
        <v>0</v>
      </c>
      <c r="E351" s="131"/>
    </row>
    <row r="352" spans="1:9" x14ac:dyDescent="0.25">
      <c r="A352" s="753">
        <v>902024</v>
      </c>
      <c r="B352" s="130">
        <v>96293</v>
      </c>
      <c r="C352" s="131" t="s">
        <v>249</v>
      </c>
      <c r="D352" s="131">
        <v>16</v>
      </c>
      <c r="E352" s="131" t="s">
        <v>249</v>
      </c>
      <c r="F352" s="767">
        <v>-91941.16</v>
      </c>
      <c r="G352" s="767">
        <v>-4351.46</v>
      </c>
      <c r="H352" s="767">
        <v>-96292.62</v>
      </c>
      <c r="I352" s="768" t="s">
        <v>1500</v>
      </c>
    </row>
    <row r="353" spans="1:9" x14ac:dyDescent="0.25">
      <c r="A353" s="753">
        <v>902026</v>
      </c>
      <c r="B353" s="130">
        <v>27829</v>
      </c>
      <c r="C353" s="131" t="s">
        <v>249</v>
      </c>
      <c r="D353" s="131">
        <v>16</v>
      </c>
      <c r="E353" s="131" t="s">
        <v>249</v>
      </c>
      <c r="F353" s="767">
        <v>-91941.16</v>
      </c>
      <c r="G353" s="767">
        <v>-4351.46</v>
      </c>
      <c r="H353" s="767">
        <v>-96292.62</v>
      </c>
      <c r="I353" s="768" t="s">
        <v>1500</v>
      </c>
    </row>
    <row r="354" spans="1:9" x14ac:dyDescent="0.25">
      <c r="A354" s="753"/>
      <c r="C354" s="131" t="s">
        <v>997</v>
      </c>
      <c r="D354" s="131">
        <v>16</v>
      </c>
      <c r="E354" s="131" t="s">
        <v>997</v>
      </c>
      <c r="F354" s="767">
        <v>65356.25</v>
      </c>
      <c r="G354" s="767">
        <v>3108.01</v>
      </c>
      <c r="H354" s="767">
        <v>68464.259999999995</v>
      </c>
      <c r="I354" s="768" t="s">
        <v>1501</v>
      </c>
    </row>
    <row r="355" spans="1:9" x14ac:dyDescent="0.25">
      <c r="A355" s="753">
        <v>902028</v>
      </c>
      <c r="B355" s="130">
        <v>289</v>
      </c>
      <c r="E355" s="131"/>
    </row>
    <row r="356" spans="1:9" x14ac:dyDescent="0.25">
      <c r="A356" s="753">
        <v>902112</v>
      </c>
      <c r="B356" s="130">
        <v>0</v>
      </c>
      <c r="E356" s="131"/>
    </row>
    <row r="357" spans="1:9" x14ac:dyDescent="0.25">
      <c r="A357" s="753">
        <v>902114</v>
      </c>
      <c r="B357" s="130">
        <v>0</v>
      </c>
      <c r="E357" s="131"/>
    </row>
    <row r="358" spans="1:9" x14ac:dyDescent="0.25">
      <c r="A358" s="753">
        <v>902116</v>
      </c>
      <c r="B358" s="130">
        <v>0</v>
      </c>
      <c r="E358" s="131"/>
    </row>
    <row r="359" spans="1:9" x14ac:dyDescent="0.25">
      <c r="A359" s="753">
        <v>902118</v>
      </c>
      <c r="B359" s="130">
        <v>0</v>
      </c>
      <c r="E359" s="131"/>
    </row>
    <row r="360" spans="1:9" x14ac:dyDescent="0.25">
      <c r="A360" s="753">
        <v>902122</v>
      </c>
      <c r="B360" s="130">
        <v>0</v>
      </c>
      <c r="E360" s="131"/>
    </row>
    <row r="361" spans="1:9" x14ac:dyDescent="0.25">
      <c r="A361" s="753">
        <v>902124</v>
      </c>
      <c r="B361" s="130">
        <v>0</v>
      </c>
      <c r="E361" s="131"/>
    </row>
    <row r="362" spans="1:9" x14ac:dyDescent="0.25">
      <c r="A362" s="753">
        <v>902126</v>
      </c>
      <c r="B362" s="130">
        <v>0</v>
      </c>
      <c r="E362" s="131"/>
    </row>
    <row r="363" spans="1:9" x14ac:dyDescent="0.25">
      <c r="A363" s="753">
        <v>902128</v>
      </c>
      <c r="B363" s="130">
        <v>0</v>
      </c>
      <c r="E363" s="131"/>
    </row>
    <row r="364" spans="1:9" x14ac:dyDescent="0.25">
      <c r="A364" s="753">
        <v>902212</v>
      </c>
      <c r="B364" s="130">
        <v>0</v>
      </c>
      <c r="E364" s="131"/>
    </row>
    <row r="365" spans="1:9" x14ac:dyDescent="0.25">
      <c r="A365" s="753">
        <v>902214</v>
      </c>
      <c r="B365" s="130">
        <v>0</v>
      </c>
      <c r="E365" s="131"/>
    </row>
    <row r="366" spans="1:9" x14ac:dyDescent="0.25">
      <c r="A366" s="753">
        <v>902216</v>
      </c>
      <c r="B366" s="130">
        <v>0</v>
      </c>
      <c r="E366" s="131"/>
    </row>
    <row r="367" spans="1:9" x14ac:dyDescent="0.25">
      <c r="A367" s="753">
        <v>902218</v>
      </c>
      <c r="B367" s="130">
        <v>0</v>
      </c>
      <c r="E367" s="131"/>
    </row>
    <row r="368" spans="1:9" x14ac:dyDescent="0.25">
      <c r="A368" s="753">
        <v>902222</v>
      </c>
      <c r="B368" s="130">
        <v>0</v>
      </c>
      <c r="E368" s="131"/>
    </row>
    <row r="369" spans="1:9" x14ac:dyDescent="0.25">
      <c r="A369" s="753">
        <v>902224</v>
      </c>
      <c r="B369" s="130">
        <v>0</v>
      </c>
      <c r="E369" s="131"/>
    </row>
    <row r="370" spans="1:9" x14ac:dyDescent="0.25">
      <c r="A370" s="753">
        <v>902226</v>
      </c>
      <c r="B370" s="130">
        <v>0</v>
      </c>
      <c r="E370" s="131"/>
    </row>
    <row r="371" spans="1:9" x14ac:dyDescent="0.25">
      <c r="A371" s="753">
        <v>902228</v>
      </c>
      <c r="B371" s="130">
        <v>0</v>
      </c>
      <c r="E371" s="131"/>
    </row>
    <row r="372" spans="1:9" x14ac:dyDescent="0.25">
      <c r="A372" s="753">
        <v>902312</v>
      </c>
      <c r="B372" s="130">
        <v>80</v>
      </c>
      <c r="E372" s="131"/>
    </row>
    <row r="373" spans="1:9" x14ac:dyDescent="0.25">
      <c r="A373" s="753">
        <v>902314</v>
      </c>
      <c r="B373" s="130">
        <v>60964</v>
      </c>
      <c r="E373" s="131"/>
    </row>
    <row r="374" spans="1:9" x14ac:dyDescent="0.25">
      <c r="A374" s="753">
        <v>902316</v>
      </c>
      <c r="B374" s="130">
        <v>17386</v>
      </c>
      <c r="C374" s="131" t="s">
        <v>71</v>
      </c>
      <c r="D374" s="131">
        <v>16</v>
      </c>
      <c r="E374" s="131" t="s">
        <v>71</v>
      </c>
      <c r="F374" s="767">
        <v>-99477.86</v>
      </c>
      <c r="G374" s="767">
        <v>-14177.89</v>
      </c>
      <c r="H374" s="767">
        <v>-113655.75</v>
      </c>
      <c r="I374" s="768" t="s">
        <v>1495</v>
      </c>
    </row>
    <row r="375" spans="1:9" x14ac:dyDescent="0.25">
      <c r="A375" s="753"/>
      <c r="C375" s="131" t="s">
        <v>994</v>
      </c>
      <c r="D375" s="131">
        <v>16</v>
      </c>
      <c r="E375" s="131" t="s">
        <v>994</v>
      </c>
      <c r="F375" s="767">
        <v>74063.83</v>
      </c>
      <c r="G375" s="767">
        <v>10128.51</v>
      </c>
      <c r="H375" s="767">
        <v>84192.34</v>
      </c>
      <c r="I375" s="768" t="s">
        <v>1496</v>
      </c>
    </row>
    <row r="376" spans="1:9" x14ac:dyDescent="0.25">
      <c r="A376" s="753"/>
      <c r="C376" s="131" t="s">
        <v>72</v>
      </c>
      <c r="D376" s="131">
        <v>16</v>
      </c>
      <c r="E376" s="131" t="s">
        <v>72</v>
      </c>
      <c r="F376" s="767">
        <v>-237960.89</v>
      </c>
      <c r="G376" s="767">
        <v>-42435.12</v>
      </c>
      <c r="H376" s="767">
        <v>-280396.01</v>
      </c>
      <c r="I376" s="768" t="s">
        <v>1498</v>
      </c>
    </row>
    <row r="377" spans="1:9" x14ac:dyDescent="0.25">
      <c r="A377" s="753"/>
      <c r="C377" s="131" t="s">
        <v>996</v>
      </c>
      <c r="D377" s="131">
        <v>16</v>
      </c>
      <c r="E377" s="131" t="s">
        <v>996</v>
      </c>
      <c r="F377" s="767">
        <v>170036.69</v>
      </c>
      <c r="G377" s="767">
        <v>30341.48</v>
      </c>
      <c r="H377" s="767">
        <v>200378.17</v>
      </c>
      <c r="I377" s="768" t="s">
        <v>1499</v>
      </c>
    </row>
    <row r="378" spans="1:9" x14ac:dyDescent="0.25">
      <c r="A378" s="753"/>
      <c r="C378" s="131" t="s">
        <v>249</v>
      </c>
      <c r="D378" s="131">
        <v>16</v>
      </c>
      <c r="E378" s="131" t="s">
        <v>249</v>
      </c>
      <c r="F378" s="767">
        <v>-91941.16</v>
      </c>
      <c r="G378" s="767">
        <v>-4351.46</v>
      </c>
      <c r="H378" s="767">
        <v>-96292.62</v>
      </c>
      <c r="I378" s="768" t="s">
        <v>1500</v>
      </c>
    </row>
    <row r="379" spans="1:9" x14ac:dyDescent="0.25">
      <c r="A379" s="753"/>
      <c r="C379" s="131" t="s">
        <v>997</v>
      </c>
      <c r="D379" s="131">
        <v>16</v>
      </c>
      <c r="E379" s="131" t="s">
        <v>997</v>
      </c>
      <c r="F379" s="767">
        <v>65356.25</v>
      </c>
      <c r="G379" s="767">
        <v>3108.01</v>
      </c>
      <c r="H379" s="767">
        <v>68464.259999999995</v>
      </c>
      <c r="I379" s="768" t="s">
        <v>1501</v>
      </c>
    </row>
    <row r="380" spans="1:9" x14ac:dyDescent="0.25">
      <c r="A380" s="753">
        <v>902318</v>
      </c>
      <c r="B380" s="130">
        <v>285</v>
      </c>
      <c r="E380" s="131"/>
    </row>
    <row r="381" spans="1:9" x14ac:dyDescent="0.25">
      <c r="A381" s="753">
        <v>902322</v>
      </c>
      <c r="B381" s="130">
        <v>717</v>
      </c>
      <c r="E381" s="131"/>
    </row>
    <row r="382" spans="1:9" x14ac:dyDescent="0.25">
      <c r="A382" s="753">
        <v>902324</v>
      </c>
      <c r="B382" s="130">
        <v>490345</v>
      </c>
      <c r="E382" s="131"/>
    </row>
    <row r="383" spans="1:9" x14ac:dyDescent="0.25">
      <c r="A383" s="753">
        <v>902326</v>
      </c>
      <c r="B383" s="130">
        <v>137311</v>
      </c>
      <c r="C383" s="131" t="s">
        <v>71</v>
      </c>
      <c r="D383" s="131">
        <v>16</v>
      </c>
      <c r="E383" s="131" t="s">
        <v>71</v>
      </c>
      <c r="F383" s="767">
        <v>-99477.86</v>
      </c>
      <c r="G383" s="767">
        <v>-14177.89</v>
      </c>
      <c r="H383" s="767">
        <v>-113655.75</v>
      </c>
      <c r="I383" s="768" t="s">
        <v>1495</v>
      </c>
    </row>
    <row r="384" spans="1:9" x14ac:dyDescent="0.25">
      <c r="A384" s="753"/>
      <c r="C384" s="131" t="s">
        <v>994</v>
      </c>
      <c r="D384" s="131">
        <v>16</v>
      </c>
      <c r="E384" s="131" t="s">
        <v>994</v>
      </c>
      <c r="F384" s="767">
        <v>74063.83</v>
      </c>
      <c r="G384" s="767">
        <v>10128.51</v>
      </c>
      <c r="H384" s="767">
        <v>84192.34</v>
      </c>
      <c r="I384" s="768" t="s">
        <v>1496</v>
      </c>
    </row>
    <row r="385" spans="1:9" x14ac:dyDescent="0.25">
      <c r="A385" s="753"/>
      <c r="C385" s="131" t="s">
        <v>72</v>
      </c>
      <c r="D385" s="131">
        <v>16</v>
      </c>
      <c r="E385" s="131" t="s">
        <v>72</v>
      </c>
      <c r="F385" s="767">
        <v>-237960.89</v>
      </c>
      <c r="G385" s="767">
        <v>-42435.12</v>
      </c>
      <c r="H385" s="767">
        <v>-280396.01</v>
      </c>
      <c r="I385" s="768" t="s">
        <v>1498</v>
      </c>
    </row>
    <row r="386" spans="1:9" x14ac:dyDescent="0.25">
      <c r="A386" s="753"/>
      <c r="C386" s="131" t="s">
        <v>996</v>
      </c>
      <c r="D386" s="131">
        <v>16</v>
      </c>
      <c r="E386" s="131" t="s">
        <v>996</v>
      </c>
      <c r="F386" s="767">
        <v>170036.69</v>
      </c>
      <c r="G386" s="767">
        <v>30341.48</v>
      </c>
      <c r="H386" s="767">
        <v>200378.17</v>
      </c>
      <c r="I386" s="768" t="s">
        <v>1499</v>
      </c>
    </row>
    <row r="387" spans="1:9" x14ac:dyDescent="0.25">
      <c r="A387" s="753"/>
      <c r="C387" s="131" t="s">
        <v>249</v>
      </c>
      <c r="D387" s="131">
        <v>16</v>
      </c>
      <c r="E387" s="131" t="s">
        <v>249</v>
      </c>
      <c r="F387" s="767">
        <v>-91941.16</v>
      </c>
      <c r="G387" s="767">
        <v>-4351.46</v>
      </c>
      <c r="H387" s="767">
        <v>-96292.62</v>
      </c>
      <c r="I387" s="768" t="s">
        <v>1500</v>
      </c>
    </row>
    <row r="388" spans="1:9" x14ac:dyDescent="0.25">
      <c r="A388" s="753"/>
      <c r="C388" s="131" t="s">
        <v>997</v>
      </c>
      <c r="D388" s="131">
        <v>16</v>
      </c>
      <c r="E388" s="131" t="s">
        <v>997</v>
      </c>
      <c r="F388" s="767">
        <v>65356.25</v>
      </c>
      <c r="G388" s="767">
        <v>3108.01</v>
      </c>
      <c r="H388" s="767">
        <v>68464.259999999995</v>
      </c>
      <c r="I388" s="768" t="s">
        <v>1501</v>
      </c>
    </row>
    <row r="389" spans="1:9" x14ac:dyDescent="0.25">
      <c r="A389" s="753">
        <v>902328</v>
      </c>
      <c r="B389" s="130">
        <v>280</v>
      </c>
      <c r="E389" s="131"/>
    </row>
    <row r="390" spans="1:9" x14ac:dyDescent="0.25">
      <c r="A390" s="753">
        <v>902412</v>
      </c>
      <c r="B390" s="130">
        <v>38</v>
      </c>
      <c r="C390" s="131" t="s">
        <v>998</v>
      </c>
      <c r="D390" s="131">
        <v>16</v>
      </c>
      <c r="E390" s="131" t="s">
        <v>998</v>
      </c>
      <c r="F390" s="767">
        <v>-2.78</v>
      </c>
      <c r="G390" s="767">
        <v>-0.38</v>
      </c>
      <c r="H390" s="767">
        <v>-3.16</v>
      </c>
      <c r="I390" s="768" t="s">
        <v>1502</v>
      </c>
    </row>
    <row r="391" spans="1:9" x14ac:dyDescent="0.25">
      <c r="A391" s="753">
        <v>902414</v>
      </c>
      <c r="B391" s="130">
        <v>12920</v>
      </c>
      <c r="C391" s="131" t="s">
        <v>75</v>
      </c>
      <c r="D391" s="131">
        <v>16</v>
      </c>
      <c r="E391" s="131" t="s">
        <v>75</v>
      </c>
      <c r="F391" s="767">
        <v>-80671.759999999995</v>
      </c>
      <c r="G391" s="767">
        <v>-12919.79</v>
      </c>
      <c r="H391" s="767">
        <v>-93591.55</v>
      </c>
      <c r="I391" s="768" t="s">
        <v>1503</v>
      </c>
    </row>
    <row r="392" spans="1:9" x14ac:dyDescent="0.25">
      <c r="A392" s="753">
        <v>902416</v>
      </c>
      <c r="B392" s="130">
        <v>4456</v>
      </c>
      <c r="C392" s="131" t="s">
        <v>75</v>
      </c>
      <c r="D392" s="131">
        <v>16</v>
      </c>
      <c r="E392" s="131" t="s">
        <v>75</v>
      </c>
      <c r="F392" s="767">
        <v>-80671.759999999995</v>
      </c>
      <c r="G392" s="767">
        <v>-12919.79</v>
      </c>
      <c r="H392" s="767">
        <v>-93591.55</v>
      </c>
      <c r="I392" s="768" t="s">
        <v>1503</v>
      </c>
    </row>
    <row r="393" spans="1:9" x14ac:dyDescent="0.25">
      <c r="A393" s="753"/>
      <c r="C393" s="131" t="s">
        <v>999</v>
      </c>
      <c r="D393" s="131">
        <v>16</v>
      </c>
      <c r="E393" s="131" t="s">
        <v>999</v>
      </c>
      <c r="F393" s="767">
        <v>54860.78</v>
      </c>
      <c r="G393" s="767">
        <v>8463.65</v>
      </c>
      <c r="H393" s="767">
        <v>63324.43</v>
      </c>
      <c r="I393" s="768" t="s">
        <v>1504</v>
      </c>
    </row>
    <row r="394" spans="1:9" x14ac:dyDescent="0.25">
      <c r="A394" s="753">
        <v>902418</v>
      </c>
      <c r="B394" s="130">
        <v>345</v>
      </c>
      <c r="E394" s="131"/>
    </row>
    <row r="395" spans="1:9" x14ac:dyDescent="0.25">
      <c r="A395" s="753">
        <v>902422</v>
      </c>
      <c r="B395" s="130">
        <v>316</v>
      </c>
      <c r="C395" s="131" t="s">
        <v>998</v>
      </c>
      <c r="D395" s="131">
        <v>16</v>
      </c>
      <c r="E395" s="131" t="s">
        <v>998</v>
      </c>
      <c r="F395" s="767">
        <v>-2.78</v>
      </c>
      <c r="G395" s="767">
        <v>-0.38</v>
      </c>
      <c r="H395" s="767">
        <v>-3.16</v>
      </c>
      <c r="I395" s="768" t="s">
        <v>1502</v>
      </c>
    </row>
    <row r="396" spans="1:9" x14ac:dyDescent="0.25">
      <c r="A396" s="753">
        <v>902424</v>
      </c>
      <c r="B396" s="130">
        <v>93592</v>
      </c>
      <c r="C396" s="131" t="s">
        <v>75</v>
      </c>
      <c r="D396" s="131">
        <v>16</v>
      </c>
      <c r="E396" s="131" t="s">
        <v>75</v>
      </c>
      <c r="F396" s="767">
        <v>-80671.759999999995</v>
      </c>
      <c r="G396" s="767">
        <v>-12919.79</v>
      </c>
      <c r="H396" s="767">
        <v>-93591.55</v>
      </c>
      <c r="I396" s="768" t="s">
        <v>1503</v>
      </c>
    </row>
    <row r="397" spans="1:9" x14ac:dyDescent="0.25">
      <c r="A397" s="753">
        <v>902426</v>
      </c>
      <c r="B397" s="130">
        <v>30268</v>
      </c>
      <c r="C397" s="131" t="s">
        <v>75</v>
      </c>
      <c r="D397" s="131">
        <v>16</v>
      </c>
      <c r="E397" s="131" t="s">
        <v>75</v>
      </c>
      <c r="F397" s="767">
        <v>-80671.759999999995</v>
      </c>
      <c r="G397" s="767">
        <v>-12919.79</v>
      </c>
      <c r="H397" s="767">
        <v>-93591.55</v>
      </c>
      <c r="I397" s="768" t="s">
        <v>1503</v>
      </c>
    </row>
    <row r="398" spans="1:9" x14ac:dyDescent="0.25">
      <c r="A398" s="753"/>
      <c r="C398" s="131" t="s">
        <v>999</v>
      </c>
      <c r="D398" s="131">
        <v>16</v>
      </c>
      <c r="E398" s="131" t="s">
        <v>999</v>
      </c>
      <c r="F398" s="767">
        <v>54860.78</v>
      </c>
      <c r="G398" s="767">
        <v>8463.65</v>
      </c>
      <c r="H398" s="767">
        <v>63324.43</v>
      </c>
      <c r="I398" s="768" t="s">
        <v>1504</v>
      </c>
    </row>
    <row r="399" spans="1:9" x14ac:dyDescent="0.25">
      <c r="A399" s="753">
        <v>902428</v>
      </c>
      <c r="B399" s="130">
        <v>323</v>
      </c>
      <c r="E399" s="131"/>
    </row>
    <row r="400" spans="1:9" x14ac:dyDescent="0.25">
      <c r="A400" s="753">
        <v>902512</v>
      </c>
      <c r="B400" s="130">
        <v>39</v>
      </c>
      <c r="C400" s="131" t="s">
        <v>1000</v>
      </c>
      <c r="D400" s="131">
        <v>16</v>
      </c>
      <c r="E400" s="131" t="s">
        <v>1000</v>
      </c>
      <c r="F400" s="767">
        <v>-2.0299999999999998</v>
      </c>
      <c r="G400" s="767">
        <v>-0.39</v>
      </c>
      <c r="H400" s="767">
        <v>-2.42</v>
      </c>
      <c r="I400" s="768" t="s">
        <v>1505</v>
      </c>
    </row>
    <row r="401" spans="1:9" x14ac:dyDescent="0.25">
      <c r="A401" s="753">
        <v>902514</v>
      </c>
      <c r="B401" s="130">
        <v>12044</v>
      </c>
      <c r="C401" s="131" t="s">
        <v>76</v>
      </c>
      <c r="D401" s="131">
        <v>16</v>
      </c>
      <c r="E401" s="131" t="s">
        <v>76</v>
      </c>
      <c r="F401" s="767">
        <v>-44918.95</v>
      </c>
      <c r="G401" s="767">
        <v>-12043.76</v>
      </c>
      <c r="H401" s="767">
        <v>-56962.71</v>
      </c>
      <c r="I401" s="768" t="s">
        <v>1506</v>
      </c>
    </row>
    <row r="402" spans="1:9" x14ac:dyDescent="0.25">
      <c r="A402" s="753">
        <v>902516</v>
      </c>
      <c r="B402" s="130">
        <v>4213</v>
      </c>
      <c r="C402" s="131" t="s">
        <v>76</v>
      </c>
      <c r="D402" s="131">
        <v>16</v>
      </c>
      <c r="E402" s="131" t="s">
        <v>76</v>
      </c>
      <c r="F402" s="767">
        <v>-44918.95</v>
      </c>
      <c r="G402" s="767">
        <v>-12043.76</v>
      </c>
      <c r="H402" s="767">
        <v>-56962.71</v>
      </c>
      <c r="I402" s="768" t="s">
        <v>1506</v>
      </c>
    </row>
    <row r="403" spans="1:9" x14ac:dyDescent="0.25">
      <c r="A403" s="753"/>
      <c r="C403" s="131" t="s">
        <v>1001</v>
      </c>
      <c r="D403" s="131">
        <v>16</v>
      </c>
      <c r="E403" s="131" t="s">
        <v>1001</v>
      </c>
      <c r="F403" s="767">
        <v>29209.96</v>
      </c>
      <c r="G403" s="767">
        <v>7830.74</v>
      </c>
      <c r="H403" s="767">
        <v>37040.699999999997</v>
      </c>
      <c r="I403" s="768" t="s">
        <v>1507</v>
      </c>
    </row>
    <row r="404" spans="1:9" x14ac:dyDescent="0.25">
      <c r="A404" s="753">
        <v>902518</v>
      </c>
      <c r="B404" s="130">
        <v>350</v>
      </c>
      <c r="E404" s="131"/>
    </row>
    <row r="405" spans="1:9" x14ac:dyDescent="0.25">
      <c r="A405" s="753">
        <v>902522</v>
      </c>
      <c r="B405" s="130">
        <v>242</v>
      </c>
      <c r="C405" s="131" t="s">
        <v>1000</v>
      </c>
      <c r="D405" s="131">
        <v>16</v>
      </c>
      <c r="E405" s="131" t="s">
        <v>1000</v>
      </c>
      <c r="F405" s="767">
        <v>-2.0299999999999998</v>
      </c>
      <c r="G405" s="767">
        <v>-0.39</v>
      </c>
      <c r="H405" s="767">
        <v>-2.42</v>
      </c>
      <c r="I405" s="768" t="s">
        <v>1505</v>
      </c>
    </row>
    <row r="406" spans="1:9" x14ac:dyDescent="0.25">
      <c r="A406" s="753">
        <v>902524</v>
      </c>
      <c r="B406" s="130">
        <v>56963</v>
      </c>
      <c r="C406" s="131" t="s">
        <v>76</v>
      </c>
      <c r="D406" s="131">
        <v>16</v>
      </c>
      <c r="E406" s="131" t="s">
        <v>76</v>
      </c>
      <c r="F406" s="767">
        <v>-44918.95</v>
      </c>
      <c r="G406" s="767">
        <v>-12043.76</v>
      </c>
      <c r="H406" s="767">
        <v>-56962.71</v>
      </c>
      <c r="I406" s="768" t="s">
        <v>1506</v>
      </c>
    </row>
    <row r="407" spans="1:9" x14ac:dyDescent="0.25">
      <c r="A407" s="753">
        <v>902526</v>
      </c>
      <c r="B407" s="130">
        <v>19922</v>
      </c>
      <c r="C407" s="131" t="s">
        <v>76</v>
      </c>
      <c r="D407" s="131">
        <v>16</v>
      </c>
      <c r="E407" s="131" t="s">
        <v>76</v>
      </c>
      <c r="F407" s="767">
        <v>-44918.95</v>
      </c>
      <c r="G407" s="767">
        <v>-12043.76</v>
      </c>
      <c r="H407" s="767">
        <v>-56962.71</v>
      </c>
      <c r="I407" s="768" t="s">
        <v>1506</v>
      </c>
    </row>
    <row r="408" spans="1:9" x14ac:dyDescent="0.25">
      <c r="A408" s="753"/>
      <c r="C408" s="131" t="s">
        <v>1001</v>
      </c>
      <c r="D408" s="131">
        <v>16</v>
      </c>
      <c r="E408" s="131" t="s">
        <v>1001</v>
      </c>
      <c r="F408" s="767">
        <v>29209.96</v>
      </c>
      <c r="G408" s="767">
        <v>7830.74</v>
      </c>
      <c r="H408" s="767">
        <v>37040.699999999997</v>
      </c>
      <c r="I408" s="768" t="s">
        <v>1507</v>
      </c>
    </row>
    <row r="409" spans="1:9" x14ac:dyDescent="0.25">
      <c r="A409" s="753">
        <v>902528</v>
      </c>
      <c r="B409" s="130">
        <v>350</v>
      </c>
      <c r="E409" s="131"/>
    </row>
    <row r="410" spans="1:9" x14ac:dyDescent="0.25">
      <c r="A410" s="753">
        <v>902612</v>
      </c>
      <c r="B410" s="130">
        <v>16</v>
      </c>
      <c r="C410" s="131" t="s">
        <v>1002</v>
      </c>
      <c r="D410" s="131">
        <v>16</v>
      </c>
      <c r="E410" s="131" t="s">
        <v>1002</v>
      </c>
      <c r="F410" s="767">
        <v>-0.67</v>
      </c>
      <c r="G410" s="767">
        <v>-0.16</v>
      </c>
      <c r="H410" s="767">
        <v>-0.83</v>
      </c>
      <c r="I410" s="768" t="s">
        <v>1508</v>
      </c>
    </row>
    <row r="411" spans="1:9" x14ac:dyDescent="0.25">
      <c r="A411" s="753">
        <v>902614</v>
      </c>
      <c r="B411" s="130">
        <v>2450</v>
      </c>
      <c r="C411" s="131" t="s">
        <v>250</v>
      </c>
      <c r="D411" s="131">
        <v>16</v>
      </c>
      <c r="E411" s="131" t="s">
        <v>250</v>
      </c>
      <c r="F411" s="767">
        <v>-8792.64</v>
      </c>
      <c r="G411" s="767">
        <v>-2450.0300000000002</v>
      </c>
      <c r="H411" s="767">
        <v>-11242.67</v>
      </c>
      <c r="I411" s="768" t="s">
        <v>1509</v>
      </c>
    </row>
    <row r="412" spans="1:9" x14ac:dyDescent="0.25">
      <c r="A412" s="753">
        <v>902616</v>
      </c>
      <c r="B412" s="130">
        <v>747</v>
      </c>
      <c r="C412" s="131" t="s">
        <v>250</v>
      </c>
      <c r="D412" s="131">
        <v>16</v>
      </c>
      <c r="E412" s="131" t="s">
        <v>250</v>
      </c>
      <c r="F412" s="767">
        <v>-8792.64</v>
      </c>
      <c r="G412" s="767">
        <v>-2450.0300000000002</v>
      </c>
      <c r="H412" s="767">
        <v>-11242.67</v>
      </c>
      <c r="I412" s="768" t="s">
        <v>1509</v>
      </c>
    </row>
    <row r="413" spans="1:9" x14ac:dyDescent="0.25">
      <c r="A413" s="753"/>
      <c r="C413" s="131" t="s">
        <v>1003</v>
      </c>
      <c r="D413" s="131">
        <v>16</v>
      </c>
      <c r="E413" s="131" t="s">
        <v>1003</v>
      </c>
      <c r="F413" s="767">
        <v>6066.48</v>
      </c>
      <c r="G413" s="767">
        <v>1702.93</v>
      </c>
      <c r="H413" s="767">
        <v>7769.41</v>
      </c>
      <c r="I413" s="768" t="s">
        <v>1510</v>
      </c>
    </row>
    <row r="414" spans="1:9" x14ac:dyDescent="0.25">
      <c r="A414" s="753">
        <v>902618</v>
      </c>
      <c r="B414" s="130">
        <v>305</v>
      </c>
      <c r="E414" s="131"/>
    </row>
    <row r="415" spans="1:9" x14ac:dyDescent="0.25">
      <c r="A415" s="753">
        <v>902622</v>
      </c>
      <c r="B415" s="130">
        <v>83</v>
      </c>
      <c r="C415" s="131" t="s">
        <v>1002</v>
      </c>
      <c r="D415" s="131">
        <v>16</v>
      </c>
      <c r="E415" s="131" t="s">
        <v>1002</v>
      </c>
      <c r="F415" s="767">
        <v>-0.67</v>
      </c>
      <c r="G415" s="767">
        <v>-0.16</v>
      </c>
      <c r="H415" s="767">
        <v>-0.83</v>
      </c>
      <c r="I415" s="768" t="s">
        <v>1508</v>
      </c>
    </row>
    <row r="416" spans="1:9" x14ac:dyDescent="0.25">
      <c r="A416" s="753">
        <v>902624</v>
      </c>
      <c r="B416" s="130">
        <v>11243</v>
      </c>
      <c r="C416" s="131" t="s">
        <v>250</v>
      </c>
      <c r="D416" s="131">
        <v>16</v>
      </c>
      <c r="E416" s="131" t="s">
        <v>250</v>
      </c>
      <c r="F416" s="767">
        <v>-8792.64</v>
      </c>
      <c r="G416" s="767">
        <v>-2450.0300000000002</v>
      </c>
      <c r="H416" s="767">
        <v>-11242.67</v>
      </c>
      <c r="I416" s="768" t="s">
        <v>1509</v>
      </c>
    </row>
    <row r="417" spans="1:9" x14ac:dyDescent="0.25">
      <c r="A417" s="753">
        <v>902626</v>
      </c>
      <c r="B417" s="130">
        <v>3474</v>
      </c>
      <c r="C417" s="131" t="s">
        <v>250</v>
      </c>
      <c r="D417" s="131">
        <v>16</v>
      </c>
      <c r="E417" s="131" t="s">
        <v>250</v>
      </c>
      <c r="F417" s="767">
        <v>-8792.64</v>
      </c>
      <c r="G417" s="767">
        <v>-2450.0300000000002</v>
      </c>
      <c r="H417" s="767">
        <v>-11242.67</v>
      </c>
      <c r="I417" s="768" t="s">
        <v>1509</v>
      </c>
    </row>
    <row r="418" spans="1:9" x14ac:dyDescent="0.25">
      <c r="A418" s="753"/>
      <c r="C418" s="131" t="s">
        <v>1003</v>
      </c>
      <c r="D418" s="131">
        <v>16</v>
      </c>
      <c r="E418" s="131" t="s">
        <v>1003</v>
      </c>
      <c r="F418" s="767">
        <v>6066.48</v>
      </c>
      <c r="G418" s="767">
        <v>1702.93</v>
      </c>
      <c r="H418" s="767">
        <v>7769.41</v>
      </c>
      <c r="I418" s="768" t="s">
        <v>1510</v>
      </c>
    </row>
    <row r="419" spans="1:9" x14ac:dyDescent="0.25">
      <c r="A419" s="753">
        <v>902628</v>
      </c>
      <c r="B419" s="130">
        <v>309</v>
      </c>
      <c r="E419" s="131"/>
    </row>
    <row r="420" spans="1:9" x14ac:dyDescent="0.25">
      <c r="A420" s="753">
        <v>902712</v>
      </c>
      <c r="B420" s="130">
        <v>0</v>
      </c>
      <c r="E420" s="131"/>
    </row>
    <row r="421" spans="1:9" x14ac:dyDescent="0.25">
      <c r="A421" s="753">
        <v>902714</v>
      </c>
      <c r="B421" s="130">
        <v>0</v>
      </c>
      <c r="E421" s="131"/>
    </row>
    <row r="422" spans="1:9" x14ac:dyDescent="0.25">
      <c r="A422" s="753">
        <v>902716</v>
      </c>
      <c r="B422" s="130">
        <v>0</v>
      </c>
      <c r="E422" s="131"/>
    </row>
    <row r="423" spans="1:9" x14ac:dyDescent="0.25">
      <c r="A423" s="753">
        <v>902718</v>
      </c>
      <c r="B423" s="130">
        <v>0</v>
      </c>
      <c r="E423" s="131"/>
    </row>
    <row r="424" spans="1:9" x14ac:dyDescent="0.25">
      <c r="A424" s="753">
        <v>902722</v>
      </c>
      <c r="B424" s="130">
        <v>0</v>
      </c>
      <c r="E424" s="131"/>
    </row>
    <row r="425" spans="1:9" x14ac:dyDescent="0.25">
      <c r="A425" s="753">
        <v>902724</v>
      </c>
      <c r="B425" s="130">
        <v>0</v>
      </c>
      <c r="E425" s="131"/>
    </row>
    <row r="426" spans="1:9" x14ac:dyDescent="0.25">
      <c r="A426" s="753">
        <v>902726</v>
      </c>
      <c r="B426" s="130">
        <v>0</v>
      </c>
      <c r="E426" s="131"/>
    </row>
    <row r="427" spans="1:9" x14ac:dyDescent="0.25">
      <c r="A427" s="753">
        <v>902728</v>
      </c>
      <c r="B427" s="130">
        <v>0</v>
      </c>
      <c r="E427" s="131"/>
    </row>
    <row r="428" spans="1:9" x14ac:dyDescent="0.25">
      <c r="A428" s="753">
        <v>902812</v>
      </c>
      <c r="B428" s="130">
        <v>0</v>
      </c>
      <c r="E428" s="131"/>
    </row>
    <row r="429" spans="1:9" x14ac:dyDescent="0.25">
      <c r="A429" s="753">
        <v>902814</v>
      </c>
      <c r="B429" s="130">
        <v>0</v>
      </c>
      <c r="E429" s="131"/>
    </row>
    <row r="430" spans="1:9" x14ac:dyDescent="0.25">
      <c r="A430" s="753">
        <v>902816</v>
      </c>
      <c r="B430" s="130">
        <v>0</v>
      </c>
      <c r="E430" s="131"/>
    </row>
    <row r="431" spans="1:9" x14ac:dyDescent="0.25">
      <c r="A431" s="753">
        <v>902818</v>
      </c>
      <c r="B431" s="130">
        <v>0</v>
      </c>
      <c r="E431" s="131"/>
    </row>
    <row r="432" spans="1:9" x14ac:dyDescent="0.25">
      <c r="A432" s="753">
        <v>902822</v>
      </c>
      <c r="B432" s="130">
        <v>0</v>
      </c>
      <c r="E432" s="131"/>
    </row>
    <row r="433" spans="1:9" x14ac:dyDescent="0.25">
      <c r="A433" s="753">
        <v>902824</v>
      </c>
      <c r="B433" s="130">
        <v>0</v>
      </c>
      <c r="E433" s="131"/>
    </row>
    <row r="434" spans="1:9" x14ac:dyDescent="0.25">
      <c r="A434" s="753">
        <v>902826</v>
      </c>
      <c r="B434" s="130">
        <v>0</v>
      </c>
      <c r="E434" s="131"/>
    </row>
    <row r="435" spans="1:9" x14ac:dyDescent="0.25">
      <c r="A435" s="753">
        <v>902828</v>
      </c>
      <c r="B435" s="130">
        <v>0</v>
      </c>
      <c r="E435" s="131"/>
    </row>
    <row r="436" spans="1:9" x14ac:dyDescent="0.25">
      <c r="A436" s="753">
        <v>902912</v>
      </c>
      <c r="B436" s="130">
        <v>93</v>
      </c>
      <c r="E436" s="131"/>
    </row>
    <row r="437" spans="1:9" x14ac:dyDescent="0.25">
      <c r="A437" s="753">
        <v>902914</v>
      </c>
      <c r="B437" s="130">
        <v>27414</v>
      </c>
      <c r="E437" s="131"/>
    </row>
    <row r="438" spans="1:9" x14ac:dyDescent="0.25">
      <c r="A438" s="753">
        <v>902916</v>
      </c>
      <c r="B438" s="130">
        <v>9416</v>
      </c>
      <c r="C438" s="131" t="s">
        <v>75</v>
      </c>
      <c r="D438" s="131">
        <v>16</v>
      </c>
      <c r="E438" s="131" t="s">
        <v>75</v>
      </c>
      <c r="F438" s="767">
        <v>-80671.759999999995</v>
      </c>
      <c r="G438" s="767">
        <v>-12919.79</v>
      </c>
      <c r="H438" s="767">
        <v>-93591.55</v>
      </c>
      <c r="I438" s="768" t="s">
        <v>1503</v>
      </c>
    </row>
    <row r="439" spans="1:9" x14ac:dyDescent="0.25">
      <c r="A439" s="753"/>
      <c r="C439" s="131" t="s">
        <v>999</v>
      </c>
      <c r="D439" s="131">
        <v>16</v>
      </c>
      <c r="E439" s="131" t="s">
        <v>999</v>
      </c>
      <c r="F439" s="767">
        <v>54860.78</v>
      </c>
      <c r="G439" s="767">
        <v>8463.65</v>
      </c>
      <c r="H439" s="767">
        <v>63324.43</v>
      </c>
      <c r="I439" s="768" t="s">
        <v>1504</v>
      </c>
    </row>
    <row r="440" spans="1:9" x14ac:dyDescent="0.25">
      <c r="A440" s="753"/>
      <c r="C440" s="131" t="s">
        <v>76</v>
      </c>
      <c r="D440" s="131">
        <v>16</v>
      </c>
      <c r="E440" s="131" t="s">
        <v>76</v>
      </c>
      <c r="F440" s="767">
        <v>-44918.95</v>
      </c>
      <c r="G440" s="767">
        <v>-12043.76</v>
      </c>
      <c r="H440" s="767">
        <v>-56962.71</v>
      </c>
      <c r="I440" s="768" t="s">
        <v>1506</v>
      </c>
    </row>
    <row r="441" spans="1:9" x14ac:dyDescent="0.25">
      <c r="A441" s="753"/>
      <c r="C441" s="131" t="s">
        <v>1001</v>
      </c>
      <c r="D441" s="131">
        <v>16</v>
      </c>
      <c r="E441" s="131" t="s">
        <v>1001</v>
      </c>
      <c r="F441" s="767">
        <v>29209.96</v>
      </c>
      <c r="G441" s="767">
        <v>7830.74</v>
      </c>
      <c r="H441" s="767">
        <v>37040.699999999997</v>
      </c>
      <c r="I441" s="768" t="s">
        <v>1507</v>
      </c>
    </row>
    <row r="442" spans="1:9" x14ac:dyDescent="0.25">
      <c r="A442" s="753"/>
      <c r="C442" s="131" t="s">
        <v>250</v>
      </c>
      <c r="D442" s="131">
        <v>16</v>
      </c>
      <c r="E442" s="131" t="s">
        <v>250</v>
      </c>
      <c r="F442" s="767">
        <v>-8792.64</v>
      </c>
      <c r="G442" s="767">
        <v>-2450.0300000000002</v>
      </c>
      <c r="H442" s="767">
        <v>-11242.67</v>
      </c>
      <c r="I442" s="768" t="s">
        <v>1509</v>
      </c>
    </row>
    <row r="443" spans="1:9" x14ac:dyDescent="0.25">
      <c r="A443" s="753"/>
      <c r="C443" s="131" t="s">
        <v>1003</v>
      </c>
      <c r="D443" s="131">
        <v>16</v>
      </c>
      <c r="E443" s="131" t="s">
        <v>1003</v>
      </c>
      <c r="F443" s="767">
        <v>6066.48</v>
      </c>
      <c r="G443" s="767">
        <v>1702.93</v>
      </c>
      <c r="H443" s="767">
        <v>7769.41</v>
      </c>
      <c r="I443" s="768" t="s">
        <v>1510</v>
      </c>
    </row>
    <row r="444" spans="1:9" x14ac:dyDescent="0.25">
      <c r="A444" s="753">
        <v>902918</v>
      </c>
      <c r="B444" s="130">
        <v>343</v>
      </c>
      <c r="E444" s="131"/>
    </row>
    <row r="445" spans="1:9" x14ac:dyDescent="0.25">
      <c r="A445" s="753">
        <v>902922</v>
      </c>
      <c r="B445" s="130">
        <v>641</v>
      </c>
      <c r="E445" s="131"/>
    </row>
    <row r="446" spans="1:9" x14ac:dyDescent="0.25">
      <c r="A446" s="753">
        <v>902924</v>
      </c>
      <c r="B446" s="130">
        <v>161798</v>
      </c>
      <c r="E446" s="131"/>
    </row>
    <row r="447" spans="1:9" x14ac:dyDescent="0.25">
      <c r="A447" s="753">
        <v>902926</v>
      </c>
      <c r="B447" s="130">
        <v>53664</v>
      </c>
      <c r="C447" s="131" t="s">
        <v>75</v>
      </c>
      <c r="D447" s="131">
        <v>16</v>
      </c>
      <c r="E447" s="131" t="s">
        <v>75</v>
      </c>
      <c r="F447" s="767">
        <v>-80671.759999999995</v>
      </c>
      <c r="G447" s="767">
        <v>-12919.79</v>
      </c>
      <c r="H447" s="767">
        <v>-93591.55</v>
      </c>
      <c r="I447" s="768" t="s">
        <v>1503</v>
      </c>
    </row>
    <row r="448" spans="1:9" x14ac:dyDescent="0.25">
      <c r="A448" s="753"/>
      <c r="C448" s="131" t="s">
        <v>999</v>
      </c>
      <c r="D448" s="131">
        <v>16</v>
      </c>
      <c r="E448" s="131" t="s">
        <v>999</v>
      </c>
      <c r="F448" s="767">
        <v>54860.78</v>
      </c>
      <c r="G448" s="767">
        <v>8463.65</v>
      </c>
      <c r="H448" s="767">
        <v>63324.43</v>
      </c>
      <c r="I448" s="768" t="s">
        <v>1504</v>
      </c>
    </row>
    <row r="449" spans="1:9" x14ac:dyDescent="0.25">
      <c r="A449" s="753"/>
      <c r="C449" s="131" t="s">
        <v>76</v>
      </c>
      <c r="D449" s="131">
        <v>16</v>
      </c>
      <c r="E449" s="131" t="s">
        <v>76</v>
      </c>
      <c r="F449" s="767">
        <v>-44918.95</v>
      </c>
      <c r="G449" s="767">
        <v>-12043.76</v>
      </c>
      <c r="H449" s="767">
        <v>-56962.71</v>
      </c>
      <c r="I449" s="768" t="s">
        <v>1506</v>
      </c>
    </row>
    <row r="450" spans="1:9" x14ac:dyDescent="0.25">
      <c r="A450" s="753"/>
      <c r="C450" s="131" t="s">
        <v>1001</v>
      </c>
      <c r="D450" s="131">
        <v>16</v>
      </c>
      <c r="E450" s="131" t="s">
        <v>1001</v>
      </c>
      <c r="F450" s="767">
        <v>29209.96</v>
      </c>
      <c r="G450" s="767">
        <v>7830.74</v>
      </c>
      <c r="H450" s="767">
        <v>37040.699999999997</v>
      </c>
      <c r="I450" s="768" t="s">
        <v>1507</v>
      </c>
    </row>
    <row r="451" spans="1:9" x14ac:dyDescent="0.25">
      <c r="A451" s="753"/>
      <c r="C451" s="131" t="s">
        <v>250</v>
      </c>
      <c r="D451" s="131">
        <v>16</v>
      </c>
      <c r="E451" s="131" t="s">
        <v>250</v>
      </c>
      <c r="F451" s="767">
        <v>-8792.64</v>
      </c>
      <c r="G451" s="767">
        <v>-2450.0300000000002</v>
      </c>
      <c r="H451" s="767">
        <v>-11242.67</v>
      </c>
      <c r="I451" s="768" t="s">
        <v>1509</v>
      </c>
    </row>
    <row r="452" spans="1:9" x14ac:dyDescent="0.25">
      <c r="A452" s="753"/>
      <c r="C452" s="131" t="s">
        <v>1003</v>
      </c>
      <c r="D452" s="131">
        <v>16</v>
      </c>
      <c r="E452" s="131" t="s">
        <v>1003</v>
      </c>
      <c r="F452" s="767">
        <v>6066.48</v>
      </c>
      <c r="G452" s="767">
        <v>1702.93</v>
      </c>
      <c r="H452" s="767">
        <v>7769.41</v>
      </c>
      <c r="I452" s="768" t="s">
        <v>1510</v>
      </c>
    </row>
    <row r="453" spans="1:9" x14ac:dyDescent="0.25">
      <c r="A453" s="753">
        <v>902928</v>
      </c>
      <c r="B453" s="130">
        <v>332</v>
      </c>
      <c r="E453" s="131"/>
    </row>
    <row r="454" spans="1:9" x14ac:dyDescent="0.25">
      <c r="A454" s="753">
        <v>903012</v>
      </c>
      <c r="B454" s="130">
        <v>0</v>
      </c>
      <c r="E454" s="131"/>
    </row>
    <row r="455" spans="1:9" x14ac:dyDescent="0.25">
      <c r="A455" s="753">
        <v>903014</v>
      </c>
      <c r="B455" s="130">
        <v>0</v>
      </c>
      <c r="E455" s="131"/>
    </row>
    <row r="456" spans="1:9" x14ac:dyDescent="0.25">
      <c r="A456" s="753">
        <v>903016</v>
      </c>
      <c r="B456" s="130">
        <v>0</v>
      </c>
      <c r="E456" s="131"/>
    </row>
    <row r="457" spans="1:9" x14ac:dyDescent="0.25">
      <c r="A457" s="753">
        <v>903018</v>
      </c>
      <c r="B457" s="130">
        <v>0</v>
      </c>
      <c r="E457" s="131"/>
    </row>
    <row r="458" spans="1:9" x14ac:dyDescent="0.25">
      <c r="A458" s="753">
        <v>903022</v>
      </c>
      <c r="B458" s="130">
        <v>0</v>
      </c>
      <c r="E458" s="131"/>
    </row>
    <row r="459" spans="1:9" x14ac:dyDescent="0.25">
      <c r="A459" s="753">
        <v>903024</v>
      </c>
      <c r="B459" s="130">
        <v>0</v>
      </c>
      <c r="E459" s="131"/>
    </row>
    <row r="460" spans="1:9" x14ac:dyDescent="0.25">
      <c r="A460" s="753">
        <v>903026</v>
      </c>
      <c r="B460" s="130">
        <v>0</v>
      </c>
      <c r="E460" s="131"/>
    </row>
    <row r="461" spans="1:9" x14ac:dyDescent="0.25">
      <c r="A461" s="753">
        <v>903028</v>
      </c>
      <c r="B461" s="130">
        <v>0</v>
      </c>
      <c r="E461" s="131"/>
    </row>
    <row r="462" spans="1:9" x14ac:dyDescent="0.25">
      <c r="A462" s="753">
        <v>903112</v>
      </c>
      <c r="B462" s="130">
        <v>88</v>
      </c>
      <c r="C462" s="131" t="s">
        <v>1004</v>
      </c>
      <c r="D462" s="131">
        <v>16</v>
      </c>
      <c r="E462" s="131" t="s">
        <v>1004</v>
      </c>
      <c r="F462" s="767">
        <v>-6.78</v>
      </c>
      <c r="G462" s="767">
        <v>-0.88</v>
      </c>
      <c r="H462" s="767">
        <v>-7.66</v>
      </c>
      <c r="I462" s="768" t="s">
        <v>1511</v>
      </c>
    </row>
    <row r="463" spans="1:9" x14ac:dyDescent="0.25">
      <c r="A463" s="753">
        <v>903114</v>
      </c>
      <c r="B463" s="130">
        <v>21474</v>
      </c>
      <c r="C463" s="131" t="s">
        <v>79</v>
      </c>
      <c r="D463" s="131">
        <v>16</v>
      </c>
      <c r="E463" s="131" t="s">
        <v>79</v>
      </c>
      <c r="F463" s="767">
        <v>-135308.69</v>
      </c>
      <c r="G463" s="767">
        <v>-21474.45</v>
      </c>
      <c r="H463" s="767">
        <v>-156783.14000000001</v>
      </c>
      <c r="I463" s="768" t="s">
        <v>1512</v>
      </c>
    </row>
    <row r="464" spans="1:9" x14ac:dyDescent="0.25">
      <c r="A464" s="753">
        <v>903116</v>
      </c>
      <c r="B464" s="130">
        <v>5840</v>
      </c>
      <c r="C464" s="131" t="s">
        <v>79</v>
      </c>
      <c r="D464" s="131">
        <v>16</v>
      </c>
      <c r="E464" s="131" t="s">
        <v>79</v>
      </c>
      <c r="F464" s="767">
        <v>-135308.69</v>
      </c>
      <c r="G464" s="767">
        <v>-21474.45</v>
      </c>
      <c r="H464" s="767">
        <v>-156783.14000000001</v>
      </c>
      <c r="I464" s="768" t="s">
        <v>1512</v>
      </c>
    </row>
    <row r="465" spans="1:9" x14ac:dyDescent="0.25">
      <c r="A465" s="753"/>
      <c r="C465" s="131" t="s">
        <v>1005</v>
      </c>
      <c r="D465" s="131">
        <v>16</v>
      </c>
      <c r="E465" s="131" t="s">
        <v>1005</v>
      </c>
      <c r="F465" s="767">
        <v>95545.56</v>
      </c>
      <c r="G465" s="767">
        <v>15633.54</v>
      </c>
      <c r="H465" s="767">
        <v>111179.1</v>
      </c>
      <c r="I465" s="768" t="s">
        <v>1513</v>
      </c>
    </row>
    <row r="466" spans="1:9" x14ac:dyDescent="0.25">
      <c r="A466" s="753">
        <v>903118</v>
      </c>
      <c r="B466" s="130">
        <v>272</v>
      </c>
      <c r="E466" s="131"/>
    </row>
    <row r="467" spans="1:9" x14ac:dyDescent="0.25">
      <c r="A467" s="753">
        <v>903122</v>
      </c>
      <c r="B467" s="130">
        <v>766</v>
      </c>
      <c r="C467" s="131" t="s">
        <v>1004</v>
      </c>
      <c r="D467" s="131">
        <v>16</v>
      </c>
      <c r="E467" s="131" t="s">
        <v>1004</v>
      </c>
      <c r="F467" s="767">
        <v>-6.78</v>
      </c>
      <c r="G467" s="767">
        <v>-0.88</v>
      </c>
      <c r="H467" s="767">
        <v>-7.66</v>
      </c>
      <c r="I467" s="768" t="s">
        <v>1511</v>
      </c>
    </row>
    <row r="468" spans="1:9" x14ac:dyDescent="0.25">
      <c r="A468" s="753">
        <v>903124</v>
      </c>
      <c r="B468" s="130">
        <v>156783</v>
      </c>
      <c r="C468" s="131" t="s">
        <v>79</v>
      </c>
      <c r="D468" s="131">
        <v>16</v>
      </c>
      <c r="E468" s="131" t="s">
        <v>79</v>
      </c>
      <c r="F468" s="767">
        <v>-135308.69</v>
      </c>
      <c r="G468" s="767">
        <v>-21474.45</v>
      </c>
      <c r="H468" s="767">
        <v>-156783.14000000001</v>
      </c>
      <c r="I468" s="768" t="s">
        <v>1512</v>
      </c>
    </row>
    <row r="469" spans="1:9" x14ac:dyDescent="0.25">
      <c r="A469" s="753">
        <v>903126</v>
      </c>
      <c r="B469" s="130">
        <v>45604</v>
      </c>
      <c r="C469" s="131" t="s">
        <v>79</v>
      </c>
      <c r="D469" s="131">
        <v>16</v>
      </c>
      <c r="E469" s="131" t="s">
        <v>79</v>
      </c>
      <c r="F469" s="767">
        <v>-135308.69</v>
      </c>
      <c r="G469" s="767">
        <v>-21474.45</v>
      </c>
      <c r="H469" s="767">
        <v>-156783.14000000001</v>
      </c>
      <c r="I469" s="768" t="s">
        <v>1512</v>
      </c>
    </row>
    <row r="470" spans="1:9" x14ac:dyDescent="0.25">
      <c r="A470" s="753"/>
      <c r="C470" s="131" t="s">
        <v>1005</v>
      </c>
      <c r="D470" s="131">
        <v>16</v>
      </c>
      <c r="E470" s="131" t="s">
        <v>1005</v>
      </c>
      <c r="F470" s="767">
        <v>95545.56</v>
      </c>
      <c r="G470" s="767">
        <v>15633.54</v>
      </c>
      <c r="H470" s="767">
        <v>111179.1</v>
      </c>
      <c r="I470" s="768" t="s">
        <v>1513</v>
      </c>
    </row>
    <row r="471" spans="1:9" x14ac:dyDescent="0.25">
      <c r="A471" s="753">
        <v>903128</v>
      </c>
      <c r="B471" s="130">
        <v>291</v>
      </c>
      <c r="E471" s="131"/>
    </row>
    <row r="472" spans="1:9" x14ac:dyDescent="0.25">
      <c r="A472" s="753">
        <v>903212</v>
      </c>
      <c r="B472" s="130">
        <v>0</v>
      </c>
      <c r="E472" s="131"/>
    </row>
    <row r="473" spans="1:9" x14ac:dyDescent="0.25">
      <c r="A473" s="753">
        <v>903214</v>
      </c>
      <c r="B473" s="130">
        <v>0</v>
      </c>
      <c r="E473" s="131"/>
    </row>
    <row r="474" spans="1:9" x14ac:dyDescent="0.25">
      <c r="A474" s="753">
        <v>903216</v>
      </c>
      <c r="B474" s="130">
        <v>0</v>
      </c>
      <c r="E474" s="131"/>
    </row>
    <row r="475" spans="1:9" x14ac:dyDescent="0.25">
      <c r="A475" s="753">
        <v>903218</v>
      </c>
      <c r="B475" s="130">
        <v>0</v>
      </c>
      <c r="E475" s="131"/>
    </row>
    <row r="476" spans="1:9" x14ac:dyDescent="0.25">
      <c r="A476" s="753">
        <v>903222</v>
      </c>
      <c r="B476" s="130">
        <v>0</v>
      </c>
      <c r="E476" s="131"/>
    </row>
    <row r="477" spans="1:9" x14ac:dyDescent="0.25">
      <c r="A477" s="753">
        <v>903224</v>
      </c>
      <c r="B477" s="130">
        <v>0</v>
      </c>
      <c r="E477" s="131"/>
    </row>
    <row r="478" spans="1:9" x14ac:dyDescent="0.25">
      <c r="A478" s="753">
        <v>903226</v>
      </c>
      <c r="B478" s="130">
        <v>0</v>
      </c>
      <c r="E478" s="131"/>
    </row>
    <row r="479" spans="1:9" x14ac:dyDescent="0.25">
      <c r="A479" s="753">
        <v>903228</v>
      </c>
      <c r="B479" s="130">
        <v>0</v>
      </c>
      <c r="E479" s="131"/>
    </row>
    <row r="480" spans="1:9" x14ac:dyDescent="0.25">
      <c r="A480" s="753">
        <v>903312</v>
      </c>
      <c r="B480" s="130">
        <v>0</v>
      </c>
      <c r="E480" s="131"/>
    </row>
    <row r="481" spans="1:9" x14ac:dyDescent="0.25">
      <c r="A481" s="753">
        <v>903314</v>
      </c>
      <c r="B481" s="130">
        <v>0</v>
      </c>
      <c r="E481" s="131"/>
    </row>
    <row r="482" spans="1:9" x14ac:dyDescent="0.25">
      <c r="A482" s="753">
        <v>903316</v>
      </c>
      <c r="B482" s="130">
        <v>0</v>
      </c>
      <c r="E482" s="131"/>
    </row>
    <row r="483" spans="1:9" x14ac:dyDescent="0.25">
      <c r="A483" s="753">
        <v>903318</v>
      </c>
      <c r="B483" s="130">
        <v>0</v>
      </c>
      <c r="E483" s="131"/>
    </row>
    <row r="484" spans="1:9" x14ac:dyDescent="0.25">
      <c r="A484" s="753">
        <v>903322</v>
      </c>
      <c r="B484" s="130">
        <v>0</v>
      </c>
      <c r="E484" s="131"/>
    </row>
    <row r="485" spans="1:9" x14ac:dyDescent="0.25">
      <c r="A485" s="753">
        <v>903324</v>
      </c>
      <c r="B485" s="130">
        <v>0</v>
      </c>
      <c r="E485" s="131"/>
    </row>
    <row r="486" spans="1:9" x14ac:dyDescent="0.25">
      <c r="A486" s="753">
        <v>903326</v>
      </c>
      <c r="B486" s="130">
        <v>0</v>
      </c>
      <c r="E486" s="131"/>
    </row>
    <row r="487" spans="1:9" x14ac:dyDescent="0.25">
      <c r="A487" s="753">
        <v>903328</v>
      </c>
      <c r="B487" s="130">
        <v>0</v>
      </c>
      <c r="E487" s="131"/>
    </row>
    <row r="488" spans="1:9" x14ac:dyDescent="0.25">
      <c r="A488" s="753">
        <v>903412</v>
      </c>
      <c r="B488" s="130">
        <v>0</v>
      </c>
      <c r="E488" s="131"/>
    </row>
    <row r="489" spans="1:9" x14ac:dyDescent="0.25">
      <c r="A489" s="753">
        <v>903414</v>
      </c>
      <c r="B489" s="130">
        <v>0</v>
      </c>
      <c r="E489" s="131"/>
    </row>
    <row r="490" spans="1:9" x14ac:dyDescent="0.25">
      <c r="A490" s="753">
        <v>903416</v>
      </c>
      <c r="B490" s="130">
        <v>0</v>
      </c>
      <c r="E490" s="131"/>
    </row>
    <row r="491" spans="1:9" x14ac:dyDescent="0.25">
      <c r="A491" s="753">
        <v>903418</v>
      </c>
      <c r="B491" s="130">
        <v>0</v>
      </c>
      <c r="E491" s="131"/>
    </row>
    <row r="492" spans="1:9" x14ac:dyDescent="0.25">
      <c r="A492" s="753">
        <v>903422</v>
      </c>
      <c r="B492" s="130">
        <v>0</v>
      </c>
      <c r="E492" s="131"/>
    </row>
    <row r="493" spans="1:9" x14ac:dyDescent="0.25">
      <c r="A493" s="753">
        <v>903424</v>
      </c>
      <c r="B493" s="130">
        <v>0</v>
      </c>
      <c r="E493" s="131"/>
    </row>
    <row r="494" spans="1:9" x14ac:dyDescent="0.25">
      <c r="A494" s="753">
        <v>903426</v>
      </c>
      <c r="B494" s="130">
        <v>0</v>
      </c>
      <c r="E494" s="131"/>
    </row>
    <row r="495" spans="1:9" x14ac:dyDescent="0.25">
      <c r="A495" s="753">
        <v>903428</v>
      </c>
      <c r="B495" s="130">
        <v>0</v>
      </c>
      <c r="E495" s="131"/>
    </row>
    <row r="496" spans="1:9" x14ac:dyDescent="0.25">
      <c r="A496" s="753">
        <v>903512</v>
      </c>
      <c r="B496" s="130">
        <v>8</v>
      </c>
      <c r="C496" s="131" t="s">
        <v>1006</v>
      </c>
      <c r="D496" s="131">
        <v>16</v>
      </c>
      <c r="E496" s="131" t="s">
        <v>1006</v>
      </c>
      <c r="F496" s="767">
        <v>-0.86</v>
      </c>
      <c r="G496" s="767">
        <v>-0.08</v>
      </c>
      <c r="H496" s="767">
        <v>-0.94</v>
      </c>
      <c r="I496" s="768" t="s">
        <v>1514</v>
      </c>
    </row>
    <row r="497" spans="1:9" x14ac:dyDescent="0.25">
      <c r="A497" s="753">
        <v>903514</v>
      </c>
      <c r="B497" s="130">
        <v>5744</v>
      </c>
      <c r="C497" s="131" t="s">
        <v>157</v>
      </c>
      <c r="D497" s="131">
        <v>16</v>
      </c>
      <c r="E497" s="131" t="s">
        <v>157</v>
      </c>
      <c r="F497" s="767">
        <v>-14674.54</v>
      </c>
      <c r="G497" s="767">
        <v>-5744.3</v>
      </c>
      <c r="H497" s="767">
        <v>-20418.84</v>
      </c>
      <c r="I497" s="768" t="s">
        <v>1515</v>
      </c>
    </row>
    <row r="498" spans="1:9" x14ac:dyDescent="0.25">
      <c r="A498" s="753">
        <v>903516</v>
      </c>
      <c r="B498" s="130">
        <v>1826</v>
      </c>
      <c r="C498" s="131" t="s">
        <v>157</v>
      </c>
      <c r="D498" s="131">
        <v>16</v>
      </c>
      <c r="E498" s="131" t="s">
        <v>157</v>
      </c>
      <c r="F498" s="767">
        <v>-14674.54</v>
      </c>
      <c r="G498" s="767">
        <v>-5744.3</v>
      </c>
      <c r="H498" s="767">
        <v>-20418.84</v>
      </c>
      <c r="I498" s="768" t="s">
        <v>1515</v>
      </c>
    </row>
    <row r="499" spans="1:9" x14ac:dyDescent="0.25">
      <c r="A499" s="753"/>
      <c r="C499" s="131" t="s">
        <v>1007</v>
      </c>
      <c r="D499" s="131">
        <v>16</v>
      </c>
      <c r="E499" s="131" t="s">
        <v>1007</v>
      </c>
      <c r="F499" s="767">
        <v>10191.86</v>
      </c>
      <c r="G499" s="767">
        <v>3917.51</v>
      </c>
      <c r="H499" s="767">
        <v>14109.37</v>
      </c>
      <c r="I499" s="768" t="s">
        <v>1516</v>
      </c>
    </row>
    <row r="500" spans="1:9" x14ac:dyDescent="0.25">
      <c r="A500" s="753">
        <v>903518</v>
      </c>
      <c r="B500" s="130">
        <v>318</v>
      </c>
      <c r="E500" s="131"/>
    </row>
    <row r="501" spans="1:9" x14ac:dyDescent="0.25">
      <c r="A501" s="753">
        <v>903522</v>
      </c>
      <c r="B501" s="130">
        <v>94</v>
      </c>
      <c r="C501" s="131" t="s">
        <v>1006</v>
      </c>
      <c r="D501" s="131">
        <v>16</v>
      </c>
      <c r="E501" s="131" t="s">
        <v>1006</v>
      </c>
      <c r="F501" s="767">
        <v>-0.86</v>
      </c>
      <c r="G501" s="767">
        <v>-0.08</v>
      </c>
      <c r="H501" s="767">
        <v>-0.94</v>
      </c>
      <c r="I501" s="768" t="s">
        <v>1514</v>
      </c>
    </row>
    <row r="502" spans="1:9" x14ac:dyDescent="0.25">
      <c r="A502" s="753">
        <v>903524</v>
      </c>
      <c r="B502" s="130">
        <v>20419</v>
      </c>
      <c r="C502" s="131" t="s">
        <v>157</v>
      </c>
      <c r="D502" s="131">
        <v>16</v>
      </c>
      <c r="E502" s="131" t="s">
        <v>157</v>
      </c>
      <c r="F502" s="767">
        <v>-14674.54</v>
      </c>
      <c r="G502" s="767">
        <v>-5744.3</v>
      </c>
      <c r="H502" s="767">
        <v>-20418.84</v>
      </c>
      <c r="I502" s="768" t="s">
        <v>1515</v>
      </c>
    </row>
    <row r="503" spans="1:9" x14ac:dyDescent="0.25">
      <c r="A503" s="753">
        <v>903526</v>
      </c>
      <c r="B503" s="130">
        <v>6310</v>
      </c>
      <c r="C503" s="131" t="s">
        <v>157</v>
      </c>
      <c r="D503" s="131">
        <v>16</v>
      </c>
      <c r="E503" s="131" t="s">
        <v>157</v>
      </c>
      <c r="F503" s="767">
        <v>-14674.54</v>
      </c>
      <c r="G503" s="767">
        <v>-5744.3</v>
      </c>
      <c r="H503" s="767">
        <v>-20418.84</v>
      </c>
      <c r="I503" s="768" t="s">
        <v>1515</v>
      </c>
    </row>
    <row r="504" spans="1:9" x14ac:dyDescent="0.25">
      <c r="A504" s="753"/>
      <c r="C504" s="131" t="s">
        <v>1007</v>
      </c>
      <c r="D504" s="131">
        <v>16</v>
      </c>
      <c r="E504" s="131" t="s">
        <v>1007</v>
      </c>
      <c r="F504" s="767">
        <v>10191.86</v>
      </c>
      <c r="G504" s="767">
        <v>3917.51</v>
      </c>
      <c r="H504" s="767">
        <v>14109.37</v>
      </c>
      <c r="I504" s="768" t="s">
        <v>1516</v>
      </c>
    </row>
    <row r="505" spans="1:9" x14ac:dyDescent="0.25">
      <c r="A505" s="753">
        <v>903528</v>
      </c>
      <c r="B505" s="130">
        <v>309</v>
      </c>
      <c r="E505" s="131"/>
    </row>
    <row r="506" spans="1:9" x14ac:dyDescent="0.25">
      <c r="A506" s="753">
        <v>903612</v>
      </c>
      <c r="B506" s="130">
        <v>64</v>
      </c>
      <c r="C506" s="131" t="s">
        <v>1008</v>
      </c>
      <c r="D506" s="131">
        <v>16</v>
      </c>
      <c r="E506" s="131" t="s">
        <v>1008</v>
      </c>
      <c r="F506" s="767">
        <v>-3.45</v>
      </c>
      <c r="G506" s="767">
        <v>-0.64</v>
      </c>
      <c r="H506" s="767">
        <v>-4.09</v>
      </c>
      <c r="I506" s="768" t="s">
        <v>1517</v>
      </c>
    </row>
    <row r="507" spans="1:9" x14ac:dyDescent="0.25">
      <c r="A507" s="753">
        <v>903614</v>
      </c>
      <c r="B507" s="130">
        <v>13483</v>
      </c>
      <c r="C507" s="131" t="s">
        <v>158</v>
      </c>
      <c r="D507" s="131">
        <v>16</v>
      </c>
      <c r="E507" s="131" t="s">
        <v>158</v>
      </c>
      <c r="F507" s="767">
        <v>-78826.09</v>
      </c>
      <c r="G507" s="767">
        <v>-13482.55</v>
      </c>
      <c r="H507" s="767">
        <v>-92308.64</v>
      </c>
      <c r="I507" s="768" t="s">
        <v>1518</v>
      </c>
    </row>
    <row r="508" spans="1:9" x14ac:dyDescent="0.25">
      <c r="A508" s="753">
        <v>903616</v>
      </c>
      <c r="B508" s="130">
        <v>3970</v>
      </c>
      <c r="C508" s="131" t="s">
        <v>158</v>
      </c>
      <c r="D508" s="131">
        <v>16</v>
      </c>
      <c r="E508" s="131" t="s">
        <v>158</v>
      </c>
      <c r="F508" s="767">
        <v>-78826.09</v>
      </c>
      <c r="G508" s="767">
        <v>-13482.55</v>
      </c>
      <c r="H508" s="767">
        <v>-92308.64</v>
      </c>
      <c r="I508" s="768" t="s">
        <v>1518</v>
      </c>
    </row>
    <row r="509" spans="1:9" x14ac:dyDescent="0.25">
      <c r="A509" s="753"/>
      <c r="C509" s="131" t="s">
        <v>1009</v>
      </c>
      <c r="D509" s="131">
        <v>16</v>
      </c>
      <c r="E509" s="131" t="s">
        <v>1009</v>
      </c>
      <c r="F509" s="767">
        <v>59524.02</v>
      </c>
      <c r="G509" s="767">
        <v>9512.77</v>
      </c>
      <c r="H509" s="767">
        <v>69036.789999999994</v>
      </c>
      <c r="I509" s="768" t="s">
        <v>1519</v>
      </c>
    </row>
    <row r="510" spans="1:9" x14ac:dyDescent="0.25">
      <c r="A510" s="753">
        <v>903618</v>
      </c>
      <c r="B510" s="130">
        <v>294</v>
      </c>
      <c r="E510" s="131"/>
    </row>
    <row r="511" spans="1:9" x14ac:dyDescent="0.25">
      <c r="A511" s="753">
        <v>903622</v>
      </c>
      <c r="B511" s="130">
        <v>409</v>
      </c>
      <c r="C511" s="131" t="s">
        <v>1008</v>
      </c>
      <c r="D511" s="131">
        <v>16</v>
      </c>
      <c r="E511" s="131" t="s">
        <v>1008</v>
      </c>
      <c r="F511" s="767">
        <v>-3.45</v>
      </c>
      <c r="G511" s="767">
        <v>-0.64</v>
      </c>
      <c r="H511" s="767">
        <v>-4.09</v>
      </c>
      <c r="I511" s="768" t="s">
        <v>1517</v>
      </c>
    </row>
    <row r="512" spans="1:9" x14ac:dyDescent="0.25">
      <c r="A512" s="753">
        <v>903624</v>
      </c>
      <c r="B512" s="130">
        <v>92309</v>
      </c>
      <c r="C512" s="131" t="s">
        <v>158</v>
      </c>
      <c r="D512" s="131">
        <v>16</v>
      </c>
      <c r="E512" s="131" t="s">
        <v>158</v>
      </c>
      <c r="F512" s="767">
        <v>-78826.09</v>
      </c>
      <c r="G512" s="767">
        <v>-13482.55</v>
      </c>
      <c r="H512" s="767">
        <v>-92308.64</v>
      </c>
      <c r="I512" s="768" t="s">
        <v>1518</v>
      </c>
    </row>
    <row r="513" spans="1:9" x14ac:dyDescent="0.25">
      <c r="A513" s="753">
        <v>903626</v>
      </c>
      <c r="B513" s="130">
        <v>23272</v>
      </c>
      <c r="C513" s="131" t="s">
        <v>158</v>
      </c>
      <c r="D513" s="131">
        <v>16</v>
      </c>
      <c r="E513" s="131" t="s">
        <v>158</v>
      </c>
      <c r="F513" s="767">
        <v>-78826.09</v>
      </c>
      <c r="G513" s="767">
        <v>-13482.55</v>
      </c>
      <c r="H513" s="767">
        <v>-92308.64</v>
      </c>
      <c r="I513" s="768" t="s">
        <v>1518</v>
      </c>
    </row>
    <row r="514" spans="1:9" x14ac:dyDescent="0.25">
      <c r="A514" s="753"/>
      <c r="C514" s="131" t="s">
        <v>1009</v>
      </c>
      <c r="D514" s="131">
        <v>16</v>
      </c>
      <c r="E514" s="131" t="s">
        <v>1009</v>
      </c>
      <c r="F514" s="767">
        <v>59524.02</v>
      </c>
      <c r="G514" s="767">
        <v>9512.77</v>
      </c>
      <c r="H514" s="767">
        <v>69036.789999999994</v>
      </c>
      <c r="I514" s="768" t="s">
        <v>1519</v>
      </c>
    </row>
    <row r="515" spans="1:9" x14ac:dyDescent="0.25">
      <c r="A515" s="753">
        <v>903628</v>
      </c>
      <c r="B515" s="130">
        <v>252</v>
      </c>
      <c r="E515" s="131"/>
    </row>
    <row r="516" spans="1:9" x14ac:dyDescent="0.25">
      <c r="A516" s="753">
        <v>903712</v>
      </c>
      <c r="B516" s="130">
        <v>0</v>
      </c>
      <c r="E516" s="131"/>
    </row>
    <row r="517" spans="1:9" x14ac:dyDescent="0.25">
      <c r="A517" s="753">
        <v>903714</v>
      </c>
      <c r="B517" s="130">
        <v>0</v>
      </c>
      <c r="E517" s="131"/>
    </row>
    <row r="518" spans="1:9" x14ac:dyDescent="0.25">
      <c r="A518" s="753">
        <v>903716</v>
      </c>
      <c r="B518" s="130">
        <v>0</v>
      </c>
      <c r="E518" s="131"/>
    </row>
    <row r="519" spans="1:9" x14ac:dyDescent="0.25">
      <c r="A519" s="753">
        <v>903718</v>
      </c>
      <c r="B519" s="130">
        <v>0</v>
      </c>
      <c r="E519" s="131"/>
    </row>
    <row r="520" spans="1:9" x14ac:dyDescent="0.25">
      <c r="A520" s="753">
        <v>903722</v>
      </c>
      <c r="B520" s="130">
        <v>0</v>
      </c>
      <c r="E520" s="131"/>
    </row>
    <row r="521" spans="1:9" x14ac:dyDescent="0.25">
      <c r="A521" s="753">
        <v>903724</v>
      </c>
      <c r="B521" s="130">
        <v>0</v>
      </c>
      <c r="E521" s="131"/>
    </row>
    <row r="522" spans="1:9" x14ac:dyDescent="0.25">
      <c r="A522" s="753">
        <v>903726</v>
      </c>
      <c r="B522" s="130">
        <v>0</v>
      </c>
      <c r="E522" s="131"/>
    </row>
    <row r="523" spans="1:9" x14ac:dyDescent="0.25">
      <c r="A523" s="753">
        <v>903728</v>
      </c>
      <c r="B523" s="130">
        <v>0</v>
      </c>
      <c r="E523" s="131"/>
    </row>
    <row r="524" spans="1:9" x14ac:dyDescent="0.25">
      <c r="A524" s="753">
        <v>903812</v>
      </c>
      <c r="B524" s="130">
        <v>0</v>
      </c>
      <c r="E524" s="131"/>
    </row>
    <row r="525" spans="1:9" x14ac:dyDescent="0.25">
      <c r="A525" s="753">
        <v>903814</v>
      </c>
      <c r="B525" s="130">
        <v>0</v>
      </c>
      <c r="E525" s="131"/>
    </row>
    <row r="526" spans="1:9" x14ac:dyDescent="0.25">
      <c r="A526" s="753">
        <v>903816</v>
      </c>
      <c r="B526" s="130">
        <v>0</v>
      </c>
      <c r="E526" s="131"/>
    </row>
    <row r="527" spans="1:9" x14ac:dyDescent="0.25">
      <c r="A527" s="753">
        <v>903818</v>
      </c>
      <c r="B527" s="130">
        <v>0</v>
      </c>
      <c r="E527" s="131"/>
    </row>
    <row r="528" spans="1:9" x14ac:dyDescent="0.25">
      <c r="A528" s="753">
        <v>903822</v>
      </c>
      <c r="B528" s="130">
        <v>0</v>
      </c>
      <c r="E528" s="131"/>
    </row>
    <row r="529" spans="1:5" x14ac:dyDescent="0.25">
      <c r="A529" s="753">
        <v>903824</v>
      </c>
      <c r="B529" s="130">
        <v>0</v>
      </c>
      <c r="E529" s="131"/>
    </row>
    <row r="530" spans="1:5" x14ac:dyDescent="0.25">
      <c r="A530" s="753">
        <v>903826</v>
      </c>
      <c r="B530" s="130">
        <v>0</v>
      </c>
      <c r="E530" s="131"/>
    </row>
    <row r="531" spans="1:5" x14ac:dyDescent="0.25">
      <c r="A531" s="753">
        <v>903828</v>
      </c>
      <c r="B531" s="130">
        <v>0</v>
      </c>
      <c r="E531" s="131"/>
    </row>
    <row r="532" spans="1:5" x14ac:dyDescent="0.25">
      <c r="A532" s="753">
        <v>903912</v>
      </c>
      <c r="B532" s="130">
        <v>0</v>
      </c>
      <c r="E532" s="131"/>
    </row>
    <row r="533" spans="1:5" x14ac:dyDescent="0.25">
      <c r="A533" s="753">
        <v>903914</v>
      </c>
      <c r="B533" s="130">
        <v>0</v>
      </c>
      <c r="E533" s="131"/>
    </row>
    <row r="534" spans="1:5" x14ac:dyDescent="0.25">
      <c r="A534" s="753">
        <v>903916</v>
      </c>
      <c r="B534" s="130">
        <v>0</v>
      </c>
      <c r="E534" s="131"/>
    </row>
    <row r="535" spans="1:5" x14ac:dyDescent="0.25">
      <c r="A535" s="753">
        <v>903918</v>
      </c>
      <c r="B535" s="130">
        <v>0</v>
      </c>
      <c r="E535" s="131"/>
    </row>
    <row r="536" spans="1:5" x14ac:dyDescent="0.25">
      <c r="A536" s="753">
        <v>903922</v>
      </c>
      <c r="B536" s="130">
        <v>0</v>
      </c>
      <c r="E536" s="131"/>
    </row>
    <row r="537" spans="1:5" x14ac:dyDescent="0.25">
      <c r="A537" s="753">
        <v>903924</v>
      </c>
      <c r="B537" s="130">
        <v>0</v>
      </c>
      <c r="E537" s="131"/>
    </row>
    <row r="538" spans="1:5" x14ac:dyDescent="0.25">
      <c r="A538" s="753">
        <v>903926</v>
      </c>
      <c r="B538" s="130">
        <v>0</v>
      </c>
      <c r="E538" s="131"/>
    </row>
    <row r="539" spans="1:5" x14ac:dyDescent="0.25">
      <c r="A539" s="753">
        <v>903928</v>
      </c>
      <c r="B539" s="130">
        <v>0</v>
      </c>
      <c r="E539" s="131"/>
    </row>
    <row r="540" spans="1:5" x14ac:dyDescent="0.25">
      <c r="A540" s="753">
        <v>904012</v>
      </c>
      <c r="B540" s="130">
        <v>0</v>
      </c>
      <c r="E540" s="131"/>
    </row>
    <row r="541" spans="1:5" x14ac:dyDescent="0.25">
      <c r="A541" s="753">
        <v>904014</v>
      </c>
      <c r="B541" s="130">
        <v>0</v>
      </c>
      <c r="E541" s="131"/>
    </row>
    <row r="542" spans="1:5" x14ac:dyDescent="0.25">
      <c r="A542" s="753">
        <v>904016</v>
      </c>
      <c r="B542" s="130">
        <v>0</v>
      </c>
      <c r="E542" s="131"/>
    </row>
    <row r="543" spans="1:5" x14ac:dyDescent="0.25">
      <c r="A543" s="753">
        <v>904018</v>
      </c>
      <c r="B543" s="130">
        <v>0</v>
      </c>
      <c r="E543" s="131"/>
    </row>
    <row r="544" spans="1:5" x14ac:dyDescent="0.25">
      <c r="A544" s="753">
        <v>904022</v>
      </c>
      <c r="B544" s="130">
        <v>0</v>
      </c>
      <c r="E544" s="131"/>
    </row>
    <row r="545" spans="1:9" x14ac:dyDescent="0.25">
      <c r="A545" s="753">
        <v>904024</v>
      </c>
      <c r="B545" s="130">
        <v>0</v>
      </c>
      <c r="E545" s="131"/>
    </row>
    <row r="546" spans="1:9" x14ac:dyDescent="0.25">
      <c r="A546" s="753">
        <v>904026</v>
      </c>
      <c r="B546" s="130">
        <v>0</v>
      </c>
      <c r="E546" s="131"/>
    </row>
    <row r="547" spans="1:9" x14ac:dyDescent="0.25">
      <c r="A547" s="753">
        <v>904028</v>
      </c>
      <c r="B547" s="130">
        <v>0</v>
      </c>
      <c r="E547" s="131"/>
    </row>
    <row r="548" spans="1:9" x14ac:dyDescent="0.25">
      <c r="A548" s="753">
        <v>904112</v>
      </c>
      <c r="B548" s="130">
        <v>160</v>
      </c>
      <c r="E548" s="131"/>
    </row>
    <row r="549" spans="1:9" x14ac:dyDescent="0.25">
      <c r="A549" s="753">
        <v>904114</v>
      </c>
      <c r="B549" s="130">
        <v>40701</v>
      </c>
      <c r="E549" s="131"/>
    </row>
    <row r="550" spans="1:9" x14ac:dyDescent="0.25">
      <c r="A550" s="753">
        <v>904116</v>
      </c>
      <c r="B550" s="130">
        <v>11636</v>
      </c>
      <c r="C550" s="131" t="s">
        <v>79</v>
      </c>
      <c r="D550" s="131">
        <v>16</v>
      </c>
      <c r="E550" s="131" t="s">
        <v>79</v>
      </c>
      <c r="F550" s="767">
        <v>-135308.69</v>
      </c>
      <c r="G550" s="767">
        <v>-21474.45</v>
      </c>
      <c r="H550" s="767">
        <v>-156783.14000000001</v>
      </c>
      <c r="I550" s="768" t="s">
        <v>1512</v>
      </c>
    </row>
    <row r="551" spans="1:9" x14ac:dyDescent="0.25">
      <c r="A551" s="753"/>
      <c r="C551" s="131" t="s">
        <v>1005</v>
      </c>
      <c r="D551" s="131">
        <v>16</v>
      </c>
      <c r="E551" s="131" t="s">
        <v>1005</v>
      </c>
      <c r="F551" s="767">
        <v>95545.56</v>
      </c>
      <c r="G551" s="767">
        <v>15633.54</v>
      </c>
      <c r="H551" s="767">
        <v>111179.1</v>
      </c>
      <c r="I551" s="768" t="s">
        <v>1513</v>
      </c>
    </row>
    <row r="552" spans="1:9" x14ac:dyDescent="0.25">
      <c r="A552" s="753"/>
      <c r="C552" s="131" t="s">
        <v>157</v>
      </c>
      <c r="D552" s="131">
        <v>16</v>
      </c>
      <c r="E552" s="131" t="s">
        <v>157</v>
      </c>
      <c r="F552" s="767">
        <v>-14674.54</v>
      </c>
      <c r="G552" s="767">
        <v>-5744.3</v>
      </c>
      <c r="H552" s="767">
        <v>-20418.84</v>
      </c>
      <c r="I552" s="768" t="s">
        <v>1515</v>
      </c>
    </row>
    <row r="553" spans="1:9" x14ac:dyDescent="0.25">
      <c r="A553" s="753"/>
      <c r="C553" s="131" t="s">
        <v>1007</v>
      </c>
      <c r="D553" s="131">
        <v>16</v>
      </c>
      <c r="E553" s="131" t="s">
        <v>1007</v>
      </c>
      <c r="F553" s="767">
        <v>10191.86</v>
      </c>
      <c r="G553" s="767">
        <v>3917.51</v>
      </c>
      <c r="H553" s="767">
        <v>14109.37</v>
      </c>
      <c r="I553" s="768" t="s">
        <v>1516</v>
      </c>
    </row>
    <row r="554" spans="1:9" x14ac:dyDescent="0.25">
      <c r="A554" s="753"/>
      <c r="C554" s="131" t="s">
        <v>158</v>
      </c>
      <c r="D554" s="131">
        <v>16</v>
      </c>
      <c r="E554" s="131" t="s">
        <v>158</v>
      </c>
      <c r="F554" s="767">
        <v>-78826.09</v>
      </c>
      <c r="G554" s="767">
        <v>-13482.55</v>
      </c>
      <c r="H554" s="767">
        <v>-92308.64</v>
      </c>
      <c r="I554" s="768" t="s">
        <v>1518</v>
      </c>
    </row>
    <row r="555" spans="1:9" x14ac:dyDescent="0.25">
      <c r="A555" s="753"/>
      <c r="C555" s="131" t="s">
        <v>1009</v>
      </c>
      <c r="D555" s="131">
        <v>16</v>
      </c>
      <c r="E555" s="131" t="s">
        <v>1009</v>
      </c>
      <c r="F555" s="767">
        <v>59524.02</v>
      </c>
      <c r="G555" s="767">
        <v>9512.77</v>
      </c>
      <c r="H555" s="767">
        <v>69036.789999999994</v>
      </c>
      <c r="I555" s="768" t="s">
        <v>1519</v>
      </c>
    </row>
    <row r="556" spans="1:9" x14ac:dyDescent="0.25">
      <c r="A556" s="753">
        <v>904118</v>
      </c>
      <c r="B556" s="130">
        <v>286</v>
      </c>
      <c r="E556" s="131"/>
    </row>
    <row r="557" spans="1:9" x14ac:dyDescent="0.25">
      <c r="A557" s="753">
        <v>904122</v>
      </c>
      <c r="B557" s="130">
        <v>1269</v>
      </c>
      <c r="E557" s="131"/>
    </row>
    <row r="558" spans="1:9" x14ac:dyDescent="0.25">
      <c r="A558" s="753">
        <v>904124</v>
      </c>
      <c r="B558" s="130">
        <v>269511</v>
      </c>
      <c r="E558" s="131"/>
    </row>
    <row r="559" spans="1:9" x14ac:dyDescent="0.25">
      <c r="A559" s="753">
        <v>904126</v>
      </c>
      <c r="B559" s="130">
        <v>75186</v>
      </c>
      <c r="C559" s="131" t="s">
        <v>79</v>
      </c>
      <c r="D559" s="131">
        <v>16</v>
      </c>
      <c r="E559" s="131" t="s">
        <v>79</v>
      </c>
      <c r="F559" s="767">
        <v>-135308.69</v>
      </c>
      <c r="G559" s="767">
        <v>-21474.45</v>
      </c>
      <c r="H559" s="767">
        <v>-156783.14000000001</v>
      </c>
      <c r="I559" s="768" t="s">
        <v>1512</v>
      </c>
    </row>
    <row r="560" spans="1:9" x14ac:dyDescent="0.25">
      <c r="A560" s="753"/>
      <c r="C560" s="131" t="s">
        <v>1005</v>
      </c>
      <c r="D560" s="131">
        <v>16</v>
      </c>
      <c r="E560" s="131" t="s">
        <v>1005</v>
      </c>
      <c r="F560" s="767">
        <v>95545.56</v>
      </c>
      <c r="G560" s="767">
        <v>15633.54</v>
      </c>
      <c r="H560" s="767">
        <v>111179.1</v>
      </c>
      <c r="I560" s="768" t="s">
        <v>1513</v>
      </c>
    </row>
    <row r="561" spans="1:9" x14ac:dyDescent="0.25">
      <c r="A561" s="753"/>
      <c r="C561" s="131" t="s">
        <v>157</v>
      </c>
      <c r="D561" s="131">
        <v>16</v>
      </c>
      <c r="E561" s="131" t="s">
        <v>157</v>
      </c>
      <c r="F561" s="767">
        <v>-14674.54</v>
      </c>
      <c r="G561" s="767">
        <v>-5744.3</v>
      </c>
      <c r="H561" s="767">
        <v>-20418.84</v>
      </c>
      <c r="I561" s="768" t="s">
        <v>1515</v>
      </c>
    </row>
    <row r="562" spans="1:9" x14ac:dyDescent="0.25">
      <c r="A562" s="753"/>
      <c r="C562" s="131" t="s">
        <v>1007</v>
      </c>
      <c r="D562" s="131">
        <v>16</v>
      </c>
      <c r="E562" s="131" t="s">
        <v>1007</v>
      </c>
      <c r="F562" s="767">
        <v>10191.86</v>
      </c>
      <c r="G562" s="767">
        <v>3917.51</v>
      </c>
      <c r="H562" s="767">
        <v>14109.37</v>
      </c>
      <c r="I562" s="768" t="s">
        <v>1516</v>
      </c>
    </row>
    <row r="563" spans="1:9" x14ac:dyDescent="0.25">
      <c r="A563" s="753"/>
      <c r="C563" s="131" t="s">
        <v>158</v>
      </c>
      <c r="D563" s="131">
        <v>16</v>
      </c>
      <c r="E563" s="131" t="s">
        <v>158</v>
      </c>
      <c r="F563" s="767">
        <v>-78826.09</v>
      </c>
      <c r="G563" s="767">
        <v>-13482.55</v>
      </c>
      <c r="H563" s="767">
        <v>-92308.64</v>
      </c>
      <c r="I563" s="768" t="s">
        <v>1518</v>
      </c>
    </row>
    <row r="564" spans="1:9" x14ac:dyDescent="0.25">
      <c r="A564" s="753"/>
      <c r="C564" s="131" t="s">
        <v>1009</v>
      </c>
      <c r="D564" s="131">
        <v>16</v>
      </c>
      <c r="E564" s="131" t="s">
        <v>1009</v>
      </c>
      <c r="F564" s="767">
        <v>59524.02</v>
      </c>
      <c r="G564" s="767">
        <v>9512.77</v>
      </c>
      <c r="H564" s="767">
        <v>69036.789999999994</v>
      </c>
      <c r="I564" s="768" t="s">
        <v>1519</v>
      </c>
    </row>
    <row r="565" spans="1:9" x14ac:dyDescent="0.25">
      <c r="A565" s="753">
        <v>904128</v>
      </c>
      <c r="B565" s="130">
        <v>279</v>
      </c>
      <c r="E565" s="131"/>
    </row>
    <row r="566" spans="1:9" x14ac:dyDescent="0.25">
      <c r="A566" s="753">
        <v>904212</v>
      </c>
      <c r="B566" s="130">
        <v>65</v>
      </c>
      <c r="C566" s="131" t="s">
        <v>1010</v>
      </c>
      <c r="D566" s="131">
        <v>16</v>
      </c>
      <c r="E566" s="131" t="s">
        <v>1010</v>
      </c>
      <c r="F566" s="767">
        <v>-9.06</v>
      </c>
      <c r="G566" s="767">
        <v>-0.65</v>
      </c>
      <c r="H566" s="767">
        <v>-9.7100000000000009</v>
      </c>
      <c r="I566" s="768" t="s">
        <v>1520</v>
      </c>
    </row>
    <row r="567" spans="1:9" x14ac:dyDescent="0.25">
      <c r="A567" s="753">
        <v>904214</v>
      </c>
      <c r="B567" s="130">
        <v>19253</v>
      </c>
      <c r="C567" s="131" t="s">
        <v>163</v>
      </c>
      <c r="D567" s="131">
        <v>16</v>
      </c>
      <c r="E567" s="131" t="s">
        <v>163</v>
      </c>
      <c r="F567" s="767">
        <v>-424504.46</v>
      </c>
      <c r="G567" s="767">
        <v>-19252.650000000001</v>
      </c>
      <c r="H567" s="767">
        <v>-443757.11</v>
      </c>
      <c r="I567" s="768" t="s">
        <v>1521</v>
      </c>
    </row>
    <row r="568" spans="1:9" x14ac:dyDescent="0.25">
      <c r="A568" s="753">
        <v>904216</v>
      </c>
      <c r="B568" s="130">
        <v>4543</v>
      </c>
      <c r="C568" s="131" t="s">
        <v>163</v>
      </c>
      <c r="D568" s="131">
        <v>16</v>
      </c>
      <c r="E568" s="131" t="s">
        <v>163</v>
      </c>
      <c r="F568" s="767">
        <v>-424504.46</v>
      </c>
      <c r="G568" s="767">
        <v>-19252.650000000001</v>
      </c>
      <c r="H568" s="767">
        <v>-443757.11</v>
      </c>
      <c r="I568" s="768" t="s">
        <v>1521</v>
      </c>
    </row>
    <row r="569" spans="1:9" x14ac:dyDescent="0.25">
      <c r="A569" s="753"/>
      <c r="C569" s="131" t="s">
        <v>1011</v>
      </c>
      <c r="D569" s="131">
        <v>16</v>
      </c>
      <c r="E569" s="131" t="s">
        <v>1011</v>
      </c>
      <c r="F569" s="767">
        <v>322952.71999999997</v>
      </c>
      <c r="G569" s="767">
        <v>13590.86</v>
      </c>
      <c r="H569" s="767">
        <v>336543.58</v>
      </c>
      <c r="I569" s="768" t="s">
        <v>1522</v>
      </c>
    </row>
    <row r="570" spans="1:9" x14ac:dyDescent="0.25">
      <c r="A570" s="753"/>
      <c r="C570" s="131" t="s">
        <v>1011</v>
      </c>
      <c r="D570" s="131">
        <v>16</v>
      </c>
      <c r="E570" s="131" t="s">
        <v>1523</v>
      </c>
      <c r="F570" s="767">
        <v>14634.81</v>
      </c>
      <c r="G570" s="767">
        <v>1119.28</v>
      </c>
      <c r="H570" s="767">
        <v>15754.09</v>
      </c>
      <c r="I570" s="768" t="s">
        <v>1524</v>
      </c>
    </row>
    <row r="571" spans="1:9" x14ac:dyDescent="0.25">
      <c r="A571" s="753">
        <v>904218</v>
      </c>
      <c r="B571" s="130">
        <v>236</v>
      </c>
      <c r="E571" s="131"/>
    </row>
    <row r="572" spans="1:9" x14ac:dyDescent="0.25">
      <c r="A572" s="753">
        <v>904222</v>
      </c>
      <c r="B572" s="130">
        <v>971</v>
      </c>
      <c r="C572" s="131" t="s">
        <v>1010</v>
      </c>
      <c r="D572" s="131">
        <v>16</v>
      </c>
      <c r="E572" s="131" t="s">
        <v>1010</v>
      </c>
      <c r="F572" s="767">
        <v>-9.06</v>
      </c>
      <c r="G572" s="767">
        <v>-0.65</v>
      </c>
      <c r="H572" s="767">
        <v>-9.7100000000000009</v>
      </c>
      <c r="I572" s="768" t="s">
        <v>1520</v>
      </c>
    </row>
    <row r="573" spans="1:9" x14ac:dyDescent="0.25">
      <c r="A573" s="753">
        <v>904224</v>
      </c>
      <c r="B573" s="130">
        <v>443757</v>
      </c>
      <c r="C573" s="131" t="s">
        <v>163</v>
      </c>
      <c r="D573" s="131">
        <v>16</v>
      </c>
      <c r="E573" s="131" t="s">
        <v>163</v>
      </c>
      <c r="F573" s="767">
        <v>-424504.46</v>
      </c>
      <c r="G573" s="767">
        <v>-19252.650000000001</v>
      </c>
      <c r="H573" s="767">
        <v>-443757.11</v>
      </c>
      <c r="I573" s="768" t="s">
        <v>1521</v>
      </c>
    </row>
    <row r="574" spans="1:9" x14ac:dyDescent="0.25">
      <c r="A574" s="753">
        <v>904226</v>
      </c>
      <c r="B574" s="130">
        <v>91459</v>
      </c>
      <c r="C574" s="131" t="s">
        <v>163</v>
      </c>
      <c r="D574" s="131">
        <v>16</v>
      </c>
      <c r="E574" s="131" t="s">
        <v>163</v>
      </c>
      <c r="F574" s="767">
        <v>-424504.46</v>
      </c>
      <c r="G574" s="767">
        <v>-19252.650000000001</v>
      </c>
      <c r="H574" s="767">
        <v>-443757.11</v>
      </c>
      <c r="I574" s="768" t="s">
        <v>1521</v>
      </c>
    </row>
    <row r="575" spans="1:9" x14ac:dyDescent="0.25">
      <c r="A575" s="753"/>
      <c r="C575" s="131" t="s">
        <v>1011</v>
      </c>
      <c r="D575" s="131">
        <v>16</v>
      </c>
      <c r="E575" s="131" t="s">
        <v>1011</v>
      </c>
      <c r="F575" s="767">
        <v>322952.71999999997</v>
      </c>
      <c r="G575" s="767">
        <v>13590.86</v>
      </c>
      <c r="H575" s="767">
        <v>336543.58</v>
      </c>
      <c r="I575" s="768" t="s">
        <v>1522</v>
      </c>
    </row>
    <row r="576" spans="1:9" x14ac:dyDescent="0.25">
      <c r="A576" s="753"/>
      <c r="C576" s="131" t="s">
        <v>1011</v>
      </c>
      <c r="D576" s="131">
        <v>16</v>
      </c>
      <c r="E576" s="131" t="s">
        <v>1523</v>
      </c>
      <c r="F576" s="767">
        <v>14634.81</v>
      </c>
      <c r="G576" s="767">
        <v>1119.28</v>
      </c>
      <c r="H576" s="767">
        <v>15754.09</v>
      </c>
      <c r="I576" s="768" t="s">
        <v>1524</v>
      </c>
    </row>
    <row r="577" spans="1:5" x14ac:dyDescent="0.25">
      <c r="A577" s="753">
        <v>904228</v>
      </c>
      <c r="B577" s="130">
        <v>206</v>
      </c>
      <c r="E577" s="131"/>
    </row>
    <row r="578" spans="1:5" x14ac:dyDescent="0.25">
      <c r="A578" s="753">
        <v>904312</v>
      </c>
      <c r="B578" s="130">
        <v>0</v>
      </c>
      <c r="E578" s="131"/>
    </row>
    <row r="579" spans="1:5" x14ac:dyDescent="0.25">
      <c r="A579" s="753">
        <v>904314</v>
      </c>
      <c r="B579" s="130">
        <v>0</v>
      </c>
      <c r="E579" s="131"/>
    </row>
    <row r="580" spans="1:5" x14ac:dyDescent="0.25">
      <c r="A580" s="753">
        <v>904316</v>
      </c>
      <c r="B580" s="130">
        <v>0</v>
      </c>
      <c r="E580" s="131"/>
    </row>
    <row r="581" spans="1:5" x14ac:dyDescent="0.25">
      <c r="A581" s="753">
        <v>904318</v>
      </c>
      <c r="B581" s="130">
        <v>0</v>
      </c>
      <c r="E581" s="131"/>
    </row>
    <row r="582" spans="1:5" x14ac:dyDescent="0.25">
      <c r="A582" s="753">
        <v>904322</v>
      </c>
      <c r="B582" s="130">
        <v>0</v>
      </c>
      <c r="E582" s="131"/>
    </row>
    <row r="583" spans="1:5" x14ac:dyDescent="0.25">
      <c r="A583" s="753">
        <v>904324</v>
      </c>
      <c r="B583" s="130">
        <v>0</v>
      </c>
      <c r="E583" s="131"/>
    </row>
    <row r="584" spans="1:5" x14ac:dyDescent="0.25">
      <c r="A584" s="753">
        <v>904326</v>
      </c>
      <c r="B584" s="130">
        <v>0</v>
      </c>
      <c r="E584" s="131"/>
    </row>
    <row r="585" spans="1:5" x14ac:dyDescent="0.25">
      <c r="A585" s="753">
        <v>904328</v>
      </c>
      <c r="B585" s="130">
        <v>0</v>
      </c>
      <c r="E585" s="131"/>
    </row>
    <row r="586" spans="1:5" x14ac:dyDescent="0.25">
      <c r="A586" s="753">
        <v>904412</v>
      </c>
      <c r="B586" s="130">
        <v>0</v>
      </c>
      <c r="E586" s="131"/>
    </row>
    <row r="587" spans="1:5" x14ac:dyDescent="0.25">
      <c r="A587" s="753">
        <v>904414</v>
      </c>
      <c r="B587" s="130">
        <v>0</v>
      </c>
      <c r="E587" s="131"/>
    </row>
    <row r="588" spans="1:5" x14ac:dyDescent="0.25">
      <c r="A588" s="753">
        <v>904416</v>
      </c>
      <c r="B588" s="130">
        <v>0</v>
      </c>
      <c r="E588" s="131"/>
    </row>
    <row r="589" spans="1:5" x14ac:dyDescent="0.25">
      <c r="A589" s="753">
        <v>904418</v>
      </c>
      <c r="B589" s="130">
        <v>0</v>
      </c>
      <c r="E589" s="131"/>
    </row>
    <row r="590" spans="1:5" x14ac:dyDescent="0.25">
      <c r="A590" s="753">
        <v>904422</v>
      </c>
      <c r="B590" s="130">
        <v>0</v>
      </c>
      <c r="E590" s="131"/>
    </row>
    <row r="591" spans="1:5" x14ac:dyDescent="0.25">
      <c r="A591" s="753">
        <v>904424</v>
      </c>
      <c r="B591" s="130">
        <v>0</v>
      </c>
      <c r="E591" s="131"/>
    </row>
    <row r="592" spans="1:5" x14ac:dyDescent="0.25">
      <c r="A592" s="753">
        <v>904426</v>
      </c>
      <c r="B592" s="130">
        <v>0</v>
      </c>
      <c r="E592" s="131"/>
    </row>
    <row r="593" spans="1:9" x14ac:dyDescent="0.25">
      <c r="A593" s="753">
        <v>904428</v>
      </c>
      <c r="B593" s="130">
        <v>0</v>
      </c>
      <c r="E593" s="131"/>
    </row>
    <row r="594" spans="1:9" x14ac:dyDescent="0.25">
      <c r="A594" s="753">
        <v>904512</v>
      </c>
      <c r="B594" s="130">
        <v>0</v>
      </c>
      <c r="E594" s="131"/>
    </row>
    <row r="595" spans="1:9" x14ac:dyDescent="0.25">
      <c r="A595" s="753">
        <v>904514</v>
      </c>
      <c r="B595" s="130">
        <v>0</v>
      </c>
      <c r="E595" s="131"/>
    </row>
    <row r="596" spans="1:9" x14ac:dyDescent="0.25">
      <c r="A596" s="753">
        <v>904516</v>
      </c>
      <c r="B596" s="130">
        <v>0</v>
      </c>
      <c r="E596" s="131"/>
    </row>
    <row r="597" spans="1:9" x14ac:dyDescent="0.25">
      <c r="A597" s="753">
        <v>904518</v>
      </c>
      <c r="B597" s="130">
        <v>0</v>
      </c>
      <c r="E597" s="131"/>
    </row>
    <row r="598" spans="1:9" x14ac:dyDescent="0.25">
      <c r="A598" s="753">
        <v>904522</v>
      </c>
      <c r="B598" s="130">
        <v>0</v>
      </c>
      <c r="E598" s="131"/>
    </row>
    <row r="599" spans="1:9" x14ac:dyDescent="0.25">
      <c r="A599" s="753">
        <v>904524</v>
      </c>
      <c r="B599" s="130">
        <v>0</v>
      </c>
      <c r="E599" s="131"/>
    </row>
    <row r="600" spans="1:9" x14ac:dyDescent="0.25">
      <c r="A600" s="753">
        <v>904526</v>
      </c>
      <c r="B600" s="130">
        <v>0</v>
      </c>
      <c r="E600" s="131"/>
    </row>
    <row r="601" spans="1:9" x14ac:dyDescent="0.25">
      <c r="A601" s="753">
        <v>904528</v>
      </c>
      <c r="B601" s="130">
        <v>0</v>
      </c>
      <c r="E601" s="131"/>
    </row>
    <row r="602" spans="1:9" x14ac:dyDescent="0.25">
      <c r="A602" s="753">
        <v>904612</v>
      </c>
      <c r="B602" s="130">
        <v>65</v>
      </c>
      <c r="E602" s="131"/>
    </row>
    <row r="603" spans="1:9" x14ac:dyDescent="0.25">
      <c r="A603" s="753">
        <v>904614</v>
      </c>
      <c r="B603" s="130">
        <v>19253</v>
      </c>
      <c r="E603" s="131"/>
    </row>
    <row r="604" spans="1:9" x14ac:dyDescent="0.25">
      <c r="A604" s="753">
        <v>904616</v>
      </c>
      <c r="B604" s="130">
        <v>4543</v>
      </c>
      <c r="C604" s="131" t="s">
        <v>163</v>
      </c>
      <c r="D604" s="131">
        <v>16</v>
      </c>
      <c r="E604" s="131" t="s">
        <v>163</v>
      </c>
      <c r="F604" s="767">
        <v>-424504.46</v>
      </c>
      <c r="G604" s="767">
        <v>-19252.650000000001</v>
      </c>
      <c r="H604" s="767">
        <v>-443757.11</v>
      </c>
      <c r="I604" s="768" t="s">
        <v>1521</v>
      </c>
    </row>
    <row r="605" spans="1:9" x14ac:dyDescent="0.25">
      <c r="A605" s="753"/>
      <c r="C605" s="131" t="s">
        <v>1011</v>
      </c>
      <c r="D605" s="131">
        <v>16</v>
      </c>
      <c r="E605" s="131" t="s">
        <v>1011</v>
      </c>
      <c r="F605" s="767">
        <v>322952.71999999997</v>
      </c>
      <c r="G605" s="767">
        <v>13590.86</v>
      </c>
      <c r="H605" s="767">
        <v>336543.58</v>
      </c>
      <c r="I605" s="768" t="s">
        <v>1522</v>
      </c>
    </row>
    <row r="606" spans="1:9" x14ac:dyDescent="0.25">
      <c r="A606" s="753"/>
      <c r="C606" s="131" t="s">
        <v>1011</v>
      </c>
      <c r="D606" s="131">
        <v>16</v>
      </c>
      <c r="E606" s="131" t="s">
        <v>1523</v>
      </c>
      <c r="F606" s="767">
        <v>14634.81</v>
      </c>
      <c r="G606" s="767">
        <v>1119.28</v>
      </c>
      <c r="H606" s="767">
        <v>15754.09</v>
      </c>
      <c r="I606" s="768" t="s">
        <v>1524</v>
      </c>
    </row>
    <row r="607" spans="1:9" x14ac:dyDescent="0.25">
      <c r="A607" s="753">
        <v>904618</v>
      </c>
      <c r="B607" s="130">
        <v>236</v>
      </c>
      <c r="E607" s="131"/>
    </row>
    <row r="608" spans="1:9" x14ac:dyDescent="0.25">
      <c r="A608" s="753">
        <v>904622</v>
      </c>
      <c r="B608" s="130">
        <v>971</v>
      </c>
      <c r="E608" s="131"/>
    </row>
    <row r="609" spans="1:9" x14ac:dyDescent="0.25">
      <c r="A609" s="753">
        <v>904624</v>
      </c>
      <c r="B609" s="130">
        <v>443757</v>
      </c>
      <c r="E609" s="131"/>
    </row>
    <row r="610" spans="1:9" x14ac:dyDescent="0.25">
      <c r="A610" s="753">
        <v>904626</v>
      </c>
      <c r="B610" s="130">
        <v>91459</v>
      </c>
      <c r="C610" s="131" t="s">
        <v>163</v>
      </c>
      <c r="D610" s="131">
        <v>16</v>
      </c>
      <c r="E610" s="131" t="s">
        <v>163</v>
      </c>
      <c r="F610" s="767">
        <v>-424504.46</v>
      </c>
      <c r="G610" s="767">
        <v>-19252.650000000001</v>
      </c>
      <c r="H610" s="767">
        <v>-443757.11</v>
      </c>
      <c r="I610" s="768" t="s">
        <v>1521</v>
      </c>
    </row>
    <row r="611" spans="1:9" x14ac:dyDescent="0.25">
      <c r="A611" s="753"/>
      <c r="C611" s="131" t="s">
        <v>1011</v>
      </c>
      <c r="D611" s="131">
        <v>16</v>
      </c>
      <c r="E611" s="131" t="s">
        <v>1011</v>
      </c>
      <c r="F611" s="767">
        <v>322952.71999999997</v>
      </c>
      <c r="G611" s="767">
        <v>13590.86</v>
      </c>
      <c r="H611" s="767">
        <v>336543.58</v>
      </c>
      <c r="I611" s="768" t="s">
        <v>1522</v>
      </c>
    </row>
    <row r="612" spans="1:9" x14ac:dyDescent="0.25">
      <c r="A612" s="753"/>
      <c r="C612" s="131" t="s">
        <v>1011</v>
      </c>
      <c r="D612" s="131">
        <v>16</v>
      </c>
      <c r="E612" s="131" t="s">
        <v>1523</v>
      </c>
      <c r="F612" s="767">
        <v>14634.81</v>
      </c>
      <c r="G612" s="767">
        <v>1119.28</v>
      </c>
      <c r="H612" s="767">
        <v>15754.09</v>
      </c>
      <c r="I612" s="768" t="s">
        <v>1524</v>
      </c>
    </row>
    <row r="613" spans="1:9" x14ac:dyDescent="0.25">
      <c r="A613" s="753">
        <v>904628</v>
      </c>
      <c r="B613" s="130">
        <v>206</v>
      </c>
      <c r="E613" s="131"/>
    </row>
    <row r="614" spans="1:9" x14ac:dyDescent="0.25">
      <c r="A614" s="753">
        <v>904712</v>
      </c>
      <c r="B614" s="130">
        <v>170</v>
      </c>
      <c r="C614" s="131" t="s">
        <v>1013</v>
      </c>
      <c r="D614" s="131">
        <v>16</v>
      </c>
      <c r="E614" s="131" t="s">
        <v>1013</v>
      </c>
      <c r="F614" s="767">
        <v>-3.04</v>
      </c>
      <c r="G614" s="767">
        <v>-0.71</v>
      </c>
      <c r="H614" s="767">
        <v>-3.75</v>
      </c>
      <c r="I614" s="768" t="s">
        <v>1525</v>
      </c>
    </row>
    <row r="615" spans="1:9" x14ac:dyDescent="0.25">
      <c r="A615" s="753"/>
      <c r="C615" s="131" t="s">
        <v>1526</v>
      </c>
      <c r="D615" s="131">
        <v>16</v>
      </c>
      <c r="E615" s="131" t="s">
        <v>1526</v>
      </c>
      <c r="F615" s="767">
        <v>-5.78</v>
      </c>
      <c r="G615" s="767">
        <v>-0.99</v>
      </c>
      <c r="H615" s="767">
        <v>-6.77</v>
      </c>
      <c r="I615" s="768" t="s">
        <v>1527</v>
      </c>
    </row>
    <row r="616" spans="1:9" x14ac:dyDescent="0.25">
      <c r="A616" s="753">
        <v>904714</v>
      </c>
      <c r="B616" s="130">
        <v>131139</v>
      </c>
      <c r="C616" s="131" t="s">
        <v>1014</v>
      </c>
      <c r="D616" s="131">
        <v>16</v>
      </c>
      <c r="E616" s="131" t="s">
        <v>1014</v>
      </c>
      <c r="F616" s="767">
        <v>-460130.66</v>
      </c>
      <c r="G616" s="767">
        <v>-117139.92</v>
      </c>
      <c r="H616" s="767">
        <v>-577270.57999999996</v>
      </c>
      <c r="I616" s="768" t="s">
        <v>1528</v>
      </c>
    </row>
    <row r="617" spans="1:9" x14ac:dyDescent="0.25">
      <c r="A617" s="753"/>
      <c r="C617" s="131" t="s">
        <v>1015</v>
      </c>
      <c r="D617" s="131">
        <v>16</v>
      </c>
      <c r="E617" s="131" t="s">
        <v>1015</v>
      </c>
      <c r="F617" s="767">
        <v>-43509.4</v>
      </c>
      <c r="G617" s="767">
        <v>-6251.55</v>
      </c>
      <c r="H617" s="767">
        <v>-49760.95</v>
      </c>
      <c r="I617" s="768" t="s">
        <v>1529</v>
      </c>
    </row>
    <row r="618" spans="1:9" x14ac:dyDescent="0.25">
      <c r="A618" s="753"/>
      <c r="C618" s="131" t="s">
        <v>1015</v>
      </c>
      <c r="D618" s="131">
        <v>16</v>
      </c>
      <c r="E618" s="131" t="s">
        <v>1016</v>
      </c>
      <c r="F618" s="767">
        <v>-51591.54</v>
      </c>
      <c r="G618" s="767">
        <v>-7747.54</v>
      </c>
      <c r="H618" s="767">
        <v>-59339.08</v>
      </c>
      <c r="I618" s="768" t="s">
        <v>1530</v>
      </c>
    </row>
    <row r="619" spans="1:9" x14ac:dyDescent="0.25">
      <c r="A619" s="753">
        <v>904716</v>
      </c>
      <c r="B619" s="130">
        <v>35107</v>
      </c>
      <c r="C619" s="131" t="s">
        <v>1014</v>
      </c>
      <c r="D619" s="131">
        <v>16</v>
      </c>
      <c r="E619" s="131" t="s">
        <v>1014</v>
      </c>
      <c r="F619" s="767">
        <v>-460130.66</v>
      </c>
      <c r="G619" s="767">
        <v>-117139.92</v>
      </c>
      <c r="H619" s="767">
        <v>-577270.57999999996</v>
      </c>
      <c r="I619" s="768" t="s">
        <v>1528</v>
      </c>
    </row>
    <row r="620" spans="1:9" x14ac:dyDescent="0.25">
      <c r="A620" s="753"/>
      <c r="C620" s="131" t="s">
        <v>1015</v>
      </c>
      <c r="D620" s="131">
        <v>16</v>
      </c>
      <c r="E620" s="131" t="s">
        <v>1015</v>
      </c>
      <c r="F620" s="767">
        <v>-43509.4</v>
      </c>
      <c r="G620" s="767">
        <v>-6251.55</v>
      </c>
      <c r="H620" s="767">
        <v>-49760.95</v>
      </c>
      <c r="I620" s="768" t="s">
        <v>1529</v>
      </c>
    </row>
    <row r="621" spans="1:9" x14ac:dyDescent="0.25">
      <c r="A621" s="753"/>
      <c r="C621" s="131" t="s">
        <v>1015</v>
      </c>
      <c r="D621" s="131">
        <v>16</v>
      </c>
      <c r="E621" s="131" t="s">
        <v>1016</v>
      </c>
      <c r="F621" s="767">
        <v>-51591.54</v>
      </c>
      <c r="G621" s="767">
        <v>-7747.54</v>
      </c>
      <c r="H621" s="767">
        <v>-59339.08</v>
      </c>
      <c r="I621" s="768" t="s">
        <v>1530</v>
      </c>
    </row>
    <row r="622" spans="1:9" x14ac:dyDescent="0.25">
      <c r="A622" s="753"/>
      <c r="C622" s="131" t="s">
        <v>1017</v>
      </c>
      <c r="D622" s="131">
        <v>16</v>
      </c>
      <c r="E622" s="131" t="s">
        <v>1017</v>
      </c>
      <c r="F622" s="767">
        <v>346897.11</v>
      </c>
      <c r="G622" s="767">
        <v>87009.08</v>
      </c>
      <c r="H622" s="767">
        <v>433906.19</v>
      </c>
      <c r="I622" s="768" t="s">
        <v>1531</v>
      </c>
    </row>
    <row r="623" spans="1:9" x14ac:dyDescent="0.25">
      <c r="A623" s="753"/>
      <c r="C623" s="131" t="s">
        <v>1018</v>
      </c>
      <c r="D623" s="131">
        <v>16</v>
      </c>
      <c r="E623" s="131" t="s">
        <v>1018</v>
      </c>
      <c r="F623" s="767">
        <v>28074.54</v>
      </c>
      <c r="G623" s="767">
        <v>4051.37</v>
      </c>
      <c r="H623" s="767">
        <v>32125.91</v>
      </c>
      <c r="I623" s="768" t="s">
        <v>1532</v>
      </c>
    </row>
    <row r="624" spans="1:9" x14ac:dyDescent="0.25">
      <c r="A624" s="753"/>
      <c r="C624" s="131" t="s">
        <v>1018</v>
      </c>
      <c r="D624" s="131">
        <v>16</v>
      </c>
      <c r="E624" s="131" t="s">
        <v>1019</v>
      </c>
      <c r="F624" s="767">
        <v>34304.589999999997</v>
      </c>
      <c r="G624" s="767">
        <v>4971.3999999999996</v>
      </c>
      <c r="H624" s="767">
        <v>39275.99</v>
      </c>
      <c r="I624" s="768" t="s">
        <v>1533</v>
      </c>
    </row>
    <row r="625" spans="1:9" x14ac:dyDescent="0.25">
      <c r="A625" s="753">
        <v>904718</v>
      </c>
      <c r="B625" s="130">
        <v>268</v>
      </c>
      <c r="E625" s="131"/>
    </row>
    <row r="626" spans="1:9" x14ac:dyDescent="0.25">
      <c r="A626" s="753">
        <v>904722</v>
      </c>
      <c r="B626" s="130">
        <v>1052</v>
      </c>
      <c r="C626" s="131" t="s">
        <v>1013</v>
      </c>
      <c r="D626" s="131">
        <v>16</v>
      </c>
      <c r="E626" s="131" t="s">
        <v>1013</v>
      </c>
      <c r="F626" s="767">
        <v>-3.04</v>
      </c>
      <c r="G626" s="767">
        <v>-0.71</v>
      </c>
      <c r="H626" s="767">
        <v>-3.75</v>
      </c>
      <c r="I626" s="768" t="s">
        <v>1525</v>
      </c>
    </row>
    <row r="627" spans="1:9" x14ac:dyDescent="0.25">
      <c r="A627" s="753"/>
      <c r="C627" s="131" t="s">
        <v>1526</v>
      </c>
      <c r="D627" s="131">
        <v>16</v>
      </c>
      <c r="E627" s="131" t="s">
        <v>1526</v>
      </c>
      <c r="F627" s="767">
        <v>-5.78</v>
      </c>
      <c r="G627" s="767">
        <v>-0.99</v>
      </c>
      <c r="H627" s="767">
        <v>-6.77</v>
      </c>
      <c r="I627" s="768" t="s">
        <v>1527</v>
      </c>
    </row>
    <row r="628" spans="1:9" x14ac:dyDescent="0.25">
      <c r="A628" s="753">
        <v>904724</v>
      </c>
      <c r="B628" s="130">
        <v>686371</v>
      </c>
      <c r="C628" s="131" t="s">
        <v>1014</v>
      </c>
      <c r="D628" s="131">
        <v>16</v>
      </c>
      <c r="E628" s="131" t="s">
        <v>1014</v>
      </c>
      <c r="F628" s="767">
        <v>-460130.66</v>
      </c>
      <c r="G628" s="767">
        <v>-117139.92</v>
      </c>
      <c r="H628" s="767">
        <v>-577270.57999999996</v>
      </c>
      <c r="I628" s="768" t="s">
        <v>1528</v>
      </c>
    </row>
    <row r="629" spans="1:9" x14ac:dyDescent="0.25">
      <c r="A629" s="753"/>
      <c r="C629" s="131" t="s">
        <v>1015</v>
      </c>
      <c r="D629" s="131">
        <v>16</v>
      </c>
      <c r="E629" s="131" t="s">
        <v>1015</v>
      </c>
      <c r="F629" s="767">
        <v>-43509.4</v>
      </c>
      <c r="G629" s="767">
        <v>-6251.55</v>
      </c>
      <c r="H629" s="767">
        <v>-49760.95</v>
      </c>
      <c r="I629" s="768" t="s">
        <v>1529</v>
      </c>
    </row>
    <row r="630" spans="1:9" x14ac:dyDescent="0.25">
      <c r="A630" s="753"/>
      <c r="C630" s="131" t="s">
        <v>1015</v>
      </c>
      <c r="D630" s="131">
        <v>16</v>
      </c>
      <c r="E630" s="131" t="s">
        <v>1016</v>
      </c>
      <c r="F630" s="767">
        <v>-51591.54</v>
      </c>
      <c r="G630" s="767">
        <v>-7747.54</v>
      </c>
      <c r="H630" s="767">
        <v>-59339.08</v>
      </c>
      <c r="I630" s="768" t="s">
        <v>1530</v>
      </c>
    </row>
    <row r="631" spans="1:9" x14ac:dyDescent="0.25">
      <c r="A631" s="753">
        <v>904726</v>
      </c>
      <c r="B631" s="130">
        <v>181063</v>
      </c>
      <c r="C631" s="131" t="s">
        <v>1014</v>
      </c>
      <c r="D631" s="131">
        <v>16</v>
      </c>
      <c r="E631" s="131" t="s">
        <v>1014</v>
      </c>
      <c r="F631" s="767">
        <v>-460130.66</v>
      </c>
      <c r="G631" s="767">
        <v>-117139.92</v>
      </c>
      <c r="H631" s="767">
        <v>-577270.57999999996</v>
      </c>
      <c r="I631" s="768" t="s">
        <v>1528</v>
      </c>
    </row>
    <row r="632" spans="1:9" x14ac:dyDescent="0.25">
      <c r="A632" s="753"/>
      <c r="C632" s="131" t="s">
        <v>1015</v>
      </c>
      <c r="D632" s="131">
        <v>16</v>
      </c>
      <c r="E632" s="131" t="s">
        <v>1015</v>
      </c>
      <c r="F632" s="767">
        <v>-43509.4</v>
      </c>
      <c r="G632" s="767">
        <v>-6251.55</v>
      </c>
      <c r="H632" s="767">
        <v>-49760.95</v>
      </c>
      <c r="I632" s="768" t="s">
        <v>1529</v>
      </c>
    </row>
    <row r="633" spans="1:9" x14ac:dyDescent="0.25">
      <c r="A633" s="753"/>
      <c r="C633" s="131" t="s">
        <v>1015</v>
      </c>
      <c r="D633" s="131">
        <v>16</v>
      </c>
      <c r="E633" s="131" t="s">
        <v>1016</v>
      </c>
      <c r="F633" s="767">
        <v>-51591.54</v>
      </c>
      <c r="G633" s="767">
        <v>-7747.54</v>
      </c>
      <c r="H633" s="767">
        <v>-59339.08</v>
      </c>
      <c r="I633" s="768" t="s">
        <v>1530</v>
      </c>
    </row>
    <row r="634" spans="1:9" x14ac:dyDescent="0.25">
      <c r="A634" s="753"/>
      <c r="C634" s="131" t="s">
        <v>1017</v>
      </c>
      <c r="D634" s="131">
        <v>16</v>
      </c>
      <c r="E634" s="131" t="s">
        <v>1017</v>
      </c>
      <c r="F634" s="767">
        <v>346897.11</v>
      </c>
      <c r="G634" s="767">
        <v>87009.08</v>
      </c>
      <c r="H634" s="767">
        <v>433906.19</v>
      </c>
      <c r="I634" s="768" t="s">
        <v>1531</v>
      </c>
    </row>
    <row r="635" spans="1:9" x14ac:dyDescent="0.25">
      <c r="A635" s="753"/>
      <c r="C635" s="131" t="s">
        <v>1018</v>
      </c>
      <c r="D635" s="131">
        <v>16</v>
      </c>
      <c r="E635" s="131" t="s">
        <v>1018</v>
      </c>
      <c r="F635" s="767">
        <v>28074.54</v>
      </c>
      <c r="G635" s="767">
        <v>4051.37</v>
      </c>
      <c r="H635" s="767">
        <v>32125.91</v>
      </c>
      <c r="I635" s="768" t="s">
        <v>1532</v>
      </c>
    </row>
    <row r="636" spans="1:9" x14ac:dyDescent="0.25">
      <c r="A636" s="753"/>
      <c r="C636" s="131" t="s">
        <v>1018</v>
      </c>
      <c r="D636" s="131">
        <v>16</v>
      </c>
      <c r="E636" s="131" t="s">
        <v>1019</v>
      </c>
      <c r="F636" s="767">
        <v>34304.589999999997</v>
      </c>
      <c r="G636" s="767">
        <v>4971.3999999999996</v>
      </c>
      <c r="H636" s="767">
        <v>39275.99</v>
      </c>
      <c r="I636" s="768" t="s">
        <v>1533</v>
      </c>
    </row>
    <row r="637" spans="1:9" x14ac:dyDescent="0.25">
      <c r="A637" s="753">
        <v>904728</v>
      </c>
      <c r="B637" s="130">
        <v>264</v>
      </c>
      <c r="E637" s="131"/>
    </row>
    <row r="638" spans="1:9" x14ac:dyDescent="0.25">
      <c r="A638" s="753">
        <v>904816</v>
      </c>
      <c r="B638" s="130">
        <v>-9633</v>
      </c>
      <c r="C638" s="131" t="s">
        <v>1012</v>
      </c>
      <c r="D638" s="131">
        <v>16</v>
      </c>
      <c r="E638" s="131" t="s">
        <v>1012</v>
      </c>
      <c r="F638" s="767">
        <v>-41204.53</v>
      </c>
      <c r="G638" s="767">
        <v>-9632.99</v>
      </c>
      <c r="H638" s="767">
        <v>-50837.52</v>
      </c>
      <c r="I638" s="768" t="s">
        <v>1534</v>
      </c>
    </row>
    <row r="639" spans="1:9" x14ac:dyDescent="0.25">
      <c r="A639" s="753">
        <v>904826</v>
      </c>
      <c r="B639" s="130">
        <v>-50838</v>
      </c>
      <c r="C639" s="131" t="s">
        <v>1012</v>
      </c>
      <c r="D639" s="131">
        <v>16</v>
      </c>
      <c r="E639" s="131" t="s">
        <v>1012</v>
      </c>
      <c r="F639" s="767">
        <v>-41204.53</v>
      </c>
      <c r="G639" s="767">
        <v>-9632.99</v>
      </c>
      <c r="H639" s="767">
        <v>-50837.52</v>
      </c>
      <c r="I639" s="768" t="s">
        <v>1534</v>
      </c>
    </row>
    <row r="640" spans="1:9" x14ac:dyDescent="0.25">
      <c r="A640" s="753">
        <v>904916</v>
      </c>
      <c r="B640" s="130">
        <v>0</v>
      </c>
      <c r="E640" s="131"/>
    </row>
    <row r="641" spans="1:9" x14ac:dyDescent="0.25">
      <c r="A641" s="753">
        <v>904926</v>
      </c>
      <c r="B641" s="130">
        <v>0</v>
      </c>
      <c r="E641" s="131"/>
    </row>
    <row r="642" spans="1:9" x14ac:dyDescent="0.25">
      <c r="A642" s="753">
        <v>905016</v>
      </c>
      <c r="B642" s="130">
        <v>0</v>
      </c>
      <c r="E642" s="131"/>
    </row>
    <row r="643" spans="1:9" x14ac:dyDescent="0.25">
      <c r="A643" s="753">
        <v>905026</v>
      </c>
      <c r="B643" s="130">
        <v>0</v>
      </c>
      <c r="E643" s="131"/>
    </row>
    <row r="644" spans="1:9" x14ac:dyDescent="0.25">
      <c r="A644" s="753">
        <v>905116</v>
      </c>
      <c r="B644" s="130">
        <v>0</v>
      </c>
      <c r="E644" s="131"/>
    </row>
    <row r="645" spans="1:9" x14ac:dyDescent="0.25">
      <c r="A645" s="753">
        <v>905126</v>
      </c>
      <c r="B645" s="130">
        <v>0</v>
      </c>
      <c r="E645" s="131"/>
    </row>
    <row r="646" spans="1:9" x14ac:dyDescent="0.25">
      <c r="A646" s="753">
        <v>905216</v>
      </c>
      <c r="B646" s="130">
        <v>-9633</v>
      </c>
      <c r="C646" s="131" t="s">
        <v>1012</v>
      </c>
      <c r="D646" s="131">
        <v>16</v>
      </c>
      <c r="E646" s="131" t="s">
        <v>1012</v>
      </c>
      <c r="F646" s="767">
        <v>-41204.53</v>
      </c>
      <c r="G646" s="767">
        <v>-9632.99</v>
      </c>
      <c r="H646" s="767">
        <v>-50837.52</v>
      </c>
      <c r="I646" s="768" t="s">
        <v>1534</v>
      </c>
    </row>
    <row r="647" spans="1:9" x14ac:dyDescent="0.25">
      <c r="A647" s="753">
        <v>905226</v>
      </c>
      <c r="B647" s="130">
        <v>50838</v>
      </c>
      <c r="C647" s="131" t="s">
        <v>1012</v>
      </c>
      <c r="D647" s="131">
        <v>16</v>
      </c>
      <c r="E647" s="131" t="s">
        <v>1012</v>
      </c>
      <c r="F647" s="767">
        <v>-41204.53</v>
      </c>
      <c r="G647" s="767">
        <v>-9632.99</v>
      </c>
      <c r="H647" s="767">
        <v>-50837.52</v>
      </c>
      <c r="I647" s="768" t="s">
        <v>1534</v>
      </c>
    </row>
    <row r="648" spans="1:9" x14ac:dyDescent="0.25">
      <c r="A648" s="753">
        <v>905312</v>
      </c>
      <c r="B648" s="130">
        <v>790</v>
      </c>
      <c r="E648" s="131"/>
    </row>
    <row r="649" spans="1:9" x14ac:dyDescent="0.25">
      <c r="A649" s="753">
        <v>905314</v>
      </c>
      <c r="B649" s="130">
        <v>350668</v>
      </c>
      <c r="E649" s="131"/>
    </row>
    <row r="650" spans="1:9" x14ac:dyDescent="0.25">
      <c r="A650" s="753">
        <v>905316</v>
      </c>
      <c r="B650" s="130">
        <v>115523</v>
      </c>
      <c r="C650" s="131" t="s">
        <v>10</v>
      </c>
      <c r="D650" s="131">
        <v>16</v>
      </c>
      <c r="E650" s="131" t="s">
        <v>10</v>
      </c>
      <c r="F650" s="767">
        <v>-203433.86</v>
      </c>
      <c r="G650" s="767">
        <v>-17795.72</v>
      </c>
      <c r="H650" s="767">
        <v>-221229.58</v>
      </c>
      <c r="I650" s="768" t="s">
        <v>1468</v>
      </c>
    </row>
    <row r="651" spans="1:9" x14ac:dyDescent="0.25">
      <c r="A651" s="753"/>
      <c r="C651" s="131" t="s">
        <v>976</v>
      </c>
      <c r="D651" s="131">
        <v>16</v>
      </c>
      <c r="E651" s="131" t="s">
        <v>976</v>
      </c>
      <c r="F651" s="767">
        <v>125114.1</v>
      </c>
      <c r="G651" s="767">
        <v>10366.67</v>
      </c>
      <c r="H651" s="767">
        <v>135480.76999999999</v>
      </c>
      <c r="I651" s="768" t="s">
        <v>1469</v>
      </c>
    </row>
    <row r="652" spans="1:9" x14ac:dyDescent="0.25">
      <c r="A652" s="753"/>
      <c r="C652" s="131" t="s">
        <v>11</v>
      </c>
      <c r="D652" s="131">
        <v>16</v>
      </c>
      <c r="E652" s="131" t="s">
        <v>11</v>
      </c>
      <c r="F652" s="767">
        <v>-298866.40999999997</v>
      </c>
      <c r="G652" s="767">
        <v>-36569.339999999997</v>
      </c>
      <c r="H652" s="767">
        <v>-335435.75</v>
      </c>
      <c r="I652" s="768" t="s">
        <v>1471</v>
      </c>
    </row>
    <row r="653" spans="1:9" x14ac:dyDescent="0.25">
      <c r="A653" s="753"/>
      <c r="C653" s="131" t="s">
        <v>978</v>
      </c>
      <c r="D653" s="131">
        <v>16</v>
      </c>
      <c r="E653" s="131" t="s">
        <v>978</v>
      </c>
      <c r="F653" s="767">
        <v>176671.26</v>
      </c>
      <c r="G653" s="767">
        <v>22215.05</v>
      </c>
      <c r="H653" s="767">
        <v>198886.31</v>
      </c>
      <c r="I653" s="768" t="s">
        <v>1472</v>
      </c>
    </row>
    <row r="654" spans="1:9" x14ac:dyDescent="0.25">
      <c r="A654" s="753"/>
      <c r="C654" s="131" t="s">
        <v>246</v>
      </c>
      <c r="D654" s="131">
        <v>16</v>
      </c>
      <c r="E654" s="131" t="s">
        <v>246</v>
      </c>
      <c r="F654" s="767">
        <v>-20320.09</v>
      </c>
      <c r="G654" s="767">
        <v>-4659.7299999999996</v>
      </c>
      <c r="H654" s="767">
        <v>-24979.82</v>
      </c>
      <c r="I654" s="768" t="s">
        <v>1474</v>
      </c>
    </row>
    <row r="655" spans="1:9" x14ac:dyDescent="0.25">
      <c r="A655" s="753"/>
      <c r="C655" s="131" t="s">
        <v>980</v>
      </c>
      <c r="D655" s="131">
        <v>16</v>
      </c>
      <c r="E655" s="131" t="s">
        <v>980</v>
      </c>
      <c r="F655" s="767">
        <v>12187.51</v>
      </c>
      <c r="G655" s="767">
        <v>2375.86</v>
      </c>
      <c r="H655" s="767">
        <v>14563.37</v>
      </c>
      <c r="I655" s="768" t="s">
        <v>1475</v>
      </c>
    </row>
    <row r="656" spans="1:9" x14ac:dyDescent="0.25">
      <c r="A656" s="753"/>
      <c r="C656" s="131" t="s">
        <v>14</v>
      </c>
      <c r="D656" s="131">
        <v>16</v>
      </c>
      <c r="E656" s="131" t="s">
        <v>14</v>
      </c>
      <c r="F656" s="767">
        <v>-20161.36</v>
      </c>
      <c r="G656" s="767">
        <v>-2374.63</v>
      </c>
      <c r="H656" s="767">
        <v>-22535.99</v>
      </c>
      <c r="I656" s="768" t="s">
        <v>1477</v>
      </c>
    </row>
    <row r="657" spans="1:9" x14ac:dyDescent="0.25">
      <c r="A657" s="753"/>
      <c r="C657" s="131" t="s">
        <v>982</v>
      </c>
      <c r="D657" s="131">
        <v>16</v>
      </c>
      <c r="E657" s="131" t="s">
        <v>982</v>
      </c>
      <c r="F657" s="767">
        <v>14373.38</v>
      </c>
      <c r="G657" s="767">
        <v>1696.21</v>
      </c>
      <c r="H657" s="767">
        <v>16069.59</v>
      </c>
      <c r="I657" s="768" t="s">
        <v>1478</v>
      </c>
    </row>
    <row r="658" spans="1:9" x14ac:dyDescent="0.25">
      <c r="A658" s="753"/>
      <c r="C658" s="131" t="s">
        <v>17</v>
      </c>
      <c r="D658" s="131">
        <v>16</v>
      </c>
      <c r="E658" s="131" t="s">
        <v>17</v>
      </c>
      <c r="F658" s="767">
        <v>-44656.33</v>
      </c>
      <c r="G658" s="767">
        <v>-5956.64</v>
      </c>
      <c r="H658" s="767">
        <v>-50612.97</v>
      </c>
      <c r="I658" s="768" t="s">
        <v>1480</v>
      </c>
    </row>
    <row r="659" spans="1:9" x14ac:dyDescent="0.25">
      <c r="A659" s="753"/>
      <c r="C659" s="131" t="s">
        <v>984</v>
      </c>
      <c r="D659" s="131">
        <v>16</v>
      </c>
      <c r="E659" s="131" t="s">
        <v>984</v>
      </c>
      <c r="F659" s="767">
        <v>31895.46</v>
      </c>
      <c r="G659" s="767">
        <v>4254.84</v>
      </c>
      <c r="H659" s="767">
        <v>36150.300000000003</v>
      </c>
      <c r="I659" s="768" t="s">
        <v>1481</v>
      </c>
    </row>
    <row r="660" spans="1:9" x14ac:dyDescent="0.25">
      <c r="A660" s="753"/>
      <c r="C660" s="131" t="s">
        <v>247</v>
      </c>
      <c r="D660" s="131">
        <v>16</v>
      </c>
      <c r="E660" s="131" t="s">
        <v>247</v>
      </c>
      <c r="F660" s="767">
        <v>-1433.56</v>
      </c>
      <c r="G660" s="767">
        <v>-1314.44</v>
      </c>
      <c r="H660" s="767">
        <v>-2748</v>
      </c>
      <c r="I660" s="768" t="s">
        <v>1483</v>
      </c>
    </row>
    <row r="661" spans="1:9" x14ac:dyDescent="0.25">
      <c r="A661" s="753"/>
      <c r="C661" s="131" t="s">
        <v>986</v>
      </c>
      <c r="D661" s="131">
        <v>16</v>
      </c>
      <c r="E661" s="131" t="s">
        <v>986</v>
      </c>
      <c r="F661" s="767">
        <v>1023.99</v>
      </c>
      <c r="G661" s="767">
        <v>938.88</v>
      </c>
      <c r="H661" s="767">
        <v>1962.87</v>
      </c>
      <c r="I661" s="768" t="s">
        <v>1484</v>
      </c>
    </row>
    <row r="662" spans="1:9" x14ac:dyDescent="0.25">
      <c r="A662" s="753"/>
      <c r="C662" s="131" t="s">
        <v>19</v>
      </c>
      <c r="D662" s="131">
        <v>16</v>
      </c>
      <c r="E662" s="131" t="s">
        <v>19</v>
      </c>
      <c r="F662" s="767">
        <v>-400.42</v>
      </c>
      <c r="G662" s="767">
        <v>-2525.73</v>
      </c>
      <c r="H662" s="767">
        <v>-2926.15</v>
      </c>
      <c r="I662" s="768" t="s">
        <v>1486</v>
      </c>
    </row>
    <row r="663" spans="1:9" x14ac:dyDescent="0.25">
      <c r="A663" s="753"/>
      <c r="C663" s="131" t="s">
        <v>988</v>
      </c>
      <c r="D663" s="131">
        <v>16</v>
      </c>
      <c r="E663" s="131" t="s">
        <v>988</v>
      </c>
      <c r="F663" s="767">
        <v>242.14</v>
      </c>
      <c r="G663" s="767">
        <v>1546.64</v>
      </c>
      <c r="H663" s="767">
        <v>1788.78</v>
      </c>
      <c r="I663" s="768" t="s">
        <v>1487</v>
      </c>
    </row>
    <row r="664" spans="1:9" x14ac:dyDescent="0.25">
      <c r="A664" s="753"/>
      <c r="C664" s="131" t="s">
        <v>20</v>
      </c>
      <c r="D664" s="131">
        <v>16</v>
      </c>
      <c r="E664" s="131" t="s">
        <v>20</v>
      </c>
      <c r="F664" s="767">
        <v>-4095.97</v>
      </c>
      <c r="G664" s="767">
        <v>0</v>
      </c>
      <c r="H664" s="767">
        <v>-4095.97</v>
      </c>
      <c r="I664" s="768" t="s">
        <v>1489</v>
      </c>
    </row>
    <row r="665" spans="1:9" x14ac:dyDescent="0.25">
      <c r="A665" s="753"/>
      <c r="C665" s="131" t="s">
        <v>990</v>
      </c>
      <c r="D665" s="131">
        <v>16</v>
      </c>
      <c r="E665" s="131" t="s">
        <v>990</v>
      </c>
      <c r="F665" s="767">
        <v>2948.1</v>
      </c>
      <c r="G665" s="767">
        <v>0</v>
      </c>
      <c r="H665" s="767">
        <v>2948.1</v>
      </c>
      <c r="I665" s="768" t="s">
        <v>1490</v>
      </c>
    </row>
    <row r="666" spans="1:9" x14ac:dyDescent="0.25">
      <c r="A666" s="753"/>
      <c r="C666" s="131" t="s">
        <v>248</v>
      </c>
      <c r="D666" s="131">
        <v>16</v>
      </c>
      <c r="E666" s="131" t="s">
        <v>248</v>
      </c>
      <c r="F666" s="767">
        <v>-206.7</v>
      </c>
      <c r="G666" s="767">
        <v>0</v>
      </c>
      <c r="H666" s="767">
        <v>-206.7</v>
      </c>
      <c r="I666" s="768" t="s">
        <v>1492</v>
      </c>
    </row>
    <row r="667" spans="1:9" x14ac:dyDescent="0.25">
      <c r="A667" s="753"/>
      <c r="C667" s="131" t="s">
        <v>992</v>
      </c>
      <c r="D667" s="131">
        <v>16</v>
      </c>
      <c r="E667" s="131" t="s">
        <v>992</v>
      </c>
      <c r="F667" s="767">
        <v>136.69999999999999</v>
      </c>
      <c r="G667" s="767">
        <v>0</v>
      </c>
      <c r="H667" s="767">
        <v>136.69999999999999</v>
      </c>
      <c r="I667" s="768" t="s">
        <v>1493</v>
      </c>
    </row>
    <row r="668" spans="1:9" x14ac:dyDescent="0.25">
      <c r="A668" s="753"/>
      <c r="C668" s="131" t="s">
        <v>71</v>
      </c>
      <c r="D668" s="131">
        <v>16</v>
      </c>
      <c r="E668" s="131" t="s">
        <v>71</v>
      </c>
      <c r="F668" s="767">
        <v>-99477.86</v>
      </c>
      <c r="G668" s="767">
        <v>-14177.89</v>
      </c>
      <c r="H668" s="767">
        <v>-113655.75</v>
      </c>
      <c r="I668" s="768" t="s">
        <v>1495</v>
      </c>
    </row>
    <row r="669" spans="1:9" x14ac:dyDescent="0.25">
      <c r="A669" s="753"/>
      <c r="C669" s="131" t="s">
        <v>994</v>
      </c>
      <c r="D669" s="131">
        <v>16</v>
      </c>
      <c r="E669" s="131" t="s">
        <v>994</v>
      </c>
      <c r="F669" s="767">
        <v>74063.83</v>
      </c>
      <c r="G669" s="767">
        <v>10128.51</v>
      </c>
      <c r="H669" s="767">
        <v>84192.34</v>
      </c>
      <c r="I669" s="768" t="s">
        <v>1496</v>
      </c>
    </row>
    <row r="670" spans="1:9" x14ac:dyDescent="0.25">
      <c r="A670" s="753"/>
      <c r="C670" s="131" t="s">
        <v>72</v>
      </c>
      <c r="D670" s="131">
        <v>16</v>
      </c>
      <c r="E670" s="131" t="s">
        <v>72</v>
      </c>
      <c r="F670" s="767">
        <v>-237960.89</v>
      </c>
      <c r="G670" s="767">
        <v>-42435.12</v>
      </c>
      <c r="H670" s="767">
        <v>-280396.01</v>
      </c>
      <c r="I670" s="768" t="s">
        <v>1498</v>
      </c>
    </row>
    <row r="671" spans="1:9" x14ac:dyDescent="0.25">
      <c r="A671" s="753"/>
      <c r="C671" s="131" t="s">
        <v>996</v>
      </c>
      <c r="D671" s="131">
        <v>16</v>
      </c>
      <c r="E671" s="131" t="s">
        <v>996</v>
      </c>
      <c r="F671" s="767">
        <v>170036.69</v>
      </c>
      <c r="G671" s="767">
        <v>30341.48</v>
      </c>
      <c r="H671" s="767">
        <v>200378.17</v>
      </c>
      <c r="I671" s="768" t="s">
        <v>1499</v>
      </c>
    </row>
    <row r="672" spans="1:9" x14ac:dyDescent="0.25">
      <c r="A672" s="753"/>
      <c r="C672" s="131" t="s">
        <v>249</v>
      </c>
      <c r="D672" s="131">
        <v>16</v>
      </c>
      <c r="E672" s="131" t="s">
        <v>249</v>
      </c>
      <c r="F672" s="767">
        <v>-91941.16</v>
      </c>
      <c r="G672" s="767">
        <v>-4351.46</v>
      </c>
      <c r="H672" s="767">
        <v>-96292.62</v>
      </c>
      <c r="I672" s="768" t="s">
        <v>1500</v>
      </c>
    </row>
    <row r="673" spans="1:9" x14ac:dyDescent="0.25">
      <c r="A673" s="753"/>
      <c r="C673" s="131" t="s">
        <v>997</v>
      </c>
      <c r="D673" s="131">
        <v>16</v>
      </c>
      <c r="E673" s="131" t="s">
        <v>997</v>
      </c>
      <c r="F673" s="767">
        <v>65356.25</v>
      </c>
      <c r="G673" s="767">
        <v>3108.01</v>
      </c>
      <c r="H673" s="767">
        <v>68464.259999999995</v>
      </c>
      <c r="I673" s="768" t="s">
        <v>1501</v>
      </c>
    </row>
    <row r="674" spans="1:9" x14ac:dyDescent="0.25">
      <c r="A674" s="753"/>
      <c r="C674" s="131" t="s">
        <v>75</v>
      </c>
      <c r="D674" s="131">
        <v>16</v>
      </c>
      <c r="E674" s="131" t="s">
        <v>75</v>
      </c>
      <c r="F674" s="767">
        <v>-80671.759999999995</v>
      </c>
      <c r="G674" s="767">
        <v>-12919.79</v>
      </c>
      <c r="H674" s="767">
        <v>-93591.55</v>
      </c>
      <c r="I674" s="768" t="s">
        <v>1503</v>
      </c>
    </row>
    <row r="675" spans="1:9" x14ac:dyDescent="0.25">
      <c r="A675" s="753"/>
      <c r="C675" s="131" t="s">
        <v>999</v>
      </c>
      <c r="D675" s="131">
        <v>16</v>
      </c>
      <c r="E675" s="131" t="s">
        <v>999</v>
      </c>
      <c r="F675" s="767">
        <v>54860.78</v>
      </c>
      <c r="G675" s="767">
        <v>8463.65</v>
      </c>
      <c r="H675" s="767">
        <v>63324.43</v>
      </c>
      <c r="I675" s="768" t="s">
        <v>1504</v>
      </c>
    </row>
    <row r="676" spans="1:9" x14ac:dyDescent="0.25">
      <c r="A676" s="753"/>
      <c r="C676" s="131" t="s">
        <v>76</v>
      </c>
      <c r="D676" s="131">
        <v>16</v>
      </c>
      <c r="E676" s="131" t="s">
        <v>76</v>
      </c>
      <c r="F676" s="767">
        <v>-44918.95</v>
      </c>
      <c r="G676" s="767">
        <v>-12043.76</v>
      </c>
      <c r="H676" s="767">
        <v>-56962.71</v>
      </c>
      <c r="I676" s="768" t="s">
        <v>1506</v>
      </c>
    </row>
    <row r="677" spans="1:9" x14ac:dyDescent="0.25">
      <c r="A677" s="753"/>
      <c r="C677" s="131" t="s">
        <v>1001</v>
      </c>
      <c r="D677" s="131">
        <v>16</v>
      </c>
      <c r="E677" s="131" t="s">
        <v>1001</v>
      </c>
      <c r="F677" s="767">
        <v>29209.96</v>
      </c>
      <c r="G677" s="767">
        <v>7830.74</v>
      </c>
      <c r="H677" s="767">
        <v>37040.699999999997</v>
      </c>
      <c r="I677" s="768" t="s">
        <v>1507</v>
      </c>
    </row>
    <row r="678" spans="1:9" x14ac:dyDescent="0.25">
      <c r="A678" s="753"/>
      <c r="C678" s="131" t="s">
        <v>250</v>
      </c>
      <c r="D678" s="131">
        <v>16</v>
      </c>
      <c r="E678" s="131" t="s">
        <v>250</v>
      </c>
      <c r="F678" s="767">
        <v>-8792.64</v>
      </c>
      <c r="G678" s="767">
        <v>-2450.0300000000002</v>
      </c>
      <c r="H678" s="767">
        <v>-11242.67</v>
      </c>
      <c r="I678" s="768" t="s">
        <v>1509</v>
      </c>
    </row>
    <row r="679" spans="1:9" x14ac:dyDescent="0.25">
      <c r="A679" s="753"/>
      <c r="C679" s="131" t="s">
        <v>1003</v>
      </c>
      <c r="D679" s="131">
        <v>16</v>
      </c>
      <c r="E679" s="131" t="s">
        <v>1003</v>
      </c>
      <c r="F679" s="767">
        <v>6066.48</v>
      </c>
      <c r="G679" s="767">
        <v>1702.93</v>
      </c>
      <c r="H679" s="767">
        <v>7769.41</v>
      </c>
      <c r="I679" s="768" t="s">
        <v>1510</v>
      </c>
    </row>
    <row r="680" spans="1:9" x14ac:dyDescent="0.25">
      <c r="A680" s="753"/>
      <c r="C680" s="131" t="s">
        <v>79</v>
      </c>
      <c r="D680" s="131">
        <v>16</v>
      </c>
      <c r="E680" s="131" t="s">
        <v>79</v>
      </c>
      <c r="F680" s="767">
        <v>-135308.69</v>
      </c>
      <c r="G680" s="767">
        <v>-21474.45</v>
      </c>
      <c r="H680" s="767">
        <v>-156783.14000000001</v>
      </c>
      <c r="I680" s="768" t="s">
        <v>1512</v>
      </c>
    </row>
    <row r="681" spans="1:9" x14ac:dyDescent="0.25">
      <c r="A681" s="753"/>
      <c r="C681" s="131" t="s">
        <v>1005</v>
      </c>
      <c r="D681" s="131">
        <v>16</v>
      </c>
      <c r="E681" s="131" t="s">
        <v>1005</v>
      </c>
      <c r="F681" s="767">
        <v>95545.56</v>
      </c>
      <c r="G681" s="767">
        <v>15633.54</v>
      </c>
      <c r="H681" s="767">
        <v>111179.1</v>
      </c>
      <c r="I681" s="768" t="s">
        <v>1513</v>
      </c>
    </row>
    <row r="682" spans="1:9" x14ac:dyDescent="0.25">
      <c r="A682" s="753"/>
      <c r="C682" s="131" t="s">
        <v>157</v>
      </c>
      <c r="D682" s="131">
        <v>16</v>
      </c>
      <c r="E682" s="131" t="s">
        <v>157</v>
      </c>
      <c r="F682" s="767">
        <v>-14674.54</v>
      </c>
      <c r="G682" s="767">
        <v>-5744.3</v>
      </c>
      <c r="H682" s="767">
        <v>-20418.84</v>
      </c>
      <c r="I682" s="768" t="s">
        <v>1515</v>
      </c>
    </row>
    <row r="683" spans="1:9" x14ac:dyDescent="0.25">
      <c r="A683" s="753"/>
      <c r="C683" s="131" t="s">
        <v>1007</v>
      </c>
      <c r="D683" s="131">
        <v>16</v>
      </c>
      <c r="E683" s="131" t="s">
        <v>1007</v>
      </c>
      <c r="F683" s="767">
        <v>10191.86</v>
      </c>
      <c r="G683" s="767">
        <v>3917.51</v>
      </c>
      <c r="H683" s="767">
        <v>14109.37</v>
      </c>
      <c r="I683" s="768" t="s">
        <v>1516</v>
      </c>
    </row>
    <row r="684" spans="1:9" x14ac:dyDescent="0.25">
      <c r="A684" s="753"/>
      <c r="C684" s="131" t="s">
        <v>158</v>
      </c>
      <c r="D684" s="131">
        <v>16</v>
      </c>
      <c r="E684" s="131" t="s">
        <v>158</v>
      </c>
      <c r="F684" s="767">
        <v>-78826.09</v>
      </c>
      <c r="G684" s="767">
        <v>-13482.55</v>
      </c>
      <c r="H684" s="767">
        <v>-92308.64</v>
      </c>
      <c r="I684" s="768" t="s">
        <v>1518</v>
      </c>
    </row>
    <row r="685" spans="1:9" x14ac:dyDescent="0.25">
      <c r="A685" s="753"/>
      <c r="C685" s="131" t="s">
        <v>1009</v>
      </c>
      <c r="D685" s="131">
        <v>16</v>
      </c>
      <c r="E685" s="131" t="s">
        <v>1009</v>
      </c>
      <c r="F685" s="767">
        <v>59524.02</v>
      </c>
      <c r="G685" s="767">
        <v>9512.77</v>
      </c>
      <c r="H685" s="767">
        <v>69036.789999999994</v>
      </c>
      <c r="I685" s="768" t="s">
        <v>1519</v>
      </c>
    </row>
    <row r="686" spans="1:9" x14ac:dyDescent="0.25">
      <c r="A686" s="753"/>
      <c r="C686" s="131" t="s">
        <v>163</v>
      </c>
      <c r="D686" s="131">
        <v>16</v>
      </c>
      <c r="E686" s="131" t="s">
        <v>163</v>
      </c>
      <c r="F686" s="767">
        <v>-424504.46</v>
      </c>
      <c r="G686" s="767">
        <v>-19252.650000000001</v>
      </c>
      <c r="H686" s="767">
        <v>-443757.11</v>
      </c>
      <c r="I686" s="768" t="s">
        <v>1521</v>
      </c>
    </row>
    <row r="687" spans="1:9" x14ac:dyDescent="0.25">
      <c r="A687" s="753"/>
      <c r="C687" s="131" t="s">
        <v>1011</v>
      </c>
      <c r="D687" s="131">
        <v>16</v>
      </c>
      <c r="E687" s="131" t="s">
        <v>1011</v>
      </c>
      <c r="F687" s="767">
        <v>322952.71999999997</v>
      </c>
      <c r="G687" s="767">
        <v>13590.86</v>
      </c>
      <c r="H687" s="767">
        <v>336543.58</v>
      </c>
      <c r="I687" s="768" t="s">
        <v>1522</v>
      </c>
    </row>
    <row r="688" spans="1:9" x14ac:dyDescent="0.25">
      <c r="A688" s="753"/>
      <c r="C688" s="131" t="s">
        <v>1011</v>
      </c>
      <c r="D688" s="131">
        <v>16</v>
      </c>
      <c r="E688" s="131" t="s">
        <v>1523</v>
      </c>
      <c r="F688" s="767">
        <v>14634.81</v>
      </c>
      <c r="G688" s="767">
        <v>1119.28</v>
      </c>
      <c r="H688" s="767">
        <v>15754.09</v>
      </c>
      <c r="I688" s="768" t="s">
        <v>1524</v>
      </c>
    </row>
    <row r="689" spans="1:9" x14ac:dyDescent="0.25">
      <c r="A689" s="753"/>
      <c r="C689" s="131" t="s">
        <v>1014</v>
      </c>
      <c r="D689" s="131">
        <v>16</v>
      </c>
      <c r="E689" s="131" t="s">
        <v>1014</v>
      </c>
      <c r="F689" s="767">
        <v>-460130.66</v>
      </c>
      <c r="G689" s="767">
        <v>-117139.92</v>
      </c>
      <c r="H689" s="767">
        <v>-577270.57999999996</v>
      </c>
      <c r="I689" s="768" t="s">
        <v>1528</v>
      </c>
    </row>
    <row r="690" spans="1:9" x14ac:dyDescent="0.25">
      <c r="A690" s="753"/>
      <c r="C690" s="131" t="s">
        <v>1015</v>
      </c>
      <c r="D690" s="131">
        <v>16</v>
      </c>
      <c r="E690" s="131" t="s">
        <v>1015</v>
      </c>
      <c r="F690" s="767">
        <v>-43509.4</v>
      </c>
      <c r="G690" s="767">
        <v>-6251.55</v>
      </c>
      <c r="H690" s="767">
        <v>-49760.95</v>
      </c>
      <c r="I690" s="768" t="s">
        <v>1529</v>
      </c>
    </row>
    <row r="691" spans="1:9" x14ac:dyDescent="0.25">
      <c r="A691" s="753"/>
      <c r="C691" s="131" t="s">
        <v>1015</v>
      </c>
      <c r="D691" s="131">
        <v>16</v>
      </c>
      <c r="E691" s="131" t="s">
        <v>1016</v>
      </c>
      <c r="F691" s="767">
        <v>-51591.54</v>
      </c>
      <c r="G691" s="767">
        <v>-7747.54</v>
      </c>
      <c r="H691" s="767">
        <v>-59339.08</v>
      </c>
      <c r="I691" s="768" t="s">
        <v>1530</v>
      </c>
    </row>
    <row r="692" spans="1:9" x14ac:dyDescent="0.25">
      <c r="A692" s="753"/>
      <c r="C692" s="131" t="s">
        <v>1017</v>
      </c>
      <c r="D692" s="131">
        <v>16</v>
      </c>
      <c r="E692" s="131" t="s">
        <v>1017</v>
      </c>
      <c r="F692" s="767">
        <v>346897.11</v>
      </c>
      <c r="G692" s="767">
        <v>87009.08</v>
      </c>
      <c r="H692" s="767">
        <v>433906.19</v>
      </c>
      <c r="I692" s="768" t="s">
        <v>1531</v>
      </c>
    </row>
    <row r="693" spans="1:9" x14ac:dyDescent="0.25">
      <c r="A693" s="753"/>
      <c r="C693" s="131" t="s">
        <v>1018</v>
      </c>
      <c r="D693" s="131">
        <v>16</v>
      </c>
      <c r="E693" s="131" t="s">
        <v>1018</v>
      </c>
      <c r="F693" s="767">
        <v>28074.54</v>
      </c>
      <c r="G693" s="767">
        <v>4051.37</v>
      </c>
      <c r="H693" s="767">
        <v>32125.91</v>
      </c>
      <c r="I693" s="768" t="s">
        <v>1532</v>
      </c>
    </row>
    <row r="694" spans="1:9" x14ac:dyDescent="0.25">
      <c r="A694" s="753"/>
      <c r="C694" s="131" t="s">
        <v>1018</v>
      </c>
      <c r="D694" s="131">
        <v>16</v>
      </c>
      <c r="E694" s="131" t="s">
        <v>1019</v>
      </c>
      <c r="F694" s="767">
        <v>34304.589999999997</v>
      </c>
      <c r="G694" s="767">
        <v>4971.3999999999996</v>
      </c>
      <c r="H694" s="767">
        <v>39275.99</v>
      </c>
      <c r="I694" s="768" t="s">
        <v>1533</v>
      </c>
    </row>
    <row r="695" spans="1:9" x14ac:dyDescent="0.25">
      <c r="A695" s="753"/>
      <c r="C695" s="131" t="s">
        <v>1012</v>
      </c>
      <c r="D695" s="131">
        <v>16</v>
      </c>
      <c r="E695" s="131" t="s">
        <v>1012</v>
      </c>
      <c r="F695" s="767">
        <v>-41204.53</v>
      </c>
      <c r="G695" s="767">
        <v>-9632.99</v>
      </c>
      <c r="H695" s="767">
        <v>-50837.52</v>
      </c>
      <c r="I695" s="768" t="s">
        <v>1534</v>
      </c>
    </row>
    <row r="696" spans="1:9" x14ac:dyDescent="0.25">
      <c r="A696" s="753">
        <v>905318</v>
      </c>
      <c r="B696" s="130">
        <v>329</v>
      </c>
      <c r="E696" s="131"/>
    </row>
    <row r="697" spans="1:9" x14ac:dyDescent="0.25">
      <c r="A697" s="753">
        <v>905322</v>
      </c>
      <c r="B697" s="130">
        <v>6458</v>
      </c>
      <c r="E697" s="131"/>
    </row>
    <row r="698" spans="1:9" x14ac:dyDescent="0.25">
      <c r="A698" s="753">
        <v>905324</v>
      </c>
      <c r="B698" s="130">
        <v>2716554</v>
      </c>
      <c r="E698" s="131"/>
    </row>
    <row r="699" spans="1:9" x14ac:dyDescent="0.25">
      <c r="A699" s="753">
        <v>905326</v>
      </c>
      <c r="B699" s="130">
        <v>846306</v>
      </c>
      <c r="C699" s="131" t="s">
        <v>10</v>
      </c>
      <c r="D699" s="131">
        <v>16</v>
      </c>
      <c r="E699" s="131" t="s">
        <v>10</v>
      </c>
      <c r="F699" s="767">
        <v>-203433.86</v>
      </c>
      <c r="G699" s="767">
        <v>-17795.72</v>
      </c>
      <c r="H699" s="767">
        <v>-221229.58</v>
      </c>
      <c r="I699" s="768" t="s">
        <v>1468</v>
      </c>
    </row>
    <row r="700" spans="1:9" x14ac:dyDescent="0.25">
      <c r="A700" s="753"/>
      <c r="C700" s="131" t="s">
        <v>976</v>
      </c>
      <c r="D700" s="131">
        <v>16</v>
      </c>
      <c r="E700" s="131" t="s">
        <v>976</v>
      </c>
      <c r="F700" s="767">
        <v>125114.1</v>
      </c>
      <c r="G700" s="767">
        <v>10366.67</v>
      </c>
      <c r="H700" s="767">
        <v>135480.76999999999</v>
      </c>
      <c r="I700" s="768" t="s">
        <v>1469</v>
      </c>
    </row>
    <row r="701" spans="1:9" x14ac:dyDescent="0.25">
      <c r="A701" s="753"/>
      <c r="C701" s="131" t="s">
        <v>11</v>
      </c>
      <c r="D701" s="131">
        <v>16</v>
      </c>
      <c r="E701" s="131" t="s">
        <v>11</v>
      </c>
      <c r="F701" s="767">
        <v>-298866.40999999997</v>
      </c>
      <c r="G701" s="767">
        <v>-36569.339999999997</v>
      </c>
      <c r="H701" s="767">
        <v>-335435.75</v>
      </c>
      <c r="I701" s="768" t="s">
        <v>1471</v>
      </c>
    </row>
    <row r="702" spans="1:9" x14ac:dyDescent="0.25">
      <c r="A702" s="753"/>
      <c r="C702" s="131" t="s">
        <v>978</v>
      </c>
      <c r="D702" s="131">
        <v>16</v>
      </c>
      <c r="E702" s="131" t="s">
        <v>978</v>
      </c>
      <c r="F702" s="767">
        <v>176671.26</v>
      </c>
      <c r="G702" s="767">
        <v>22215.05</v>
      </c>
      <c r="H702" s="767">
        <v>198886.31</v>
      </c>
      <c r="I702" s="768" t="s">
        <v>1472</v>
      </c>
    </row>
    <row r="703" spans="1:9" x14ac:dyDescent="0.25">
      <c r="A703" s="753"/>
      <c r="C703" s="131" t="s">
        <v>246</v>
      </c>
      <c r="D703" s="131">
        <v>16</v>
      </c>
      <c r="E703" s="131" t="s">
        <v>246</v>
      </c>
      <c r="F703" s="767">
        <v>-20320.09</v>
      </c>
      <c r="G703" s="767">
        <v>-4659.7299999999996</v>
      </c>
      <c r="H703" s="767">
        <v>-24979.82</v>
      </c>
      <c r="I703" s="768" t="s">
        <v>1474</v>
      </c>
    </row>
    <row r="704" spans="1:9" x14ac:dyDescent="0.25">
      <c r="A704" s="753"/>
      <c r="C704" s="131" t="s">
        <v>980</v>
      </c>
      <c r="D704" s="131">
        <v>16</v>
      </c>
      <c r="E704" s="131" t="s">
        <v>980</v>
      </c>
      <c r="F704" s="767">
        <v>12187.51</v>
      </c>
      <c r="G704" s="767">
        <v>2375.86</v>
      </c>
      <c r="H704" s="767">
        <v>14563.37</v>
      </c>
      <c r="I704" s="768" t="s">
        <v>1475</v>
      </c>
    </row>
    <row r="705" spans="1:9" x14ac:dyDescent="0.25">
      <c r="A705" s="753"/>
      <c r="C705" s="131" t="s">
        <v>14</v>
      </c>
      <c r="D705" s="131">
        <v>16</v>
      </c>
      <c r="E705" s="131" t="s">
        <v>14</v>
      </c>
      <c r="F705" s="767">
        <v>-20161.36</v>
      </c>
      <c r="G705" s="767">
        <v>-2374.63</v>
      </c>
      <c r="H705" s="767">
        <v>-22535.99</v>
      </c>
      <c r="I705" s="768" t="s">
        <v>1477</v>
      </c>
    </row>
    <row r="706" spans="1:9" x14ac:dyDescent="0.25">
      <c r="A706" s="753"/>
      <c r="C706" s="131" t="s">
        <v>982</v>
      </c>
      <c r="D706" s="131">
        <v>16</v>
      </c>
      <c r="E706" s="131" t="s">
        <v>982</v>
      </c>
      <c r="F706" s="767">
        <v>14373.38</v>
      </c>
      <c r="G706" s="767">
        <v>1696.21</v>
      </c>
      <c r="H706" s="767">
        <v>16069.59</v>
      </c>
      <c r="I706" s="768" t="s">
        <v>1478</v>
      </c>
    </row>
    <row r="707" spans="1:9" x14ac:dyDescent="0.25">
      <c r="A707" s="753"/>
      <c r="C707" s="131" t="s">
        <v>17</v>
      </c>
      <c r="D707" s="131">
        <v>16</v>
      </c>
      <c r="E707" s="131" t="s">
        <v>17</v>
      </c>
      <c r="F707" s="767">
        <v>-44656.33</v>
      </c>
      <c r="G707" s="767">
        <v>-5956.64</v>
      </c>
      <c r="H707" s="767">
        <v>-50612.97</v>
      </c>
      <c r="I707" s="768" t="s">
        <v>1480</v>
      </c>
    </row>
    <row r="708" spans="1:9" x14ac:dyDescent="0.25">
      <c r="A708" s="753"/>
      <c r="C708" s="131" t="s">
        <v>984</v>
      </c>
      <c r="D708" s="131">
        <v>16</v>
      </c>
      <c r="E708" s="131" t="s">
        <v>984</v>
      </c>
      <c r="F708" s="767">
        <v>31895.46</v>
      </c>
      <c r="G708" s="767">
        <v>4254.84</v>
      </c>
      <c r="H708" s="767">
        <v>36150.300000000003</v>
      </c>
      <c r="I708" s="768" t="s">
        <v>1481</v>
      </c>
    </row>
    <row r="709" spans="1:9" x14ac:dyDescent="0.25">
      <c r="A709" s="753"/>
      <c r="C709" s="131" t="s">
        <v>247</v>
      </c>
      <c r="D709" s="131">
        <v>16</v>
      </c>
      <c r="E709" s="131" t="s">
        <v>247</v>
      </c>
      <c r="F709" s="767">
        <v>-1433.56</v>
      </c>
      <c r="G709" s="767">
        <v>-1314.44</v>
      </c>
      <c r="H709" s="767">
        <v>-2748</v>
      </c>
      <c r="I709" s="768" t="s">
        <v>1483</v>
      </c>
    </row>
    <row r="710" spans="1:9" x14ac:dyDescent="0.25">
      <c r="A710" s="753"/>
      <c r="C710" s="131" t="s">
        <v>986</v>
      </c>
      <c r="D710" s="131">
        <v>16</v>
      </c>
      <c r="E710" s="131" t="s">
        <v>986</v>
      </c>
      <c r="F710" s="767">
        <v>1023.99</v>
      </c>
      <c r="G710" s="767">
        <v>938.88</v>
      </c>
      <c r="H710" s="767">
        <v>1962.87</v>
      </c>
      <c r="I710" s="768" t="s">
        <v>1484</v>
      </c>
    </row>
    <row r="711" spans="1:9" x14ac:dyDescent="0.25">
      <c r="A711" s="753"/>
      <c r="C711" s="131" t="s">
        <v>19</v>
      </c>
      <c r="D711" s="131">
        <v>16</v>
      </c>
      <c r="E711" s="131" t="s">
        <v>19</v>
      </c>
      <c r="F711" s="767">
        <v>-400.42</v>
      </c>
      <c r="G711" s="767">
        <v>-2525.73</v>
      </c>
      <c r="H711" s="767">
        <v>-2926.15</v>
      </c>
      <c r="I711" s="768" t="s">
        <v>1486</v>
      </c>
    </row>
    <row r="712" spans="1:9" x14ac:dyDescent="0.25">
      <c r="A712" s="753"/>
      <c r="C712" s="131" t="s">
        <v>988</v>
      </c>
      <c r="D712" s="131">
        <v>16</v>
      </c>
      <c r="E712" s="131" t="s">
        <v>988</v>
      </c>
      <c r="F712" s="767">
        <v>242.14</v>
      </c>
      <c r="G712" s="767">
        <v>1546.64</v>
      </c>
      <c r="H712" s="767">
        <v>1788.78</v>
      </c>
      <c r="I712" s="768" t="s">
        <v>1487</v>
      </c>
    </row>
    <row r="713" spans="1:9" x14ac:dyDescent="0.25">
      <c r="A713" s="753"/>
      <c r="C713" s="131" t="s">
        <v>20</v>
      </c>
      <c r="D713" s="131">
        <v>16</v>
      </c>
      <c r="E713" s="131" t="s">
        <v>20</v>
      </c>
      <c r="F713" s="767">
        <v>-4095.97</v>
      </c>
      <c r="G713" s="767">
        <v>0</v>
      </c>
      <c r="H713" s="767">
        <v>-4095.97</v>
      </c>
      <c r="I713" s="768" t="s">
        <v>1489</v>
      </c>
    </row>
    <row r="714" spans="1:9" x14ac:dyDescent="0.25">
      <c r="A714" s="753"/>
      <c r="C714" s="131" t="s">
        <v>990</v>
      </c>
      <c r="D714" s="131">
        <v>16</v>
      </c>
      <c r="E714" s="131" t="s">
        <v>990</v>
      </c>
      <c r="F714" s="767">
        <v>2948.1</v>
      </c>
      <c r="G714" s="767">
        <v>0</v>
      </c>
      <c r="H714" s="767">
        <v>2948.1</v>
      </c>
      <c r="I714" s="768" t="s">
        <v>1490</v>
      </c>
    </row>
    <row r="715" spans="1:9" x14ac:dyDescent="0.25">
      <c r="A715" s="753"/>
      <c r="C715" s="131" t="s">
        <v>248</v>
      </c>
      <c r="D715" s="131">
        <v>16</v>
      </c>
      <c r="E715" s="131" t="s">
        <v>248</v>
      </c>
      <c r="F715" s="767">
        <v>-206.7</v>
      </c>
      <c r="G715" s="767">
        <v>0</v>
      </c>
      <c r="H715" s="767">
        <v>-206.7</v>
      </c>
      <c r="I715" s="768" t="s">
        <v>1492</v>
      </c>
    </row>
    <row r="716" spans="1:9" x14ac:dyDescent="0.25">
      <c r="A716" s="753"/>
      <c r="C716" s="131" t="s">
        <v>992</v>
      </c>
      <c r="D716" s="131">
        <v>16</v>
      </c>
      <c r="E716" s="131" t="s">
        <v>992</v>
      </c>
      <c r="F716" s="767">
        <v>136.69999999999999</v>
      </c>
      <c r="G716" s="767">
        <v>0</v>
      </c>
      <c r="H716" s="767">
        <v>136.69999999999999</v>
      </c>
      <c r="I716" s="768" t="s">
        <v>1493</v>
      </c>
    </row>
    <row r="717" spans="1:9" x14ac:dyDescent="0.25">
      <c r="A717" s="753"/>
      <c r="C717" s="131" t="s">
        <v>71</v>
      </c>
      <c r="D717" s="131">
        <v>16</v>
      </c>
      <c r="E717" s="131" t="s">
        <v>71</v>
      </c>
      <c r="F717" s="767">
        <v>-99477.86</v>
      </c>
      <c r="G717" s="767">
        <v>-14177.89</v>
      </c>
      <c r="H717" s="767">
        <v>-113655.75</v>
      </c>
      <c r="I717" s="768" t="s">
        <v>1495</v>
      </c>
    </row>
    <row r="718" spans="1:9" x14ac:dyDescent="0.25">
      <c r="A718" s="753"/>
      <c r="C718" s="131" t="s">
        <v>994</v>
      </c>
      <c r="D718" s="131">
        <v>16</v>
      </c>
      <c r="E718" s="131" t="s">
        <v>994</v>
      </c>
      <c r="F718" s="767">
        <v>74063.83</v>
      </c>
      <c r="G718" s="767">
        <v>10128.51</v>
      </c>
      <c r="H718" s="767">
        <v>84192.34</v>
      </c>
      <c r="I718" s="768" t="s">
        <v>1496</v>
      </c>
    </row>
    <row r="719" spans="1:9" x14ac:dyDescent="0.25">
      <c r="A719" s="753"/>
      <c r="C719" s="131" t="s">
        <v>72</v>
      </c>
      <c r="D719" s="131">
        <v>16</v>
      </c>
      <c r="E719" s="131" t="s">
        <v>72</v>
      </c>
      <c r="F719" s="767">
        <v>-237960.89</v>
      </c>
      <c r="G719" s="767">
        <v>-42435.12</v>
      </c>
      <c r="H719" s="767">
        <v>-280396.01</v>
      </c>
      <c r="I719" s="768" t="s">
        <v>1498</v>
      </c>
    </row>
    <row r="720" spans="1:9" x14ac:dyDescent="0.25">
      <c r="A720" s="753"/>
      <c r="C720" s="131" t="s">
        <v>996</v>
      </c>
      <c r="D720" s="131">
        <v>16</v>
      </c>
      <c r="E720" s="131" t="s">
        <v>996</v>
      </c>
      <c r="F720" s="767">
        <v>170036.69</v>
      </c>
      <c r="G720" s="767">
        <v>30341.48</v>
      </c>
      <c r="H720" s="767">
        <v>200378.17</v>
      </c>
      <c r="I720" s="768" t="s">
        <v>1499</v>
      </c>
    </row>
    <row r="721" spans="1:9" x14ac:dyDescent="0.25">
      <c r="A721" s="753"/>
      <c r="C721" s="131" t="s">
        <v>249</v>
      </c>
      <c r="D721" s="131">
        <v>16</v>
      </c>
      <c r="E721" s="131" t="s">
        <v>249</v>
      </c>
      <c r="F721" s="767">
        <v>-91941.16</v>
      </c>
      <c r="G721" s="767">
        <v>-4351.46</v>
      </c>
      <c r="H721" s="767">
        <v>-96292.62</v>
      </c>
      <c r="I721" s="768" t="s">
        <v>1500</v>
      </c>
    </row>
    <row r="722" spans="1:9" x14ac:dyDescent="0.25">
      <c r="A722" s="753"/>
      <c r="C722" s="131" t="s">
        <v>997</v>
      </c>
      <c r="D722" s="131">
        <v>16</v>
      </c>
      <c r="E722" s="131" t="s">
        <v>997</v>
      </c>
      <c r="F722" s="767">
        <v>65356.25</v>
      </c>
      <c r="G722" s="767">
        <v>3108.01</v>
      </c>
      <c r="H722" s="767">
        <v>68464.259999999995</v>
      </c>
      <c r="I722" s="768" t="s">
        <v>1501</v>
      </c>
    </row>
    <row r="723" spans="1:9" x14ac:dyDescent="0.25">
      <c r="A723" s="753"/>
      <c r="C723" s="131" t="s">
        <v>75</v>
      </c>
      <c r="D723" s="131">
        <v>16</v>
      </c>
      <c r="E723" s="131" t="s">
        <v>75</v>
      </c>
      <c r="F723" s="767">
        <v>-80671.759999999995</v>
      </c>
      <c r="G723" s="767">
        <v>-12919.79</v>
      </c>
      <c r="H723" s="767">
        <v>-93591.55</v>
      </c>
      <c r="I723" s="768" t="s">
        <v>1503</v>
      </c>
    </row>
    <row r="724" spans="1:9" x14ac:dyDescent="0.25">
      <c r="A724" s="753"/>
      <c r="C724" s="131" t="s">
        <v>999</v>
      </c>
      <c r="D724" s="131">
        <v>16</v>
      </c>
      <c r="E724" s="131" t="s">
        <v>999</v>
      </c>
      <c r="F724" s="767">
        <v>54860.78</v>
      </c>
      <c r="G724" s="767">
        <v>8463.65</v>
      </c>
      <c r="H724" s="767">
        <v>63324.43</v>
      </c>
      <c r="I724" s="768" t="s">
        <v>1504</v>
      </c>
    </row>
    <row r="725" spans="1:9" x14ac:dyDescent="0.25">
      <c r="A725" s="753"/>
      <c r="C725" s="131" t="s">
        <v>76</v>
      </c>
      <c r="D725" s="131">
        <v>16</v>
      </c>
      <c r="E725" s="131" t="s">
        <v>76</v>
      </c>
      <c r="F725" s="767">
        <v>-44918.95</v>
      </c>
      <c r="G725" s="767">
        <v>-12043.76</v>
      </c>
      <c r="H725" s="767">
        <v>-56962.71</v>
      </c>
      <c r="I725" s="768" t="s">
        <v>1506</v>
      </c>
    </row>
    <row r="726" spans="1:9" x14ac:dyDescent="0.25">
      <c r="A726" s="753"/>
      <c r="C726" s="131" t="s">
        <v>1001</v>
      </c>
      <c r="D726" s="131">
        <v>16</v>
      </c>
      <c r="E726" s="131" t="s">
        <v>1001</v>
      </c>
      <c r="F726" s="767">
        <v>29209.96</v>
      </c>
      <c r="G726" s="767">
        <v>7830.74</v>
      </c>
      <c r="H726" s="767">
        <v>37040.699999999997</v>
      </c>
      <c r="I726" s="768" t="s">
        <v>1507</v>
      </c>
    </row>
    <row r="727" spans="1:9" x14ac:dyDescent="0.25">
      <c r="A727" s="753"/>
      <c r="C727" s="131" t="s">
        <v>250</v>
      </c>
      <c r="D727" s="131">
        <v>16</v>
      </c>
      <c r="E727" s="131" t="s">
        <v>250</v>
      </c>
      <c r="F727" s="767">
        <v>-8792.64</v>
      </c>
      <c r="G727" s="767">
        <v>-2450.0300000000002</v>
      </c>
      <c r="H727" s="767">
        <v>-11242.67</v>
      </c>
      <c r="I727" s="768" t="s">
        <v>1509</v>
      </c>
    </row>
    <row r="728" spans="1:9" x14ac:dyDescent="0.25">
      <c r="A728" s="753"/>
      <c r="C728" s="131" t="s">
        <v>1003</v>
      </c>
      <c r="D728" s="131">
        <v>16</v>
      </c>
      <c r="E728" s="131" t="s">
        <v>1003</v>
      </c>
      <c r="F728" s="767">
        <v>6066.48</v>
      </c>
      <c r="G728" s="767">
        <v>1702.93</v>
      </c>
      <c r="H728" s="767">
        <v>7769.41</v>
      </c>
      <c r="I728" s="768" t="s">
        <v>1510</v>
      </c>
    </row>
    <row r="729" spans="1:9" x14ac:dyDescent="0.25">
      <c r="A729" s="753"/>
      <c r="C729" s="131" t="s">
        <v>79</v>
      </c>
      <c r="D729" s="131">
        <v>16</v>
      </c>
      <c r="E729" s="131" t="s">
        <v>79</v>
      </c>
      <c r="F729" s="767">
        <v>-135308.69</v>
      </c>
      <c r="G729" s="767">
        <v>-21474.45</v>
      </c>
      <c r="H729" s="767">
        <v>-156783.14000000001</v>
      </c>
      <c r="I729" s="768" t="s">
        <v>1512</v>
      </c>
    </row>
    <row r="730" spans="1:9" x14ac:dyDescent="0.25">
      <c r="A730" s="753"/>
      <c r="C730" s="131" t="s">
        <v>1005</v>
      </c>
      <c r="D730" s="131">
        <v>16</v>
      </c>
      <c r="E730" s="131" t="s">
        <v>1005</v>
      </c>
      <c r="F730" s="767">
        <v>95545.56</v>
      </c>
      <c r="G730" s="767">
        <v>15633.54</v>
      </c>
      <c r="H730" s="767">
        <v>111179.1</v>
      </c>
      <c r="I730" s="768" t="s">
        <v>1513</v>
      </c>
    </row>
    <row r="731" spans="1:9" x14ac:dyDescent="0.25">
      <c r="A731" s="753"/>
      <c r="C731" s="131" t="s">
        <v>157</v>
      </c>
      <c r="D731" s="131">
        <v>16</v>
      </c>
      <c r="E731" s="131" t="s">
        <v>157</v>
      </c>
      <c r="F731" s="767">
        <v>-14674.54</v>
      </c>
      <c r="G731" s="767">
        <v>-5744.3</v>
      </c>
      <c r="H731" s="767">
        <v>-20418.84</v>
      </c>
      <c r="I731" s="768" t="s">
        <v>1515</v>
      </c>
    </row>
    <row r="732" spans="1:9" x14ac:dyDescent="0.25">
      <c r="A732" s="753"/>
      <c r="C732" s="131" t="s">
        <v>1007</v>
      </c>
      <c r="D732" s="131">
        <v>16</v>
      </c>
      <c r="E732" s="131" t="s">
        <v>1007</v>
      </c>
      <c r="F732" s="767">
        <v>10191.86</v>
      </c>
      <c r="G732" s="767">
        <v>3917.51</v>
      </c>
      <c r="H732" s="767">
        <v>14109.37</v>
      </c>
      <c r="I732" s="768" t="s">
        <v>1516</v>
      </c>
    </row>
    <row r="733" spans="1:9" x14ac:dyDescent="0.25">
      <c r="A733" s="753"/>
      <c r="C733" s="131" t="s">
        <v>158</v>
      </c>
      <c r="D733" s="131">
        <v>16</v>
      </c>
      <c r="E733" s="131" t="s">
        <v>158</v>
      </c>
      <c r="F733" s="767">
        <v>-78826.09</v>
      </c>
      <c r="G733" s="767">
        <v>-13482.55</v>
      </c>
      <c r="H733" s="767">
        <v>-92308.64</v>
      </c>
      <c r="I733" s="768" t="s">
        <v>1518</v>
      </c>
    </row>
    <row r="734" spans="1:9" x14ac:dyDescent="0.25">
      <c r="A734" s="753"/>
      <c r="C734" s="131" t="s">
        <v>1009</v>
      </c>
      <c r="D734" s="131">
        <v>16</v>
      </c>
      <c r="E734" s="131" t="s">
        <v>1009</v>
      </c>
      <c r="F734" s="767">
        <v>59524.02</v>
      </c>
      <c r="G734" s="767">
        <v>9512.77</v>
      </c>
      <c r="H734" s="767">
        <v>69036.789999999994</v>
      </c>
      <c r="I734" s="768" t="s">
        <v>1519</v>
      </c>
    </row>
    <row r="735" spans="1:9" x14ac:dyDescent="0.25">
      <c r="A735" s="753"/>
      <c r="C735" s="131" t="s">
        <v>163</v>
      </c>
      <c r="D735" s="131">
        <v>16</v>
      </c>
      <c r="E735" s="131" t="s">
        <v>163</v>
      </c>
      <c r="F735" s="767">
        <v>-424504.46</v>
      </c>
      <c r="G735" s="767">
        <v>-19252.650000000001</v>
      </c>
      <c r="H735" s="767">
        <v>-443757.11</v>
      </c>
      <c r="I735" s="768" t="s">
        <v>1521</v>
      </c>
    </row>
    <row r="736" spans="1:9" x14ac:dyDescent="0.25">
      <c r="A736" s="753"/>
      <c r="C736" s="131" t="s">
        <v>1011</v>
      </c>
      <c r="D736" s="131">
        <v>16</v>
      </c>
      <c r="E736" s="131" t="s">
        <v>1011</v>
      </c>
      <c r="F736" s="767">
        <v>322952.71999999997</v>
      </c>
      <c r="G736" s="767">
        <v>13590.86</v>
      </c>
      <c r="H736" s="767">
        <v>336543.58</v>
      </c>
      <c r="I736" s="768" t="s">
        <v>1522</v>
      </c>
    </row>
    <row r="737" spans="1:9" x14ac:dyDescent="0.25">
      <c r="A737" s="753"/>
      <c r="C737" s="131" t="s">
        <v>1011</v>
      </c>
      <c r="D737" s="131">
        <v>16</v>
      </c>
      <c r="E737" s="131" t="s">
        <v>1523</v>
      </c>
      <c r="F737" s="767">
        <v>14634.81</v>
      </c>
      <c r="G737" s="767">
        <v>1119.28</v>
      </c>
      <c r="H737" s="767">
        <v>15754.09</v>
      </c>
      <c r="I737" s="768" t="s">
        <v>1524</v>
      </c>
    </row>
    <row r="738" spans="1:9" x14ac:dyDescent="0.25">
      <c r="A738" s="753"/>
      <c r="C738" s="131" t="s">
        <v>1014</v>
      </c>
      <c r="D738" s="131">
        <v>16</v>
      </c>
      <c r="E738" s="131" t="s">
        <v>1014</v>
      </c>
      <c r="F738" s="767">
        <v>-460130.66</v>
      </c>
      <c r="G738" s="767">
        <v>-117139.92</v>
      </c>
      <c r="H738" s="767">
        <v>-577270.57999999996</v>
      </c>
      <c r="I738" s="768" t="s">
        <v>1528</v>
      </c>
    </row>
    <row r="739" spans="1:9" x14ac:dyDescent="0.25">
      <c r="A739" s="753"/>
      <c r="C739" s="131" t="s">
        <v>1015</v>
      </c>
      <c r="D739" s="131">
        <v>16</v>
      </c>
      <c r="E739" s="131" t="s">
        <v>1015</v>
      </c>
      <c r="F739" s="767">
        <v>-43509.4</v>
      </c>
      <c r="G739" s="767">
        <v>-6251.55</v>
      </c>
      <c r="H739" s="767">
        <v>-49760.95</v>
      </c>
      <c r="I739" s="768" t="s">
        <v>1529</v>
      </c>
    </row>
    <row r="740" spans="1:9" x14ac:dyDescent="0.25">
      <c r="A740" s="753"/>
      <c r="C740" s="131" t="s">
        <v>1015</v>
      </c>
      <c r="D740" s="131">
        <v>16</v>
      </c>
      <c r="E740" s="131" t="s">
        <v>1016</v>
      </c>
      <c r="F740" s="767">
        <v>-51591.54</v>
      </c>
      <c r="G740" s="767">
        <v>-7747.54</v>
      </c>
      <c r="H740" s="767">
        <v>-59339.08</v>
      </c>
      <c r="I740" s="768" t="s">
        <v>1530</v>
      </c>
    </row>
    <row r="741" spans="1:9" x14ac:dyDescent="0.25">
      <c r="A741" s="753"/>
      <c r="C741" s="131" t="s">
        <v>1017</v>
      </c>
      <c r="D741" s="131">
        <v>16</v>
      </c>
      <c r="E741" s="131" t="s">
        <v>1017</v>
      </c>
      <c r="F741" s="767">
        <v>346897.11</v>
      </c>
      <c r="G741" s="767">
        <v>87009.08</v>
      </c>
      <c r="H741" s="767">
        <v>433906.19</v>
      </c>
      <c r="I741" s="768" t="s">
        <v>1531</v>
      </c>
    </row>
    <row r="742" spans="1:9" x14ac:dyDescent="0.25">
      <c r="A742" s="753"/>
      <c r="C742" s="131" t="s">
        <v>1018</v>
      </c>
      <c r="D742" s="131">
        <v>16</v>
      </c>
      <c r="E742" s="131" t="s">
        <v>1018</v>
      </c>
      <c r="F742" s="767">
        <v>28074.54</v>
      </c>
      <c r="G742" s="767">
        <v>4051.37</v>
      </c>
      <c r="H742" s="767">
        <v>32125.91</v>
      </c>
      <c r="I742" s="768" t="s">
        <v>1532</v>
      </c>
    </row>
    <row r="743" spans="1:9" x14ac:dyDescent="0.25">
      <c r="A743" s="753"/>
      <c r="C743" s="131" t="s">
        <v>1018</v>
      </c>
      <c r="D743" s="131">
        <v>16</v>
      </c>
      <c r="E743" s="131" t="s">
        <v>1019</v>
      </c>
      <c r="F743" s="767">
        <v>34304.589999999997</v>
      </c>
      <c r="G743" s="767">
        <v>4971.3999999999996</v>
      </c>
      <c r="H743" s="767">
        <v>39275.99</v>
      </c>
      <c r="I743" s="768" t="s">
        <v>1533</v>
      </c>
    </row>
    <row r="744" spans="1:9" x14ac:dyDescent="0.25">
      <c r="A744" s="753"/>
      <c r="C744" s="131" t="s">
        <v>1012</v>
      </c>
      <c r="D744" s="131">
        <v>16</v>
      </c>
      <c r="E744" s="131" t="s">
        <v>1012</v>
      </c>
      <c r="F744" s="767">
        <v>-41204.53</v>
      </c>
      <c r="G744" s="767">
        <v>-9632.99</v>
      </c>
      <c r="H744" s="767">
        <v>-50837.52</v>
      </c>
      <c r="I744" s="768" t="s">
        <v>1534</v>
      </c>
    </row>
    <row r="745" spans="1:9" x14ac:dyDescent="0.25">
      <c r="A745" s="753">
        <v>905328</v>
      </c>
      <c r="B745" s="130">
        <v>312</v>
      </c>
      <c r="E745" s="131"/>
    </row>
    <row r="746" spans="1:9" x14ac:dyDescent="0.25">
      <c r="A746" s="753">
        <v>905512</v>
      </c>
      <c r="B746" s="130">
        <v>540</v>
      </c>
      <c r="E746" s="131"/>
    </row>
    <row r="747" spans="1:9" x14ac:dyDescent="0.25">
      <c r="A747" s="753">
        <v>905514</v>
      </c>
      <c r="B747" s="130">
        <v>240888</v>
      </c>
      <c r="E747" s="131"/>
    </row>
    <row r="748" spans="1:9" x14ac:dyDescent="0.25">
      <c r="A748" s="753">
        <v>905516</v>
      </c>
      <c r="B748" s="130">
        <v>78511</v>
      </c>
      <c r="C748" s="131" t="s">
        <v>10</v>
      </c>
      <c r="D748" s="131">
        <v>16</v>
      </c>
      <c r="E748" s="131" t="s">
        <v>10</v>
      </c>
      <c r="F748" s="767">
        <v>-203433.86</v>
      </c>
      <c r="G748" s="767">
        <v>-17795.72</v>
      </c>
      <c r="H748" s="767">
        <v>-221229.58</v>
      </c>
      <c r="I748" s="768" t="s">
        <v>1468</v>
      </c>
    </row>
    <row r="749" spans="1:9" x14ac:dyDescent="0.25">
      <c r="A749" s="753"/>
      <c r="C749" s="131" t="s">
        <v>976</v>
      </c>
      <c r="D749" s="131">
        <v>16</v>
      </c>
      <c r="E749" s="131" t="s">
        <v>976</v>
      </c>
      <c r="F749" s="767">
        <v>125114.1</v>
      </c>
      <c r="G749" s="767">
        <v>10366.67</v>
      </c>
      <c r="H749" s="767">
        <v>135480.76999999999</v>
      </c>
      <c r="I749" s="768" t="s">
        <v>1469</v>
      </c>
    </row>
    <row r="750" spans="1:9" x14ac:dyDescent="0.25">
      <c r="A750" s="753"/>
      <c r="C750" s="131" t="s">
        <v>14</v>
      </c>
      <c r="D750" s="131">
        <v>16</v>
      </c>
      <c r="E750" s="131" t="s">
        <v>14</v>
      </c>
      <c r="F750" s="767">
        <v>-20161.36</v>
      </c>
      <c r="G750" s="767">
        <v>-2374.63</v>
      </c>
      <c r="H750" s="767">
        <v>-22535.99</v>
      </c>
      <c r="I750" s="768" t="s">
        <v>1477</v>
      </c>
    </row>
    <row r="751" spans="1:9" x14ac:dyDescent="0.25">
      <c r="A751" s="753"/>
      <c r="C751" s="131" t="s">
        <v>982</v>
      </c>
      <c r="D751" s="131">
        <v>16</v>
      </c>
      <c r="E751" s="131" t="s">
        <v>982</v>
      </c>
      <c r="F751" s="767">
        <v>14373.38</v>
      </c>
      <c r="G751" s="767">
        <v>1696.21</v>
      </c>
      <c r="H751" s="767">
        <v>16069.59</v>
      </c>
      <c r="I751" s="768" t="s">
        <v>1478</v>
      </c>
    </row>
    <row r="752" spans="1:9" x14ac:dyDescent="0.25">
      <c r="A752" s="753"/>
      <c r="C752" s="131" t="s">
        <v>19</v>
      </c>
      <c r="D752" s="131">
        <v>16</v>
      </c>
      <c r="E752" s="131" t="s">
        <v>19</v>
      </c>
      <c r="F752" s="767">
        <v>-400.42</v>
      </c>
      <c r="G752" s="767">
        <v>-2525.73</v>
      </c>
      <c r="H752" s="767">
        <v>-2926.15</v>
      </c>
      <c r="I752" s="768" t="s">
        <v>1486</v>
      </c>
    </row>
    <row r="753" spans="1:9" x14ac:dyDescent="0.25">
      <c r="A753" s="753"/>
      <c r="C753" s="131" t="s">
        <v>988</v>
      </c>
      <c r="D753" s="131">
        <v>16</v>
      </c>
      <c r="E753" s="131" t="s">
        <v>988</v>
      </c>
      <c r="F753" s="767">
        <v>242.14</v>
      </c>
      <c r="G753" s="767">
        <v>1546.64</v>
      </c>
      <c r="H753" s="767">
        <v>1788.78</v>
      </c>
      <c r="I753" s="768" t="s">
        <v>1487</v>
      </c>
    </row>
    <row r="754" spans="1:9" x14ac:dyDescent="0.25">
      <c r="A754" s="753"/>
      <c r="C754" s="131" t="s">
        <v>71</v>
      </c>
      <c r="D754" s="131">
        <v>16</v>
      </c>
      <c r="E754" s="131" t="s">
        <v>71</v>
      </c>
      <c r="F754" s="767">
        <v>-99477.86</v>
      </c>
      <c r="G754" s="767">
        <v>-14177.89</v>
      </c>
      <c r="H754" s="767">
        <v>-113655.75</v>
      </c>
      <c r="I754" s="768" t="s">
        <v>1495</v>
      </c>
    </row>
    <row r="755" spans="1:9" x14ac:dyDescent="0.25">
      <c r="A755" s="753"/>
      <c r="C755" s="131" t="s">
        <v>994</v>
      </c>
      <c r="D755" s="131">
        <v>16</v>
      </c>
      <c r="E755" s="131" t="s">
        <v>994</v>
      </c>
      <c r="F755" s="767">
        <v>74063.83</v>
      </c>
      <c r="G755" s="767">
        <v>10128.51</v>
      </c>
      <c r="H755" s="767">
        <v>84192.34</v>
      </c>
      <c r="I755" s="768" t="s">
        <v>1496</v>
      </c>
    </row>
    <row r="756" spans="1:9" x14ac:dyDescent="0.25">
      <c r="A756" s="753"/>
      <c r="C756" s="131" t="s">
        <v>75</v>
      </c>
      <c r="D756" s="131">
        <v>16</v>
      </c>
      <c r="E756" s="131" t="s">
        <v>75</v>
      </c>
      <c r="F756" s="767">
        <v>-80671.759999999995</v>
      </c>
      <c r="G756" s="767">
        <v>-12919.79</v>
      </c>
      <c r="H756" s="767">
        <v>-93591.55</v>
      </c>
      <c r="I756" s="768" t="s">
        <v>1503</v>
      </c>
    </row>
    <row r="757" spans="1:9" x14ac:dyDescent="0.25">
      <c r="A757" s="753"/>
      <c r="C757" s="131" t="s">
        <v>999</v>
      </c>
      <c r="D757" s="131">
        <v>16</v>
      </c>
      <c r="E757" s="131" t="s">
        <v>999</v>
      </c>
      <c r="F757" s="767">
        <v>54860.78</v>
      </c>
      <c r="G757" s="767">
        <v>8463.65</v>
      </c>
      <c r="H757" s="767">
        <v>63324.43</v>
      </c>
      <c r="I757" s="768" t="s">
        <v>1504</v>
      </c>
    </row>
    <row r="758" spans="1:9" x14ac:dyDescent="0.25">
      <c r="A758" s="753"/>
      <c r="C758" s="131" t="s">
        <v>79</v>
      </c>
      <c r="D758" s="131">
        <v>16</v>
      </c>
      <c r="E758" s="131" t="s">
        <v>79</v>
      </c>
      <c r="F758" s="767">
        <v>-135308.69</v>
      </c>
      <c r="G758" s="767">
        <v>-21474.45</v>
      </c>
      <c r="H758" s="767">
        <v>-156783.14000000001</v>
      </c>
      <c r="I758" s="768" t="s">
        <v>1512</v>
      </c>
    </row>
    <row r="759" spans="1:9" x14ac:dyDescent="0.25">
      <c r="A759" s="753"/>
      <c r="C759" s="131" t="s">
        <v>1005</v>
      </c>
      <c r="D759" s="131">
        <v>16</v>
      </c>
      <c r="E759" s="131" t="s">
        <v>1005</v>
      </c>
      <c r="F759" s="767">
        <v>95545.56</v>
      </c>
      <c r="G759" s="767">
        <v>15633.54</v>
      </c>
      <c r="H759" s="767">
        <v>111179.1</v>
      </c>
      <c r="I759" s="768" t="s">
        <v>1513</v>
      </c>
    </row>
    <row r="760" spans="1:9" x14ac:dyDescent="0.25">
      <c r="A760" s="753"/>
      <c r="C760" s="131" t="s">
        <v>157</v>
      </c>
      <c r="D760" s="131">
        <v>16</v>
      </c>
      <c r="E760" s="131" t="s">
        <v>157</v>
      </c>
      <c r="F760" s="767">
        <v>-14674.54</v>
      </c>
      <c r="G760" s="767">
        <v>-5744.3</v>
      </c>
      <c r="H760" s="767">
        <v>-20418.84</v>
      </c>
      <c r="I760" s="768" t="s">
        <v>1515</v>
      </c>
    </row>
    <row r="761" spans="1:9" x14ac:dyDescent="0.25">
      <c r="A761" s="753"/>
      <c r="C761" s="131" t="s">
        <v>1007</v>
      </c>
      <c r="D761" s="131">
        <v>16</v>
      </c>
      <c r="E761" s="131" t="s">
        <v>1007</v>
      </c>
      <c r="F761" s="767">
        <v>10191.86</v>
      </c>
      <c r="G761" s="767">
        <v>3917.51</v>
      </c>
      <c r="H761" s="767">
        <v>14109.37</v>
      </c>
      <c r="I761" s="768" t="s">
        <v>1516</v>
      </c>
    </row>
    <row r="762" spans="1:9" x14ac:dyDescent="0.25">
      <c r="A762" s="753"/>
      <c r="C762" s="131" t="s">
        <v>158</v>
      </c>
      <c r="D762" s="131">
        <v>16</v>
      </c>
      <c r="E762" s="131" t="s">
        <v>158</v>
      </c>
      <c r="F762" s="767">
        <v>-78826.09</v>
      </c>
      <c r="G762" s="767">
        <v>-13482.55</v>
      </c>
      <c r="H762" s="767">
        <v>-92308.64</v>
      </c>
      <c r="I762" s="768" t="s">
        <v>1518</v>
      </c>
    </row>
    <row r="763" spans="1:9" x14ac:dyDescent="0.25">
      <c r="A763" s="753"/>
      <c r="C763" s="131" t="s">
        <v>1009</v>
      </c>
      <c r="D763" s="131">
        <v>16</v>
      </c>
      <c r="E763" s="131" t="s">
        <v>1009</v>
      </c>
      <c r="F763" s="767">
        <v>59524.02</v>
      </c>
      <c r="G763" s="767">
        <v>9512.77</v>
      </c>
      <c r="H763" s="767">
        <v>69036.789999999994</v>
      </c>
      <c r="I763" s="768" t="s">
        <v>1519</v>
      </c>
    </row>
    <row r="764" spans="1:9" x14ac:dyDescent="0.25">
      <c r="A764" s="753"/>
      <c r="C764" s="131" t="s">
        <v>163</v>
      </c>
      <c r="D764" s="131">
        <v>16</v>
      </c>
      <c r="E764" s="131" t="s">
        <v>163</v>
      </c>
      <c r="F764" s="767">
        <v>-424504.46</v>
      </c>
      <c r="G764" s="767">
        <v>-19252.650000000001</v>
      </c>
      <c r="H764" s="767">
        <v>-443757.11</v>
      </c>
      <c r="I764" s="768" t="s">
        <v>1521</v>
      </c>
    </row>
    <row r="765" spans="1:9" x14ac:dyDescent="0.25">
      <c r="A765" s="753"/>
      <c r="C765" s="131" t="s">
        <v>1011</v>
      </c>
      <c r="D765" s="131">
        <v>16</v>
      </c>
      <c r="E765" s="131" t="s">
        <v>1011</v>
      </c>
      <c r="F765" s="767">
        <v>322952.71999999997</v>
      </c>
      <c r="G765" s="767">
        <v>13590.86</v>
      </c>
      <c r="H765" s="767">
        <v>336543.58</v>
      </c>
      <c r="I765" s="768" t="s">
        <v>1522</v>
      </c>
    </row>
    <row r="766" spans="1:9" x14ac:dyDescent="0.25">
      <c r="A766" s="753"/>
      <c r="C766" s="131" t="s">
        <v>1011</v>
      </c>
      <c r="D766" s="131">
        <v>16</v>
      </c>
      <c r="E766" s="131" t="s">
        <v>1523</v>
      </c>
      <c r="F766" s="767">
        <v>14634.81</v>
      </c>
      <c r="G766" s="767">
        <v>1119.28</v>
      </c>
      <c r="H766" s="767">
        <v>15754.09</v>
      </c>
      <c r="I766" s="768" t="s">
        <v>1524</v>
      </c>
    </row>
    <row r="767" spans="1:9" x14ac:dyDescent="0.25">
      <c r="A767" s="753"/>
      <c r="C767" s="131" t="s">
        <v>1012</v>
      </c>
      <c r="D767" s="131">
        <v>16</v>
      </c>
      <c r="E767" s="131" t="s">
        <v>1012</v>
      </c>
      <c r="F767" s="767">
        <v>-41204.53</v>
      </c>
      <c r="G767" s="767">
        <v>-9632.99</v>
      </c>
      <c r="H767" s="767">
        <v>-50837.52</v>
      </c>
      <c r="I767" s="768" t="s">
        <v>1534</v>
      </c>
    </row>
    <row r="768" spans="1:9" x14ac:dyDescent="0.25">
      <c r="A768" s="753"/>
      <c r="C768" s="131" t="s">
        <v>1014</v>
      </c>
      <c r="D768" s="131">
        <v>16</v>
      </c>
      <c r="E768" s="131" t="s">
        <v>1014</v>
      </c>
      <c r="F768" s="767">
        <v>-460130.66</v>
      </c>
      <c r="G768" s="767">
        <v>-117139.92</v>
      </c>
      <c r="H768" s="767">
        <v>-577270.57999999996</v>
      </c>
      <c r="I768" s="768" t="s">
        <v>1528</v>
      </c>
    </row>
    <row r="769" spans="1:9" x14ac:dyDescent="0.25">
      <c r="A769" s="753"/>
      <c r="C769" s="131" t="s">
        <v>1015</v>
      </c>
      <c r="D769" s="131">
        <v>16</v>
      </c>
      <c r="E769" s="131" t="s">
        <v>1015</v>
      </c>
      <c r="F769" s="767">
        <v>-43509.4</v>
      </c>
      <c r="G769" s="767">
        <v>-6251.55</v>
      </c>
      <c r="H769" s="767">
        <v>-49760.95</v>
      </c>
      <c r="I769" s="768" t="s">
        <v>1529</v>
      </c>
    </row>
    <row r="770" spans="1:9" x14ac:dyDescent="0.25">
      <c r="A770" s="753"/>
      <c r="C770" s="131" t="s">
        <v>1015</v>
      </c>
      <c r="D770" s="131">
        <v>16</v>
      </c>
      <c r="E770" s="131" t="s">
        <v>1016</v>
      </c>
      <c r="F770" s="767">
        <v>-51591.54</v>
      </c>
      <c r="G770" s="767">
        <v>-7747.54</v>
      </c>
      <c r="H770" s="767">
        <v>-59339.08</v>
      </c>
      <c r="I770" s="768" t="s">
        <v>1530</v>
      </c>
    </row>
    <row r="771" spans="1:9" x14ac:dyDescent="0.25">
      <c r="A771" s="753"/>
      <c r="C771" s="131" t="s">
        <v>1017</v>
      </c>
      <c r="D771" s="131">
        <v>16</v>
      </c>
      <c r="E771" s="131" t="s">
        <v>1017</v>
      </c>
      <c r="F771" s="767">
        <v>346897.11</v>
      </c>
      <c r="G771" s="767">
        <v>87009.08</v>
      </c>
      <c r="H771" s="767">
        <v>433906.19</v>
      </c>
      <c r="I771" s="768" t="s">
        <v>1531</v>
      </c>
    </row>
    <row r="772" spans="1:9" x14ac:dyDescent="0.25">
      <c r="A772" s="753"/>
      <c r="C772" s="131" t="s">
        <v>1018</v>
      </c>
      <c r="D772" s="131">
        <v>16</v>
      </c>
      <c r="E772" s="131" t="s">
        <v>1018</v>
      </c>
      <c r="F772" s="767">
        <v>28074.54</v>
      </c>
      <c r="G772" s="767">
        <v>4051.37</v>
      </c>
      <c r="H772" s="767">
        <v>32125.91</v>
      </c>
      <c r="I772" s="768" t="s">
        <v>1532</v>
      </c>
    </row>
    <row r="773" spans="1:9" x14ac:dyDescent="0.25">
      <c r="A773" s="753"/>
      <c r="C773" s="131" t="s">
        <v>1018</v>
      </c>
      <c r="D773" s="131">
        <v>16</v>
      </c>
      <c r="E773" s="131" t="s">
        <v>1019</v>
      </c>
      <c r="F773" s="767">
        <v>34304.589999999997</v>
      </c>
      <c r="G773" s="767">
        <v>4971.3999999999996</v>
      </c>
      <c r="H773" s="767">
        <v>39275.99</v>
      </c>
      <c r="I773" s="768" t="s">
        <v>1533</v>
      </c>
    </row>
    <row r="774" spans="1:9" x14ac:dyDescent="0.25">
      <c r="A774" s="753">
        <v>905518</v>
      </c>
      <c r="B774" s="130">
        <v>326</v>
      </c>
      <c r="E774" s="131"/>
    </row>
    <row r="775" spans="1:9" x14ac:dyDescent="0.25">
      <c r="A775" s="753">
        <v>905522</v>
      </c>
      <c r="B775" s="130">
        <v>4584</v>
      </c>
      <c r="E775" s="131"/>
    </row>
    <row r="776" spans="1:9" x14ac:dyDescent="0.25">
      <c r="A776" s="753">
        <v>905524</v>
      </c>
      <c r="B776" s="130">
        <v>1853579</v>
      </c>
      <c r="E776" s="131"/>
    </row>
    <row r="777" spans="1:9" x14ac:dyDescent="0.25">
      <c r="A777" s="753">
        <v>905526</v>
      </c>
      <c r="B777" s="130">
        <v>551630</v>
      </c>
      <c r="C777" s="131" t="s">
        <v>10</v>
      </c>
      <c r="D777" s="131">
        <v>16</v>
      </c>
      <c r="E777" s="131" t="s">
        <v>10</v>
      </c>
      <c r="F777" s="767">
        <v>-203433.86</v>
      </c>
      <c r="G777" s="767">
        <v>-17795.72</v>
      </c>
      <c r="H777" s="767">
        <v>-221229.58</v>
      </c>
      <c r="I777" s="768" t="s">
        <v>1468</v>
      </c>
    </row>
    <row r="778" spans="1:9" x14ac:dyDescent="0.25">
      <c r="A778" s="753"/>
      <c r="C778" s="131" t="s">
        <v>976</v>
      </c>
      <c r="D778" s="131">
        <v>16</v>
      </c>
      <c r="E778" s="131" t="s">
        <v>976</v>
      </c>
      <c r="F778" s="767">
        <v>125114.1</v>
      </c>
      <c r="G778" s="767">
        <v>10366.67</v>
      </c>
      <c r="H778" s="767">
        <v>135480.76999999999</v>
      </c>
      <c r="I778" s="768" t="s">
        <v>1469</v>
      </c>
    </row>
    <row r="779" spans="1:9" x14ac:dyDescent="0.25">
      <c r="A779" s="753"/>
      <c r="C779" s="131" t="s">
        <v>14</v>
      </c>
      <c r="D779" s="131">
        <v>16</v>
      </c>
      <c r="E779" s="131" t="s">
        <v>14</v>
      </c>
      <c r="F779" s="767">
        <v>-20161.36</v>
      </c>
      <c r="G779" s="767">
        <v>-2374.63</v>
      </c>
      <c r="H779" s="767">
        <v>-22535.99</v>
      </c>
      <c r="I779" s="768" t="s">
        <v>1477</v>
      </c>
    </row>
    <row r="780" spans="1:9" x14ac:dyDescent="0.25">
      <c r="A780" s="753"/>
      <c r="C780" s="131" t="s">
        <v>982</v>
      </c>
      <c r="D780" s="131">
        <v>16</v>
      </c>
      <c r="E780" s="131" t="s">
        <v>982</v>
      </c>
      <c r="F780" s="767">
        <v>14373.38</v>
      </c>
      <c r="G780" s="767">
        <v>1696.21</v>
      </c>
      <c r="H780" s="767">
        <v>16069.59</v>
      </c>
      <c r="I780" s="768" t="s">
        <v>1478</v>
      </c>
    </row>
    <row r="781" spans="1:9" x14ac:dyDescent="0.25">
      <c r="A781" s="753"/>
      <c r="C781" s="131" t="s">
        <v>19</v>
      </c>
      <c r="D781" s="131">
        <v>16</v>
      </c>
      <c r="E781" s="131" t="s">
        <v>19</v>
      </c>
      <c r="F781" s="767">
        <v>-400.42</v>
      </c>
      <c r="G781" s="767">
        <v>-2525.73</v>
      </c>
      <c r="H781" s="767">
        <v>-2926.15</v>
      </c>
      <c r="I781" s="768" t="s">
        <v>1486</v>
      </c>
    </row>
    <row r="782" spans="1:9" x14ac:dyDescent="0.25">
      <c r="A782" s="753"/>
      <c r="C782" s="131" t="s">
        <v>988</v>
      </c>
      <c r="D782" s="131">
        <v>16</v>
      </c>
      <c r="E782" s="131" t="s">
        <v>988</v>
      </c>
      <c r="F782" s="767">
        <v>242.14</v>
      </c>
      <c r="G782" s="767">
        <v>1546.64</v>
      </c>
      <c r="H782" s="767">
        <v>1788.78</v>
      </c>
      <c r="I782" s="768" t="s">
        <v>1487</v>
      </c>
    </row>
    <row r="783" spans="1:9" x14ac:dyDescent="0.25">
      <c r="A783" s="753"/>
      <c r="C783" s="131" t="s">
        <v>71</v>
      </c>
      <c r="D783" s="131">
        <v>16</v>
      </c>
      <c r="E783" s="131" t="s">
        <v>71</v>
      </c>
      <c r="F783" s="767">
        <v>-99477.86</v>
      </c>
      <c r="G783" s="767">
        <v>-14177.89</v>
      </c>
      <c r="H783" s="767">
        <v>-113655.75</v>
      </c>
      <c r="I783" s="768" t="s">
        <v>1495</v>
      </c>
    </row>
    <row r="784" spans="1:9" x14ac:dyDescent="0.25">
      <c r="A784" s="753"/>
      <c r="C784" s="131" t="s">
        <v>994</v>
      </c>
      <c r="D784" s="131">
        <v>16</v>
      </c>
      <c r="E784" s="131" t="s">
        <v>994</v>
      </c>
      <c r="F784" s="767">
        <v>74063.83</v>
      </c>
      <c r="G784" s="767">
        <v>10128.51</v>
      </c>
      <c r="H784" s="767">
        <v>84192.34</v>
      </c>
      <c r="I784" s="768" t="s">
        <v>1496</v>
      </c>
    </row>
    <row r="785" spans="1:9" x14ac:dyDescent="0.25">
      <c r="A785" s="753"/>
      <c r="C785" s="131" t="s">
        <v>75</v>
      </c>
      <c r="D785" s="131">
        <v>16</v>
      </c>
      <c r="E785" s="131" t="s">
        <v>75</v>
      </c>
      <c r="F785" s="767">
        <v>-80671.759999999995</v>
      </c>
      <c r="G785" s="767">
        <v>-12919.79</v>
      </c>
      <c r="H785" s="767">
        <v>-93591.55</v>
      </c>
      <c r="I785" s="768" t="s">
        <v>1503</v>
      </c>
    </row>
    <row r="786" spans="1:9" x14ac:dyDescent="0.25">
      <c r="A786" s="753"/>
      <c r="C786" s="131" t="s">
        <v>999</v>
      </c>
      <c r="D786" s="131">
        <v>16</v>
      </c>
      <c r="E786" s="131" t="s">
        <v>999</v>
      </c>
      <c r="F786" s="767">
        <v>54860.78</v>
      </c>
      <c r="G786" s="767">
        <v>8463.65</v>
      </c>
      <c r="H786" s="767">
        <v>63324.43</v>
      </c>
      <c r="I786" s="768" t="s">
        <v>1504</v>
      </c>
    </row>
    <row r="787" spans="1:9" x14ac:dyDescent="0.25">
      <c r="A787" s="753"/>
      <c r="C787" s="131" t="s">
        <v>79</v>
      </c>
      <c r="D787" s="131">
        <v>16</v>
      </c>
      <c r="E787" s="131" t="s">
        <v>79</v>
      </c>
      <c r="F787" s="767">
        <v>-135308.69</v>
      </c>
      <c r="G787" s="767">
        <v>-21474.45</v>
      </c>
      <c r="H787" s="767">
        <v>-156783.14000000001</v>
      </c>
      <c r="I787" s="768" t="s">
        <v>1512</v>
      </c>
    </row>
    <row r="788" spans="1:9" x14ac:dyDescent="0.25">
      <c r="A788" s="753"/>
      <c r="C788" s="131" t="s">
        <v>1005</v>
      </c>
      <c r="D788" s="131">
        <v>16</v>
      </c>
      <c r="E788" s="131" t="s">
        <v>1005</v>
      </c>
      <c r="F788" s="767">
        <v>95545.56</v>
      </c>
      <c r="G788" s="767">
        <v>15633.54</v>
      </c>
      <c r="H788" s="767">
        <v>111179.1</v>
      </c>
      <c r="I788" s="768" t="s">
        <v>1513</v>
      </c>
    </row>
    <row r="789" spans="1:9" x14ac:dyDescent="0.25">
      <c r="A789" s="753"/>
      <c r="C789" s="131" t="s">
        <v>157</v>
      </c>
      <c r="D789" s="131">
        <v>16</v>
      </c>
      <c r="E789" s="131" t="s">
        <v>157</v>
      </c>
      <c r="F789" s="767">
        <v>-14674.54</v>
      </c>
      <c r="G789" s="767">
        <v>-5744.3</v>
      </c>
      <c r="H789" s="767">
        <v>-20418.84</v>
      </c>
      <c r="I789" s="768" t="s">
        <v>1515</v>
      </c>
    </row>
    <row r="790" spans="1:9" x14ac:dyDescent="0.25">
      <c r="A790" s="753"/>
      <c r="C790" s="131" t="s">
        <v>1007</v>
      </c>
      <c r="D790" s="131">
        <v>16</v>
      </c>
      <c r="E790" s="131" t="s">
        <v>1007</v>
      </c>
      <c r="F790" s="767">
        <v>10191.86</v>
      </c>
      <c r="G790" s="767">
        <v>3917.51</v>
      </c>
      <c r="H790" s="767">
        <v>14109.37</v>
      </c>
      <c r="I790" s="768" t="s">
        <v>1516</v>
      </c>
    </row>
    <row r="791" spans="1:9" x14ac:dyDescent="0.25">
      <c r="A791" s="753"/>
      <c r="C791" s="131" t="s">
        <v>158</v>
      </c>
      <c r="D791" s="131">
        <v>16</v>
      </c>
      <c r="E791" s="131" t="s">
        <v>158</v>
      </c>
      <c r="F791" s="767">
        <v>-78826.09</v>
      </c>
      <c r="G791" s="767">
        <v>-13482.55</v>
      </c>
      <c r="H791" s="767">
        <v>-92308.64</v>
      </c>
      <c r="I791" s="768" t="s">
        <v>1518</v>
      </c>
    </row>
    <row r="792" spans="1:9" x14ac:dyDescent="0.25">
      <c r="A792" s="753"/>
      <c r="C792" s="131" t="s">
        <v>1009</v>
      </c>
      <c r="D792" s="131">
        <v>16</v>
      </c>
      <c r="E792" s="131" t="s">
        <v>1009</v>
      </c>
      <c r="F792" s="767">
        <v>59524.02</v>
      </c>
      <c r="G792" s="767">
        <v>9512.77</v>
      </c>
      <c r="H792" s="767">
        <v>69036.789999999994</v>
      </c>
      <c r="I792" s="768" t="s">
        <v>1519</v>
      </c>
    </row>
    <row r="793" spans="1:9" x14ac:dyDescent="0.25">
      <c r="A793" s="753"/>
      <c r="C793" s="131" t="s">
        <v>163</v>
      </c>
      <c r="D793" s="131">
        <v>16</v>
      </c>
      <c r="E793" s="131" t="s">
        <v>163</v>
      </c>
      <c r="F793" s="767">
        <v>-424504.46</v>
      </c>
      <c r="G793" s="767">
        <v>-19252.650000000001</v>
      </c>
      <c r="H793" s="767">
        <v>-443757.11</v>
      </c>
      <c r="I793" s="768" t="s">
        <v>1521</v>
      </c>
    </row>
    <row r="794" spans="1:9" x14ac:dyDescent="0.25">
      <c r="A794" s="753"/>
      <c r="C794" s="131" t="s">
        <v>1011</v>
      </c>
      <c r="D794" s="131">
        <v>16</v>
      </c>
      <c r="E794" s="131" t="s">
        <v>1011</v>
      </c>
      <c r="F794" s="767">
        <v>322952.71999999997</v>
      </c>
      <c r="G794" s="767">
        <v>13590.86</v>
      </c>
      <c r="H794" s="767">
        <v>336543.58</v>
      </c>
      <c r="I794" s="768" t="s">
        <v>1522</v>
      </c>
    </row>
    <row r="795" spans="1:9" x14ac:dyDescent="0.25">
      <c r="A795" s="753"/>
      <c r="C795" s="131" t="s">
        <v>1011</v>
      </c>
      <c r="D795" s="131">
        <v>16</v>
      </c>
      <c r="E795" s="131" t="s">
        <v>1523</v>
      </c>
      <c r="F795" s="767">
        <v>14634.81</v>
      </c>
      <c r="G795" s="767">
        <v>1119.28</v>
      </c>
      <c r="H795" s="767">
        <v>15754.09</v>
      </c>
      <c r="I795" s="768" t="s">
        <v>1524</v>
      </c>
    </row>
    <row r="796" spans="1:9" x14ac:dyDescent="0.25">
      <c r="A796" s="753"/>
      <c r="C796" s="131" t="s">
        <v>1012</v>
      </c>
      <c r="D796" s="131">
        <v>16</v>
      </c>
      <c r="E796" s="131" t="s">
        <v>1012</v>
      </c>
      <c r="F796" s="767">
        <v>-41204.53</v>
      </c>
      <c r="G796" s="767">
        <v>-9632.99</v>
      </c>
      <c r="H796" s="767">
        <v>-50837.52</v>
      </c>
      <c r="I796" s="768" t="s">
        <v>1534</v>
      </c>
    </row>
    <row r="797" spans="1:9" x14ac:dyDescent="0.25">
      <c r="A797" s="753"/>
      <c r="C797" s="131" t="s">
        <v>1014</v>
      </c>
      <c r="D797" s="131">
        <v>16</v>
      </c>
      <c r="E797" s="131" t="s">
        <v>1014</v>
      </c>
      <c r="F797" s="767">
        <v>-460130.66</v>
      </c>
      <c r="G797" s="767">
        <v>-117139.92</v>
      </c>
      <c r="H797" s="767">
        <v>-577270.57999999996</v>
      </c>
      <c r="I797" s="768" t="s">
        <v>1528</v>
      </c>
    </row>
    <row r="798" spans="1:9" x14ac:dyDescent="0.25">
      <c r="A798" s="753"/>
      <c r="C798" s="131" t="s">
        <v>1015</v>
      </c>
      <c r="D798" s="131">
        <v>16</v>
      </c>
      <c r="E798" s="131" t="s">
        <v>1015</v>
      </c>
      <c r="F798" s="767">
        <v>-43509.4</v>
      </c>
      <c r="G798" s="767">
        <v>-6251.55</v>
      </c>
      <c r="H798" s="767">
        <v>-49760.95</v>
      </c>
      <c r="I798" s="768" t="s">
        <v>1529</v>
      </c>
    </row>
    <row r="799" spans="1:9" x14ac:dyDescent="0.25">
      <c r="A799" s="753"/>
      <c r="C799" s="131" t="s">
        <v>1015</v>
      </c>
      <c r="D799" s="131">
        <v>16</v>
      </c>
      <c r="E799" s="131" t="s">
        <v>1016</v>
      </c>
      <c r="F799" s="767">
        <v>-51591.54</v>
      </c>
      <c r="G799" s="767">
        <v>-7747.54</v>
      </c>
      <c r="H799" s="767">
        <v>-59339.08</v>
      </c>
      <c r="I799" s="768" t="s">
        <v>1530</v>
      </c>
    </row>
    <row r="800" spans="1:9" x14ac:dyDescent="0.25">
      <c r="A800" s="753"/>
      <c r="C800" s="131" t="s">
        <v>1017</v>
      </c>
      <c r="D800" s="131">
        <v>16</v>
      </c>
      <c r="E800" s="131" t="s">
        <v>1017</v>
      </c>
      <c r="F800" s="767">
        <v>346897.11</v>
      </c>
      <c r="G800" s="767">
        <v>87009.08</v>
      </c>
      <c r="H800" s="767">
        <v>433906.19</v>
      </c>
      <c r="I800" s="768" t="s">
        <v>1531</v>
      </c>
    </row>
    <row r="801" spans="1:9" x14ac:dyDescent="0.25">
      <c r="A801" s="753"/>
      <c r="C801" s="131" t="s">
        <v>1018</v>
      </c>
      <c r="D801" s="131">
        <v>16</v>
      </c>
      <c r="E801" s="131" t="s">
        <v>1018</v>
      </c>
      <c r="F801" s="767">
        <v>28074.54</v>
      </c>
      <c r="G801" s="767">
        <v>4051.37</v>
      </c>
      <c r="H801" s="767">
        <v>32125.91</v>
      </c>
      <c r="I801" s="768" t="s">
        <v>1532</v>
      </c>
    </row>
    <row r="802" spans="1:9" x14ac:dyDescent="0.25">
      <c r="A802" s="753"/>
      <c r="C802" s="131" t="s">
        <v>1018</v>
      </c>
      <c r="D802" s="131">
        <v>16</v>
      </c>
      <c r="E802" s="131" t="s">
        <v>1019</v>
      </c>
      <c r="F802" s="767">
        <v>34304.589999999997</v>
      </c>
      <c r="G802" s="767">
        <v>4971.3999999999996</v>
      </c>
      <c r="H802" s="767">
        <v>39275.99</v>
      </c>
      <c r="I802" s="768" t="s">
        <v>1533</v>
      </c>
    </row>
    <row r="803" spans="1:9" x14ac:dyDescent="0.25">
      <c r="A803" s="753">
        <v>905528</v>
      </c>
      <c r="B803" s="130">
        <v>298</v>
      </c>
      <c r="E803" s="131"/>
    </row>
    <row r="804" spans="1:9" x14ac:dyDescent="0.25">
      <c r="A804" s="753">
        <v>905612</v>
      </c>
      <c r="B804" s="130">
        <v>216</v>
      </c>
      <c r="E804" s="131"/>
    </row>
    <row r="805" spans="1:9" x14ac:dyDescent="0.25">
      <c r="A805" s="753">
        <v>905614</v>
      </c>
      <c r="B805" s="130">
        <v>97005</v>
      </c>
      <c r="E805" s="131"/>
    </row>
    <row r="806" spans="1:9" x14ac:dyDescent="0.25">
      <c r="A806" s="753">
        <v>905616</v>
      </c>
      <c r="B806" s="130">
        <v>32363</v>
      </c>
      <c r="C806" s="131" t="s">
        <v>11</v>
      </c>
      <c r="D806" s="131">
        <v>16</v>
      </c>
      <c r="E806" s="131" t="s">
        <v>11</v>
      </c>
      <c r="F806" s="767">
        <v>-298866.40999999997</v>
      </c>
      <c r="G806" s="767">
        <v>-36569.339999999997</v>
      </c>
      <c r="H806" s="767">
        <v>-335435.75</v>
      </c>
      <c r="I806" s="768" t="s">
        <v>1471</v>
      </c>
    </row>
    <row r="807" spans="1:9" x14ac:dyDescent="0.25">
      <c r="A807" s="753"/>
      <c r="C807" s="131" t="s">
        <v>978</v>
      </c>
      <c r="D807" s="131">
        <v>16</v>
      </c>
      <c r="E807" s="131" t="s">
        <v>978</v>
      </c>
      <c r="F807" s="767">
        <v>176671.26</v>
      </c>
      <c r="G807" s="767">
        <v>22215.05</v>
      </c>
      <c r="H807" s="767">
        <v>198886.31</v>
      </c>
      <c r="I807" s="768" t="s">
        <v>1472</v>
      </c>
    </row>
    <row r="808" spans="1:9" x14ac:dyDescent="0.25">
      <c r="A808" s="753"/>
      <c r="C808" s="131" t="s">
        <v>17</v>
      </c>
      <c r="D808" s="131">
        <v>16</v>
      </c>
      <c r="E808" s="131" t="s">
        <v>17</v>
      </c>
      <c r="F808" s="767">
        <v>-44656.33</v>
      </c>
      <c r="G808" s="767">
        <v>-5956.64</v>
      </c>
      <c r="H808" s="767">
        <v>-50612.97</v>
      </c>
      <c r="I808" s="768" t="s">
        <v>1480</v>
      </c>
    </row>
    <row r="809" spans="1:9" x14ac:dyDescent="0.25">
      <c r="A809" s="753"/>
      <c r="C809" s="131" t="s">
        <v>984</v>
      </c>
      <c r="D809" s="131">
        <v>16</v>
      </c>
      <c r="E809" s="131" t="s">
        <v>984</v>
      </c>
      <c r="F809" s="767">
        <v>31895.46</v>
      </c>
      <c r="G809" s="767">
        <v>4254.84</v>
      </c>
      <c r="H809" s="767">
        <v>36150.300000000003</v>
      </c>
      <c r="I809" s="768" t="s">
        <v>1481</v>
      </c>
    </row>
    <row r="810" spans="1:9" x14ac:dyDescent="0.25">
      <c r="A810" s="753"/>
      <c r="C810" s="131" t="s">
        <v>20</v>
      </c>
      <c r="D810" s="131">
        <v>16</v>
      </c>
      <c r="E810" s="131" t="s">
        <v>20</v>
      </c>
      <c r="F810" s="767">
        <v>-4095.97</v>
      </c>
      <c r="G810" s="767">
        <v>0</v>
      </c>
      <c r="H810" s="767">
        <v>-4095.97</v>
      </c>
      <c r="I810" s="768" t="s">
        <v>1489</v>
      </c>
    </row>
    <row r="811" spans="1:9" x14ac:dyDescent="0.25">
      <c r="A811" s="753"/>
      <c r="C811" s="131" t="s">
        <v>990</v>
      </c>
      <c r="D811" s="131">
        <v>16</v>
      </c>
      <c r="E811" s="131" t="s">
        <v>990</v>
      </c>
      <c r="F811" s="767">
        <v>2948.1</v>
      </c>
      <c r="G811" s="767">
        <v>0</v>
      </c>
      <c r="H811" s="767">
        <v>2948.1</v>
      </c>
      <c r="I811" s="768" t="s">
        <v>1490</v>
      </c>
    </row>
    <row r="812" spans="1:9" x14ac:dyDescent="0.25">
      <c r="A812" s="753"/>
      <c r="C812" s="131" t="s">
        <v>72</v>
      </c>
      <c r="D812" s="131">
        <v>16</v>
      </c>
      <c r="E812" s="131" t="s">
        <v>72</v>
      </c>
      <c r="F812" s="767">
        <v>-237960.89</v>
      </c>
      <c r="G812" s="767">
        <v>-42435.12</v>
      </c>
      <c r="H812" s="767">
        <v>-280396.01</v>
      </c>
      <c r="I812" s="768" t="s">
        <v>1498</v>
      </c>
    </row>
    <row r="813" spans="1:9" x14ac:dyDescent="0.25">
      <c r="A813" s="753"/>
      <c r="C813" s="131" t="s">
        <v>996</v>
      </c>
      <c r="D813" s="131">
        <v>16</v>
      </c>
      <c r="E813" s="131" t="s">
        <v>996</v>
      </c>
      <c r="F813" s="767">
        <v>170036.69</v>
      </c>
      <c r="G813" s="767">
        <v>30341.48</v>
      </c>
      <c r="H813" s="767">
        <v>200378.17</v>
      </c>
      <c r="I813" s="768" t="s">
        <v>1499</v>
      </c>
    </row>
    <row r="814" spans="1:9" x14ac:dyDescent="0.25">
      <c r="A814" s="753"/>
      <c r="C814" s="131" t="s">
        <v>76</v>
      </c>
      <c r="D814" s="131">
        <v>16</v>
      </c>
      <c r="E814" s="131" t="s">
        <v>76</v>
      </c>
      <c r="F814" s="767">
        <v>-44918.95</v>
      </c>
      <c r="G814" s="767">
        <v>-12043.76</v>
      </c>
      <c r="H814" s="767">
        <v>-56962.71</v>
      </c>
      <c r="I814" s="768" t="s">
        <v>1506</v>
      </c>
    </row>
    <row r="815" spans="1:9" x14ac:dyDescent="0.25">
      <c r="A815" s="753"/>
      <c r="C815" s="131" t="s">
        <v>1001</v>
      </c>
      <c r="D815" s="131">
        <v>16</v>
      </c>
      <c r="E815" s="131" t="s">
        <v>1001</v>
      </c>
      <c r="F815" s="767">
        <v>29209.96</v>
      </c>
      <c r="G815" s="767">
        <v>7830.74</v>
      </c>
      <c r="H815" s="767">
        <v>37040.699999999997</v>
      </c>
      <c r="I815" s="768" t="s">
        <v>1507</v>
      </c>
    </row>
    <row r="816" spans="1:9" x14ac:dyDescent="0.25">
      <c r="A816" s="753">
        <v>905618</v>
      </c>
      <c r="B816" s="130">
        <v>334</v>
      </c>
      <c r="E816" s="131"/>
    </row>
    <row r="817" spans="1:9" x14ac:dyDescent="0.25">
      <c r="A817" s="753">
        <v>905622</v>
      </c>
      <c r="B817" s="130">
        <v>1725</v>
      </c>
      <c r="E817" s="131"/>
    </row>
    <row r="818" spans="1:9" x14ac:dyDescent="0.25">
      <c r="A818" s="753">
        <v>905624</v>
      </c>
      <c r="B818" s="130">
        <v>727504</v>
      </c>
      <c r="E818" s="131"/>
    </row>
    <row r="819" spans="1:9" x14ac:dyDescent="0.25">
      <c r="A819" s="753">
        <v>905626</v>
      </c>
      <c r="B819" s="130">
        <v>252101</v>
      </c>
      <c r="C819" s="131" t="s">
        <v>11</v>
      </c>
      <c r="D819" s="131">
        <v>16</v>
      </c>
      <c r="E819" s="131" t="s">
        <v>11</v>
      </c>
      <c r="F819" s="767">
        <v>-298866.40999999997</v>
      </c>
      <c r="G819" s="767">
        <v>-36569.339999999997</v>
      </c>
      <c r="H819" s="767">
        <v>-335435.75</v>
      </c>
      <c r="I819" s="768" t="s">
        <v>1471</v>
      </c>
    </row>
    <row r="820" spans="1:9" x14ac:dyDescent="0.25">
      <c r="A820" s="753"/>
      <c r="C820" s="131" t="s">
        <v>978</v>
      </c>
      <c r="D820" s="131">
        <v>16</v>
      </c>
      <c r="E820" s="131" t="s">
        <v>978</v>
      </c>
      <c r="F820" s="767">
        <v>176671.26</v>
      </c>
      <c r="G820" s="767">
        <v>22215.05</v>
      </c>
      <c r="H820" s="767">
        <v>198886.31</v>
      </c>
      <c r="I820" s="768" t="s">
        <v>1472</v>
      </c>
    </row>
    <row r="821" spans="1:9" x14ac:dyDescent="0.25">
      <c r="A821" s="753"/>
      <c r="C821" s="131" t="s">
        <v>17</v>
      </c>
      <c r="D821" s="131">
        <v>16</v>
      </c>
      <c r="E821" s="131" t="s">
        <v>17</v>
      </c>
      <c r="F821" s="767">
        <v>-44656.33</v>
      </c>
      <c r="G821" s="767">
        <v>-5956.64</v>
      </c>
      <c r="H821" s="767">
        <v>-50612.97</v>
      </c>
      <c r="I821" s="768" t="s">
        <v>1480</v>
      </c>
    </row>
    <row r="822" spans="1:9" x14ac:dyDescent="0.25">
      <c r="A822" s="753"/>
      <c r="C822" s="131" t="s">
        <v>984</v>
      </c>
      <c r="D822" s="131">
        <v>16</v>
      </c>
      <c r="E822" s="131" t="s">
        <v>984</v>
      </c>
      <c r="F822" s="767">
        <v>31895.46</v>
      </c>
      <c r="G822" s="767">
        <v>4254.84</v>
      </c>
      <c r="H822" s="767">
        <v>36150.300000000003</v>
      </c>
      <c r="I822" s="768" t="s">
        <v>1481</v>
      </c>
    </row>
    <row r="823" spans="1:9" x14ac:dyDescent="0.25">
      <c r="A823" s="753"/>
      <c r="C823" s="131" t="s">
        <v>20</v>
      </c>
      <c r="D823" s="131">
        <v>16</v>
      </c>
      <c r="E823" s="131" t="s">
        <v>20</v>
      </c>
      <c r="F823" s="767">
        <v>-4095.97</v>
      </c>
      <c r="G823" s="767">
        <v>0</v>
      </c>
      <c r="H823" s="767">
        <v>-4095.97</v>
      </c>
      <c r="I823" s="768" t="s">
        <v>1489</v>
      </c>
    </row>
    <row r="824" spans="1:9" x14ac:dyDescent="0.25">
      <c r="A824" s="753"/>
      <c r="C824" s="131" t="s">
        <v>990</v>
      </c>
      <c r="D824" s="131">
        <v>16</v>
      </c>
      <c r="E824" s="131" t="s">
        <v>990</v>
      </c>
      <c r="F824" s="767">
        <v>2948.1</v>
      </c>
      <c r="G824" s="767">
        <v>0</v>
      </c>
      <c r="H824" s="767">
        <v>2948.1</v>
      </c>
      <c r="I824" s="768" t="s">
        <v>1490</v>
      </c>
    </row>
    <row r="825" spans="1:9" x14ac:dyDescent="0.25">
      <c r="A825" s="753"/>
      <c r="C825" s="131" t="s">
        <v>72</v>
      </c>
      <c r="D825" s="131">
        <v>16</v>
      </c>
      <c r="E825" s="131" t="s">
        <v>72</v>
      </c>
      <c r="F825" s="767">
        <v>-237960.89</v>
      </c>
      <c r="G825" s="767">
        <v>-42435.12</v>
      </c>
      <c r="H825" s="767">
        <v>-280396.01</v>
      </c>
      <c r="I825" s="768" t="s">
        <v>1498</v>
      </c>
    </row>
    <row r="826" spans="1:9" x14ac:dyDescent="0.25">
      <c r="A826" s="753"/>
      <c r="C826" s="131" t="s">
        <v>996</v>
      </c>
      <c r="D826" s="131">
        <v>16</v>
      </c>
      <c r="E826" s="131" t="s">
        <v>996</v>
      </c>
      <c r="F826" s="767">
        <v>170036.69</v>
      </c>
      <c r="G826" s="767">
        <v>30341.48</v>
      </c>
      <c r="H826" s="767">
        <v>200378.17</v>
      </c>
      <c r="I826" s="768" t="s">
        <v>1499</v>
      </c>
    </row>
    <row r="827" spans="1:9" x14ac:dyDescent="0.25">
      <c r="A827" s="753"/>
      <c r="C827" s="131" t="s">
        <v>76</v>
      </c>
      <c r="D827" s="131">
        <v>16</v>
      </c>
      <c r="E827" s="131" t="s">
        <v>76</v>
      </c>
      <c r="F827" s="767">
        <v>-44918.95</v>
      </c>
      <c r="G827" s="767">
        <v>-12043.76</v>
      </c>
      <c r="H827" s="767">
        <v>-56962.71</v>
      </c>
      <c r="I827" s="768" t="s">
        <v>1506</v>
      </c>
    </row>
    <row r="828" spans="1:9" x14ac:dyDescent="0.25">
      <c r="A828" s="753"/>
      <c r="C828" s="131" t="s">
        <v>1001</v>
      </c>
      <c r="D828" s="131">
        <v>16</v>
      </c>
      <c r="E828" s="131" t="s">
        <v>1001</v>
      </c>
      <c r="F828" s="767">
        <v>29209.96</v>
      </c>
      <c r="G828" s="767">
        <v>7830.74</v>
      </c>
      <c r="H828" s="767">
        <v>37040.699999999997</v>
      </c>
      <c r="I828" s="768" t="s">
        <v>1507</v>
      </c>
    </row>
    <row r="829" spans="1:9" x14ac:dyDescent="0.25">
      <c r="A829" s="753">
        <v>905628</v>
      </c>
      <c r="B829" s="130">
        <v>347</v>
      </c>
      <c r="E829" s="131"/>
    </row>
    <row r="830" spans="1:9" x14ac:dyDescent="0.25">
      <c r="A830" s="753">
        <v>905712</v>
      </c>
      <c r="B830" s="130">
        <v>34</v>
      </c>
      <c r="E830" s="131"/>
    </row>
    <row r="831" spans="1:9" x14ac:dyDescent="0.25">
      <c r="A831" s="753">
        <v>905714</v>
      </c>
      <c r="B831" s="130">
        <v>12775</v>
      </c>
      <c r="E831" s="131"/>
    </row>
    <row r="832" spans="1:9" x14ac:dyDescent="0.25">
      <c r="A832" s="753">
        <v>905716</v>
      </c>
      <c r="B832" s="130">
        <v>4649</v>
      </c>
      <c r="C832" s="131" t="s">
        <v>246</v>
      </c>
      <c r="D832" s="131">
        <v>16</v>
      </c>
      <c r="E832" s="131" t="s">
        <v>246</v>
      </c>
      <c r="F832" s="767">
        <v>-20320.09</v>
      </c>
      <c r="G832" s="767">
        <v>-4659.7299999999996</v>
      </c>
      <c r="H832" s="767">
        <v>-24979.82</v>
      </c>
      <c r="I832" s="768" t="s">
        <v>1474</v>
      </c>
    </row>
    <row r="833" spans="1:9" x14ac:dyDescent="0.25">
      <c r="A833" s="753"/>
      <c r="C833" s="131" t="s">
        <v>980</v>
      </c>
      <c r="D833" s="131">
        <v>16</v>
      </c>
      <c r="E833" s="131" t="s">
        <v>980</v>
      </c>
      <c r="F833" s="767">
        <v>12187.51</v>
      </c>
      <c r="G833" s="767">
        <v>2375.86</v>
      </c>
      <c r="H833" s="767">
        <v>14563.37</v>
      </c>
      <c r="I833" s="768" t="s">
        <v>1475</v>
      </c>
    </row>
    <row r="834" spans="1:9" x14ac:dyDescent="0.25">
      <c r="A834" s="753"/>
      <c r="C834" s="131" t="s">
        <v>247</v>
      </c>
      <c r="D834" s="131">
        <v>16</v>
      </c>
      <c r="E834" s="131" t="s">
        <v>247</v>
      </c>
      <c r="F834" s="767">
        <v>-1433.56</v>
      </c>
      <c r="G834" s="767">
        <v>-1314.44</v>
      </c>
      <c r="H834" s="767">
        <v>-2748</v>
      </c>
      <c r="I834" s="768" t="s">
        <v>1483</v>
      </c>
    </row>
    <row r="835" spans="1:9" x14ac:dyDescent="0.25">
      <c r="A835" s="753"/>
      <c r="C835" s="131" t="s">
        <v>986</v>
      </c>
      <c r="D835" s="131">
        <v>16</v>
      </c>
      <c r="E835" s="131" t="s">
        <v>986</v>
      </c>
      <c r="F835" s="767">
        <v>1023.99</v>
      </c>
      <c r="G835" s="767">
        <v>938.88</v>
      </c>
      <c r="H835" s="767">
        <v>1962.87</v>
      </c>
      <c r="I835" s="768" t="s">
        <v>1484</v>
      </c>
    </row>
    <row r="836" spans="1:9" x14ac:dyDescent="0.25">
      <c r="A836" s="753"/>
      <c r="C836" s="131" t="s">
        <v>248</v>
      </c>
      <c r="D836" s="131">
        <v>16</v>
      </c>
      <c r="E836" s="131" t="s">
        <v>248</v>
      </c>
      <c r="F836" s="767">
        <v>-206.7</v>
      </c>
      <c r="G836" s="767">
        <v>0</v>
      </c>
      <c r="H836" s="767">
        <v>-206.7</v>
      </c>
      <c r="I836" s="768" t="s">
        <v>1492</v>
      </c>
    </row>
    <row r="837" spans="1:9" x14ac:dyDescent="0.25">
      <c r="A837" s="753"/>
      <c r="C837" s="131" t="s">
        <v>992</v>
      </c>
      <c r="D837" s="131">
        <v>16</v>
      </c>
      <c r="E837" s="131" t="s">
        <v>992</v>
      </c>
      <c r="F837" s="767">
        <v>136.69999999999999</v>
      </c>
      <c r="G837" s="767">
        <v>0</v>
      </c>
      <c r="H837" s="767">
        <v>136.69999999999999</v>
      </c>
      <c r="I837" s="768" t="s">
        <v>1493</v>
      </c>
    </row>
    <row r="838" spans="1:9" x14ac:dyDescent="0.25">
      <c r="A838" s="753"/>
      <c r="C838" s="131" t="s">
        <v>250</v>
      </c>
      <c r="D838" s="131">
        <v>16</v>
      </c>
      <c r="E838" s="131" t="s">
        <v>250</v>
      </c>
      <c r="F838" s="767">
        <v>-8792.64</v>
      </c>
      <c r="G838" s="767">
        <v>-2450.0300000000002</v>
      </c>
      <c r="H838" s="767">
        <v>-11242.67</v>
      </c>
      <c r="I838" s="768" t="s">
        <v>1509</v>
      </c>
    </row>
    <row r="839" spans="1:9" x14ac:dyDescent="0.25">
      <c r="A839" s="753"/>
      <c r="C839" s="131" t="s">
        <v>1003</v>
      </c>
      <c r="D839" s="131">
        <v>16</v>
      </c>
      <c r="E839" s="131" t="s">
        <v>1003</v>
      </c>
      <c r="F839" s="767">
        <v>6066.48</v>
      </c>
      <c r="G839" s="767">
        <v>1702.93</v>
      </c>
      <c r="H839" s="767">
        <v>7769.41</v>
      </c>
      <c r="I839" s="768" t="s">
        <v>1510</v>
      </c>
    </row>
    <row r="840" spans="1:9" x14ac:dyDescent="0.25">
      <c r="A840" s="753"/>
      <c r="C840" s="131" t="s">
        <v>249</v>
      </c>
      <c r="D840" s="131">
        <v>16</v>
      </c>
      <c r="E840" s="131" t="s">
        <v>249</v>
      </c>
      <c r="F840" s="767">
        <v>-91941.16</v>
      </c>
      <c r="G840" s="767">
        <v>-4351.46</v>
      </c>
      <c r="H840" s="767">
        <v>-96292.62</v>
      </c>
      <c r="I840" s="768" t="s">
        <v>1500</v>
      </c>
    </row>
    <row r="841" spans="1:9" x14ac:dyDescent="0.25">
      <c r="A841" s="753"/>
      <c r="C841" s="131" t="s">
        <v>997</v>
      </c>
      <c r="D841" s="131">
        <v>16</v>
      </c>
      <c r="E841" s="131" t="s">
        <v>997</v>
      </c>
      <c r="F841" s="767">
        <v>65356.25</v>
      </c>
      <c r="G841" s="767">
        <v>3108.01</v>
      </c>
      <c r="H841" s="767">
        <v>68464.259999999995</v>
      </c>
      <c r="I841" s="768" t="s">
        <v>1501</v>
      </c>
    </row>
    <row r="842" spans="1:9" x14ac:dyDescent="0.25">
      <c r="A842" s="753">
        <v>905718</v>
      </c>
      <c r="B842" s="130">
        <v>364</v>
      </c>
      <c r="E842" s="131"/>
    </row>
    <row r="843" spans="1:9" x14ac:dyDescent="0.25">
      <c r="A843" s="753">
        <v>905722</v>
      </c>
      <c r="B843" s="130">
        <v>149</v>
      </c>
      <c r="E843" s="131"/>
    </row>
    <row r="844" spans="1:9" x14ac:dyDescent="0.25">
      <c r="A844" s="753">
        <v>905724</v>
      </c>
      <c r="B844" s="130">
        <v>135471</v>
      </c>
      <c r="E844" s="131"/>
    </row>
    <row r="845" spans="1:9" x14ac:dyDescent="0.25">
      <c r="A845" s="753">
        <v>905726</v>
      </c>
      <c r="B845" s="130">
        <v>42575</v>
      </c>
      <c r="C845" s="131" t="s">
        <v>246</v>
      </c>
      <c r="D845" s="131">
        <v>16</v>
      </c>
      <c r="E845" s="131" t="s">
        <v>246</v>
      </c>
      <c r="F845" s="767">
        <v>-20320.09</v>
      </c>
      <c r="G845" s="767">
        <v>-4659.7299999999996</v>
      </c>
      <c r="H845" s="767">
        <v>-24979.82</v>
      </c>
      <c r="I845" s="768" t="s">
        <v>1474</v>
      </c>
    </row>
    <row r="846" spans="1:9" x14ac:dyDescent="0.25">
      <c r="A846" s="753"/>
      <c r="C846" s="131" t="s">
        <v>980</v>
      </c>
      <c r="D846" s="131">
        <v>16</v>
      </c>
      <c r="E846" s="131" t="s">
        <v>980</v>
      </c>
      <c r="F846" s="767">
        <v>12187.51</v>
      </c>
      <c r="G846" s="767">
        <v>2375.86</v>
      </c>
      <c r="H846" s="767">
        <v>14563.37</v>
      </c>
      <c r="I846" s="768" t="s">
        <v>1475</v>
      </c>
    </row>
    <row r="847" spans="1:9" x14ac:dyDescent="0.25">
      <c r="A847" s="753"/>
      <c r="C847" s="131" t="s">
        <v>247</v>
      </c>
      <c r="D847" s="131">
        <v>16</v>
      </c>
      <c r="E847" s="131" t="s">
        <v>247</v>
      </c>
      <c r="F847" s="767">
        <v>-1433.56</v>
      </c>
      <c r="G847" s="767">
        <v>-1314.44</v>
      </c>
      <c r="H847" s="767">
        <v>-2748</v>
      </c>
      <c r="I847" s="768" t="s">
        <v>1483</v>
      </c>
    </row>
    <row r="848" spans="1:9" x14ac:dyDescent="0.25">
      <c r="A848" s="753"/>
      <c r="C848" s="131" t="s">
        <v>986</v>
      </c>
      <c r="D848" s="131">
        <v>16</v>
      </c>
      <c r="E848" s="131" t="s">
        <v>986</v>
      </c>
      <c r="F848" s="767">
        <v>1023.99</v>
      </c>
      <c r="G848" s="767">
        <v>938.88</v>
      </c>
      <c r="H848" s="767">
        <v>1962.87</v>
      </c>
      <c r="I848" s="768" t="s">
        <v>1484</v>
      </c>
    </row>
    <row r="849" spans="1:9" x14ac:dyDescent="0.25">
      <c r="A849" s="753"/>
      <c r="C849" s="131" t="s">
        <v>248</v>
      </c>
      <c r="D849" s="131">
        <v>16</v>
      </c>
      <c r="E849" s="131" t="s">
        <v>248</v>
      </c>
      <c r="F849" s="767">
        <v>-206.7</v>
      </c>
      <c r="G849" s="767">
        <v>0</v>
      </c>
      <c r="H849" s="767">
        <v>-206.7</v>
      </c>
      <c r="I849" s="768" t="s">
        <v>1492</v>
      </c>
    </row>
    <row r="850" spans="1:9" x14ac:dyDescent="0.25">
      <c r="A850" s="753"/>
      <c r="C850" s="131" t="s">
        <v>992</v>
      </c>
      <c r="D850" s="131">
        <v>16</v>
      </c>
      <c r="E850" s="131" t="s">
        <v>992</v>
      </c>
      <c r="F850" s="767">
        <v>136.69999999999999</v>
      </c>
      <c r="G850" s="767">
        <v>0</v>
      </c>
      <c r="H850" s="767">
        <v>136.69999999999999</v>
      </c>
      <c r="I850" s="768" t="s">
        <v>1493</v>
      </c>
    </row>
    <row r="851" spans="1:9" x14ac:dyDescent="0.25">
      <c r="A851" s="753"/>
      <c r="C851" s="131" t="s">
        <v>250</v>
      </c>
      <c r="D851" s="131">
        <v>16</v>
      </c>
      <c r="E851" s="131" t="s">
        <v>250</v>
      </c>
      <c r="F851" s="767">
        <v>-8792.64</v>
      </c>
      <c r="G851" s="767">
        <v>-2450.0300000000002</v>
      </c>
      <c r="H851" s="767">
        <v>-11242.67</v>
      </c>
      <c r="I851" s="768" t="s">
        <v>1509</v>
      </c>
    </row>
    <row r="852" spans="1:9" x14ac:dyDescent="0.25">
      <c r="A852" s="753"/>
      <c r="C852" s="131" t="s">
        <v>1003</v>
      </c>
      <c r="D852" s="131">
        <v>16</v>
      </c>
      <c r="E852" s="131" t="s">
        <v>1003</v>
      </c>
      <c r="F852" s="767">
        <v>6066.48</v>
      </c>
      <c r="G852" s="767">
        <v>1702.93</v>
      </c>
      <c r="H852" s="767">
        <v>7769.41</v>
      </c>
      <c r="I852" s="768" t="s">
        <v>1510</v>
      </c>
    </row>
    <row r="853" spans="1:9" x14ac:dyDescent="0.25">
      <c r="A853" s="753"/>
      <c r="C853" s="131" t="s">
        <v>249</v>
      </c>
      <c r="D853" s="131">
        <v>16</v>
      </c>
      <c r="E853" s="131" t="s">
        <v>249</v>
      </c>
      <c r="F853" s="767">
        <v>-91941.16</v>
      </c>
      <c r="G853" s="767">
        <v>-4351.46</v>
      </c>
      <c r="H853" s="767">
        <v>-96292.62</v>
      </c>
      <c r="I853" s="768" t="s">
        <v>1500</v>
      </c>
    </row>
    <row r="854" spans="1:9" x14ac:dyDescent="0.25">
      <c r="A854" s="753"/>
      <c r="C854" s="131" t="s">
        <v>997</v>
      </c>
      <c r="D854" s="131">
        <v>16</v>
      </c>
      <c r="E854" s="131" t="s">
        <v>997</v>
      </c>
      <c r="F854" s="767">
        <v>65356.25</v>
      </c>
      <c r="G854" s="767">
        <v>3108.01</v>
      </c>
      <c r="H854" s="767">
        <v>68464.259999999995</v>
      </c>
      <c r="I854" s="768" t="s">
        <v>1501</v>
      </c>
    </row>
    <row r="855" spans="1:9" x14ac:dyDescent="0.25">
      <c r="A855" s="753">
        <v>905728</v>
      </c>
      <c r="B855" s="130">
        <v>314</v>
      </c>
      <c r="E855" s="131"/>
    </row>
    <row r="856" spans="1:9" x14ac:dyDescent="0.25">
      <c r="A856" s="753">
        <v>905812</v>
      </c>
      <c r="B856" s="130">
        <v>0</v>
      </c>
      <c r="E856" s="131"/>
    </row>
    <row r="857" spans="1:9" x14ac:dyDescent="0.25">
      <c r="A857" s="753">
        <v>905814</v>
      </c>
      <c r="B857" s="130">
        <v>0</v>
      </c>
      <c r="E857" s="131"/>
    </row>
    <row r="858" spans="1:9" x14ac:dyDescent="0.25">
      <c r="A858" s="753">
        <v>905816</v>
      </c>
      <c r="B858" s="130">
        <v>0</v>
      </c>
      <c r="E858" s="131"/>
    </row>
    <row r="859" spans="1:9" x14ac:dyDescent="0.25">
      <c r="A859" s="753">
        <v>905818</v>
      </c>
      <c r="B859" s="130">
        <v>0</v>
      </c>
      <c r="E859" s="131"/>
    </row>
    <row r="860" spans="1:9" x14ac:dyDescent="0.25">
      <c r="A860" s="753">
        <v>905822</v>
      </c>
      <c r="B860" s="130">
        <v>0</v>
      </c>
      <c r="E860" s="131"/>
    </row>
    <row r="861" spans="1:9" x14ac:dyDescent="0.25">
      <c r="A861" s="753">
        <v>905824</v>
      </c>
      <c r="B861" s="130">
        <v>0</v>
      </c>
      <c r="E861" s="131"/>
    </row>
    <row r="862" spans="1:9" x14ac:dyDescent="0.25">
      <c r="A862" s="753">
        <v>905826</v>
      </c>
      <c r="B862" s="130">
        <v>0</v>
      </c>
      <c r="E862" s="131"/>
    </row>
    <row r="863" spans="1:9" x14ac:dyDescent="0.25">
      <c r="A863" s="753">
        <v>905828</v>
      </c>
      <c r="B863" s="130">
        <v>0</v>
      </c>
      <c r="E863" s="131"/>
    </row>
    <row r="864" spans="1:9" x14ac:dyDescent="0.25">
      <c r="A864" s="753">
        <v>905912</v>
      </c>
      <c r="B864" s="130">
        <v>0</v>
      </c>
      <c r="E864" s="131"/>
    </row>
    <row r="865" spans="1:9" x14ac:dyDescent="0.25">
      <c r="A865" s="753">
        <v>905914</v>
      </c>
      <c r="B865" s="130">
        <v>0</v>
      </c>
      <c r="E865" s="131"/>
    </row>
    <row r="866" spans="1:9" x14ac:dyDescent="0.25">
      <c r="A866" s="753">
        <v>905916</v>
      </c>
      <c r="B866" s="130">
        <v>0</v>
      </c>
      <c r="E866" s="131"/>
    </row>
    <row r="867" spans="1:9" x14ac:dyDescent="0.25">
      <c r="A867" s="753">
        <v>905918</v>
      </c>
      <c r="B867" s="130">
        <v>0</v>
      </c>
      <c r="E867" s="131"/>
    </row>
    <row r="868" spans="1:9" x14ac:dyDescent="0.25">
      <c r="A868" s="753">
        <v>905922</v>
      </c>
      <c r="B868" s="130">
        <v>0</v>
      </c>
      <c r="E868" s="131"/>
    </row>
    <row r="869" spans="1:9" x14ac:dyDescent="0.25">
      <c r="A869" s="753">
        <v>905924</v>
      </c>
      <c r="B869" s="130">
        <v>0</v>
      </c>
      <c r="E869" s="131"/>
    </row>
    <row r="870" spans="1:9" x14ac:dyDescent="0.25">
      <c r="A870" s="753">
        <v>905926</v>
      </c>
      <c r="B870" s="130">
        <v>0</v>
      </c>
      <c r="E870" s="131"/>
    </row>
    <row r="871" spans="1:9" x14ac:dyDescent="0.25">
      <c r="A871" s="753">
        <v>905928</v>
      </c>
      <c r="B871" s="130">
        <v>0</v>
      </c>
      <c r="E871" s="131"/>
    </row>
    <row r="872" spans="1:9" x14ac:dyDescent="0.25">
      <c r="A872" s="753">
        <v>906112</v>
      </c>
      <c r="B872" s="130">
        <v>12</v>
      </c>
      <c r="C872" s="131" t="s">
        <v>1020</v>
      </c>
      <c r="D872" s="131">
        <v>16</v>
      </c>
      <c r="E872" s="131" t="s">
        <v>1020</v>
      </c>
      <c r="F872" s="767">
        <v>-0.63</v>
      </c>
      <c r="G872" s="767">
        <v>-0.12</v>
      </c>
      <c r="H872" s="767">
        <v>-0.75</v>
      </c>
      <c r="I872" s="768" t="s">
        <v>1535</v>
      </c>
    </row>
    <row r="873" spans="1:9" x14ac:dyDescent="0.25">
      <c r="A873" s="753">
        <v>906114</v>
      </c>
      <c r="B873" s="130">
        <v>6515</v>
      </c>
      <c r="C873" s="131">
        <v>493</v>
      </c>
      <c r="D873" s="131">
        <v>16</v>
      </c>
      <c r="E873" s="131">
        <v>493</v>
      </c>
      <c r="F873" s="767">
        <v>-18241.849999999999</v>
      </c>
      <c r="G873" s="767">
        <v>-6515.27</v>
      </c>
      <c r="H873" s="767">
        <v>-24757.119999999999</v>
      </c>
      <c r="I873" s="768" t="s">
        <v>1536</v>
      </c>
    </row>
    <row r="874" spans="1:9" x14ac:dyDescent="0.25">
      <c r="A874" s="753">
        <v>906116</v>
      </c>
      <c r="B874" s="130">
        <v>689</v>
      </c>
      <c r="C874" s="131">
        <v>493</v>
      </c>
      <c r="D874" s="131">
        <v>16</v>
      </c>
      <c r="E874" s="131">
        <v>493</v>
      </c>
      <c r="F874" s="767">
        <v>-18241.849999999999</v>
      </c>
      <c r="G874" s="767">
        <v>-6515.27</v>
      </c>
      <c r="H874" s="767">
        <v>-24757.119999999999</v>
      </c>
      <c r="I874" s="768" t="s">
        <v>1536</v>
      </c>
    </row>
    <row r="875" spans="1:9" x14ac:dyDescent="0.25">
      <c r="A875" s="753"/>
      <c r="C875" s="131">
        <v>693</v>
      </c>
      <c r="D875" s="131">
        <v>16</v>
      </c>
      <c r="E875" s="131">
        <v>693</v>
      </c>
      <c r="F875" s="767">
        <v>15457.66</v>
      </c>
      <c r="G875" s="767">
        <v>5826.33</v>
      </c>
      <c r="H875" s="767">
        <v>21283.99</v>
      </c>
      <c r="I875" s="768" t="s">
        <v>1537</v>
      </c>
    </row>
    <row r="876" spans="1:9" x14ac:dyDescent="0.25">
      <c r="A876" s="753">
        <v>906118</v>
      </c>
      <c r="B876" s="130">
        <v>106</v>
      </c>
      <c r="E876" s="131"/>
    </row>
    <row r="877" spans="1:9" x14ac:dyDescent="0.25">
      <c r="A877" s="753">
        <v>906122</v>
      </c>
      <c r="B877" s="130">
        <v>75</v>
      </c>
      <c r="C877" s="131" t="s">
        <v>1020</v>
      </c>
      <c r="D877" s="131">
        <v>16</v>
      </c>
      <c r="E877" s="131" t="s">
        <v>1020</v>
      </c>
      <c r="F877" s="767">
        <v>-0.63</v>
      </c>
      <c r="G877" s="767">
        <v>-0.12</v>
      </c>
      <c r="H877" s="767">
        <v>-0.75</v>
      </c>
      <c r="I877" s="768" t="s">
        <v>1535</v>
      </c>
    </row>
    <row r="878" spans="1:9" x14ac:dyDescent="0.25">
      <c r="A878" s="753">
        <v>906124</v>
      </c>
      <c r="B878" s="130">
        <v>24757</v>
      </c>
      <c r="C878" s="131">
        <v>493</v>
      </c>
      <c r="D878" s="131">
        <v>16</v>
      </c>
      <c r="E878" s="131">
        <v>493</v>
      </c>
      <c r="F878" s="767">
        <v>-18241.849999999999</v>
      </c>
      <c r="G878" s="767">
        <v>-6515.27</v>
      </c>
      <c r="H878" s="767">
        <v>-24757.119999999999</v>
      </c>
      <c r="I878" s="768" t="s">
        <v>1536</v>
      </c>
    </row>
    <row r="879" spans="1:9" x14ac:dyDescent="0.25">
      <c r="A879" s="753">
        <v>906126</v>
      </c>
      <c r="B879" s="130">
        <v>3473</v>
      </c>
      <c r="C879" s="131">
        <v>493</v>
      </c>
      <c r="D879" s="131">
        <v>16</v>
      </c>
      <c r="E879" s="131">
        <v>493</v>
      </c>
      <c r="F879" s="767">
        <v>-18241.849999999999</v>
      </c>
      <c r="G879" s="767">
        <v>-6515.27</v>
      </c>
      <c r="H879" s="767">
        <v>-24757.119999999999</v>
      </c>
      <c r="I879" s="768" t="s">
        <v>1536</v>
      </c>
    </row>
    <row r="880" spans="1:9" x14ac:dyDescent="0.25">
      <c r="A880" s="753"/>
      <c r="C880" s="131">
        <v>693</v>
      </c>
      <c r="D880" s="131">
        <v>16</v>
      </c>
      <c r="E880" s="131">
        <v>693</v>
      </c>
      <c r="F880" s="767">
        <v>15457.66</v>
      </c>
      <c r="G880" s="767">
        <v>5826.33</v>
      </c>
      <c r="H880" s="767">
        <v>21283.99</v>
      </c>
      <c r="I880" s="768" t="s">
        <v>1537</v>
      </c>
    </row>
    <row r="881" spans="1:5" x14ac:dyDescent="0.25">
      <c r="A881" s="753">
        <v>906128</v>
      </c>
      <c r="B881" s="130">
        <v>140</v>
      </c>
      <c r="E881" s="131"/>
    </row>
    <row r="882" spans="1:5" x14ac:dyDescent="0.25">
      <c r="A882" s="753">
        <v>906212</v>
      </c>
      <c r="B882" s="130">
        <v>0</v>
      </c>
      <c r="E882" s="131"/>
    </row>
    <row r="883" spans="1:5" x14ac:dyDescent="0.25">
      <c r="A883" s="753">
        <v>906214</v>
      </c>
      <c r="B883" s="130">
        <v>0</v>
      </c>
      <c r="E883" s="131"/>
    </row>
    <row r="884" spans="1:5" x14ac:dyDescent="0.25">
      <c r="A884" s="753">
        <v>906216</v>
      </c>
      <c r="B884" s="130">
        <v>0</v>
      </c>
      <c r="E884" s="131"/>
    </row>
    <row r="885" spans="1:5" x14ac:dyDescent="0.25">
      <c r="A885" s="753">
        <v>906218</v>
      </c>
      <c r="B885" s="130">
        <v>0</v>
      </c>
      <c r="E885" s="131"/>
    </row>
    <row r="886" spans="1:5" x14ac:dyDescent="0.25">
      <c r="A886" s="753">
        <v>906222</v>
      </c>
      <c r="B886" s="130">
        <v>0</v>
      </c>
      <c r="E886" s="131"/>
    </row>
    <row r="887" spans="1:5" x14ac:dyDescent="0.25">
      <c r="A887" s="753">
        <v>906224</v>
      </c>
      <c r="B887" s="130">
        <v>0</v>
      </c>
      <c r="E887" s="131"/>
    </row>
    <row r="888" spans="1:5" x14ac:dyDescent="0.25">
      <c r="A888" s="753">
        <v>906226</v>
      </c>
      <c r="B888" s="130">
        <v>0</v>
      </c>
      <c r="E888" s="131"/>
    </row>
    <row r="889" spans="1:5" x14ac:dyDescent="0.25">
      <c r="A889" s="753">
        <v>906228</v>
      </c>
      <c r="B889" s="130">
        <v>0</v>
      </c>
      <c r="E889" s="131"/>
    </row>
    <row r="890" spans="1:5" x14ac:dyDescent="0.25">
      <c r="A890" s="753">
        <v>906316</v>
      </c>
      <c r="B890" s="130">
        <v>0</v>
      </c>
      <c r="E890" s="131"/>
    </row>
    <row r="891" spans="1:5" x14ac:dyDescent="0.25">
      <c r="A891" s="753">
        <v>906326</v>
      </c>
      <c r="B891" s="130">
        <v>0</v>
      </c>
      <c r="E891" s="131"/>
    </row>
    <row r="892" spans="1:5" x14ac:dyDescent="0.25">
      <c r="A892" s="753">
        <v>906414</v>
      </c>
      <c r="B892" s="130">
        <v>0</v>
      </c>
      <c r="E892" s="131"/>
    </row>
    <row r="893" spans="1:5" x14ac:dyDescent="0.25">
      <c r="A893" s="753">
        <v>906416</v>
      </c>
      <c r="B893" s="130">
        <v>0</v>
      </c>
      <c r="E893" s="131"/>
    </row>
    <row r="894" spans="1:5" x14ac:dyDescent="0.25">
      <c r="A894" s="753">
        <v>906418</v>
      </c>
      <c r="B894" s="130">
        <v>0</v>
      </c>
      <c r="E894" s="131"/>
    </row>
    <row r="895" spans="1:5" x14ac:dyDescent="0.25">
      <c r="A895" s="753">
        <v>906424</v>
      </c>
      <c r="B895" s="130">
        <v>0</v>
      </c>
      <c r="E895" s="131"/>
    </row>
    <row r="896" spans="1:5" x14ac:dyDescent="0.25">
      <c r="A896" s="753">
        <v>906426</v>
      </c>
      <c r="B896" s="130">
        <v>0</v>
      </c>
      <c r="E896" s="131"/>
    </row>
    <row r="897" spans="1:9" x14ac:dyDescent="0.25">
      <c r="A897" s="753">
        <v>906428</v>
      </c>
      <c r="B897" s="130">
        <v>0</v>
      </c>
      <c r="E897" s="131"/>
    </row>
    <row r="898" spans="1:9" x14ac:dyDescent="0.25">
      <c r="A898" s="753">
        <v>906514</v>
      </c>
      <c r="B898" s="130">
        <v>0</v>
      </c>
      <c r="E898" s="131"/>
    </row>
    <row r="899" spans="1:9" x14ac:dyDescent="0.25">
      <c r="A899" s="753">
        <v>906516</v>
      </c>
      <c r="B899" s="130">
        <v>0</v>
      </c>
      <c r="E899" s="131"/>
    </row>
    <row r="900" spans="1:9" x14ac:dyDescent="0.25">
      <c r="A900" s="753">
        <v>906518</v>
      </c>
      <c r="B900" s="130">
        <v>0</v>
      </c>
      <c r="E900" s="131"/>
    </row>
    <row r="901" spans="1:9" x14ac:dyDescent="0.25">
      <c r="A901" s="753">
        <v>906524</v>
      </c>
      <c r="B901" s="130">
        <v>0</v>
      </c>
      <c r="E901" s="131"/>
    </row>
    <row r="902" spans="1:9" x14ac:dyDescent="0.25">
      <c r="A902" s="753">
        <v>906526</v>
      </c>
      <c r="B902" s="130">
        <v>0</v>
      </c>
      <c r="E902" s="131"/>
    </row>
    <row r="903" spans="1:9" x14ac:dyDescent="0.25">
      <c r="A903" s="753">
        <v>906528</v>
      </c>
      <c r="B903" s="130">
        <v>0</v>
      </c>
      <c r="E903" s="131"/>
    </row>
    <row r="904" spans="1:9" x14ac:dyDescent="0.25">
      <c r="A904" s="753">
        <v>906612</v>
      </c>
      <c r="B904" s="130">
        <v>12</v>
      </c>
      <c r="E904" s="131"/>
    </row>
    <row r="905" spans="1:9" x14ac:dyDescent="0.25">
      <c r="A905" s="753">
        <v>906614</v>
      </c>
      <c r="B905" s="130">
        <v>6515</v>
      </c>
      <c r="E905" s="131"/>
    </row>
    <row r="906" spans="1:9" x14ac:dyDescent="0.25">
      <c r="A906" s="753">
        <v>906616</v>
      </c>
      <c r="B906" s="130">
        <v>689</v>
      </c>
      <c r="C906" s="131">
        <v>493</v>
      </c>
      <c r="D906" s="131">
        <v>16</v>
      </c>
      <c r="E906" s="131">
        <v>493</v>
      </c>
      <c r="F906" s="767">
        <v>-18241.849999999999</v>
      </c>
      <c r="G906" s="767">
        <v>-6515.27</v>
      </c>
      <c r="H906" s="767">
        <v>-24757.119999999999</v>
      </c>
      <c r="I906" s="768" t="s">
        <v>1536</v>
      </c>
    </row>
    <row r="907" spans="1:9" x14ac:dyDescent="0.25">
      <c r="A907" s="753"/>
      <c r="C907" s="131">
        <v>693</v>
      </c>
      <c r="D907" s="131">
        <v>16</v>
      </c>
      <c r="E907" s="131">
        <v>693</v>
      </c>
      <c r="F907" s="767">
        <v>15457.66</v>
      </c>
      <c r="G907" s="767">
        <v>5826.33</v>
      </c>
      <c r="H907" s="767">
        <v>21283.99</v>
      </c>
      <c r="I907" s="768" t="s">
        <v>1537</v>
      </c>
    </row>
    <row r="908" spans="1:9" x14ac:dyDescent="0.25">
      <c r="A908" s="753">
        <v>906618</v>
      </c>
      <c r="B908" s="130">
        <v>106</v>
      </c>
      <c r="E908" s="131"/>
    </row>
    <row r="909" spans="1:9" x14ac:dyDescent="0.25">
      <c r="A909" s="753">
        <v>906622</v>
      </c>
      <c r="B909" s="130">
        <v>75</v>
      </c>
      <c r="E909" s="131"/>
    </row>
    <row r="910" spans="1:9" x14ac:dyDescent="0.25">
      <c r="A910" s="753">
        <v>906624</v>
      </c>
      <c r="B910" s="130">
        <v>24757</v>
      </c>
      <c r="E910" s="131"/>
    </row>
    <row r="911" spans="1:9" x14ac:dyDescent="0.25">
      <c r="A911" s="753">
        <v>906626</v>
      </c>
      <c r="B911" s="130">
        <v>3473</v>
      </c>
      <c r="C911" s="131">
        <v>493</v>
      </c>
      <c r="D911" s="131">
        <v>16</v>
      </c>
      <c r="E911" s="131">
        <v>493</v>
      </c>
      <c r="F911" s="767">
        <v>-18241.849999999999</v>
      </c>
      <c r="G911" s="767">
        <v>-6515.27</v>
      </c>
      <c r="H911" s="767">
        <v>-24757.119999999999</v>
      </c>
      <c r="I911" s="768" t="s">
        <v>1536</v>
      </c>
    </row>
    <row r="912" spans="1:9" x14ac:dyDescent="0.25">
      <c r="A912" s="753"/>
      <c r="C912" s="131">
        <v>693</v>
      </c>
      <c r="D912" s="131">
        <v>16</v>
      </c>
      <c r="E912" s="131">
        <v>693</v>
      </c>
      <c r="F912" s="767">
        <v>15457.66</v>
      </c>
      <c r="G912" s="767">
        <v>5826.33</v>
      </c>
      <c r="H912" s="767">
        <v>21283.99</v>
      </c>
      <c r="I912" s="768" t="s">
        <v>1537</v>
      </c>
    </row>
    <row r="913" spans="1:9" x14ac:dyDescent="0.25">
      <c r="A913" s="753">
        <v>906628</v>
      </c>
      <c r="B913" s="130">
        <v>140</v>
      </c>
      <c r="E913" s="131"/>
    </row>
    <row r="914" spans="1:9" x14ac:dyDescent="0.25">
      <c r="A914" s="753">
        <v>800112</v>
      </c>
      <c r="B914" s="130">
        <v>111</v>
      </c>
      <c r="C914" s="131" t="s">
        <v>1021</v>
      </c>
      <c r="D914" s="131">
        <v>16</v>
      </c>
      <c r="E914" s="131" t="s">
        <v>1021</v>
      </c>
      <c r="F914" s="767">
        <v>-6.33</v>
      </c>
      <c r="G914" s="767">
        <v>-1.1100000000000001</v>
      </c>
      <c r="H914" s="767">
        <v>-7.44</v>
      </c>
      <c r="I914" s="768" t="s">
        <v>1538</v>
      </c>
    </row>
    <row r="915" spans="1:9" x14ac:dyDescent="0.25">
      <c r="A915" s="753">
        <v>800114</v>
      </c>
      <c r="B915" s="130">
        <v>30673</v>
      </c>
      <c r="C915" s="131" t="s">
        <v>180</v>
      </c>
      <c r="D915" s="131">
        <v>16</v>
      </c>
      <c r="E915" s="131" t="s">
        <v>180</v>
      </c>
      <c r="F915" s="767">
        <v>-223158.6</v>
      </c>
      <c r="G915" s="767">
        <v>-30673.15</v>
      </c>
      <c r="H915" s="767">
        <v>-253831.75</v>
      </c>
      <c r="I915" s="768" t="s">
        <v>1539</v>
      </c>
    </row>
    <row r="916" spans="1:9" x14ac:dyDescent="0.25">
      <c r="A916" s="753">
        <v>800116</v>
      </c>
      <c r="B916" s="130">
        <v>23999</v>
      </c>
      <c r="C916" s="131" t="s">
        <v>180</v>
      </c>
      <c r="D916" s="131">
        <v>16</v>
      </c>
      <c r="E916" s="131" t="s">
        <v>180</v>
      </c>
      <c r="F916" s="767">
        <v>-223158.6</v>
      </c>
      <c r="G916" s="767">
        <v>-30673.15</v>
      </c>
      <c r="H916" s="767">
        <v>-253831.75</v>
      </c>
      <c r="I916" s="768" t="s">
        <v>1539</v>
      </c>
    </row>
    <row r="917" spans="1:9" x14ac:dyDescent="0.25">
      <c r="A917" s="753"/>
      <c r="C917" s="131" t="s">
        <v>1022</v>
      </c>
      <c r="D917" s="131">
        <v>16</v>
      </c>
      <c r="E917" s="131" t="s">
        <v>1022</v>
      </c>
      <c r="F917" s="767">
        <v>47986.87</v>
      </c>
      <c r="G917" s="767">
        <v>6673.84</v>
      </c>
      <c r="H917" s="767">
        <v>54660.71</v>
      </c>
      <c r="I917" s="768" t="s">
        <v>1540</v>
      </c>
    </row>
    <row r="918" spans="1:9" x14ac:dyDescent="0.25">
      <c r="A918" s="753">
        <v>800118</v>
      </c>
      <c r="B918" s="130">
        <v>782</v>
      </c>
      <c r="E918" s="131"/>
    </row>
    <row r="919" spans="1:9" x14ac:dyDescent="0.25">
      <c r="A919" s="753">
        <v>800122</v>
      </c>
      <c r="B919" s="130">
        <v>744</v>
      </c>
      <c r="C919" s="131" t="s">
        <v>1021</v>
      </c>
      <c r="D919" s="131">
        <v>16</v>
      </c>
      <c r="E919" s="131" t="s">
        <v>1021</v>
      </c>
      <c r="F919" s="767">
        <v>-6.33</v>
      </c>
      <c r="G919" s="767">
        <v>-1.1100000000000001</v>
      </c>
      <c r="H919" s="767">
        <v>-7.44</v>
      </c>
      <c r="I919" s="768" t="s">
        <v>1538</v>
      </c>
    </row>
    <row r="920" spans="1:9" x14ac:dyDescent="0.25">
      <c r="A920" s="753">
        <v>800124</v>
      </c>
      <c r="B920" s="130">
        <v>253832</v>
      </c>
      <c r="C920" s="131" t="s">
        <v>180</v>
      </c>
      <c r="D920" s="131">
        <v>16</v>
      </c>
      <c r="E920" s="131" t="s">
        <v>180</v>
      </c>
      <c r="F920" s="767">
        <v>-223158.6</v>
      </c>
      <c r="G920" s="767">
        <v>-30673.15</v>
      </c>
      <c r="H920" s="767">
        <v>-253831.75</v>
      </c>
      <c r="I920" s="768" t="s">
        <v>1539</v>
      </c>
    </row>
    <row r="921" spans="1:9" x14ac:dyDescent="0.25">
      <c r="A921" s="753">
        <v>800126</v>
      </c>
      <c r="B921" s="130">
        <v>199171</v>
      </c>
      <c r="C921" s="131" t="s">
        <v>180</v>
      </c>
      <c r="D921" s="131">
        <v>16</v>
      </c>
      <c r="E921" s="131" t="s">
        <v>180</v>
      </c>
      <c r="F921" s="767">
        <v>-223158.6</v>
      </c>
      <c r="G921" s="767">
        <v>-30673.15</v>
      </c>
      <c r="H921" s="767">
        <v>-253831.75</v>
      </c>
      <c r="I921" s="768" t="s">
        <v>1539</v>
      </c>
    </row>
    <row r="922" spans="1:9" x14ac:dyDescent="0.25">
      <c r="A922" s="753"/>
      <c r="C922" s="131" t="s">
        <v>1022</v>
      </c>
      <c r="D922" s="131">
        <v>16</v>
      </c>
      <c r="E922" s="131" t="s">
        <v>1022</v>
      </c>
      <c r="F922" s="767">
        <v>47986.87</v>
      </c>
      <c r="G922" s="767">
        <v>6673.84</v>
      </c>
      <c r="H922" s="767">
        <v>54660.71</v>
      </c>
      <c r="I922" s="768" t="s">
        <v>1540</v>
      </c>
    </row>
    <row r="923" spans="1:9" x14ac:dyDescent="0.25">
      <c r="A923" s="753">
        <v>800128</v>
      </c>
      <c r="B923" s="130">
        <v>785</v>
      </c>
      <c r="E923" s="131"/>
    </row>
    <row r="924" spans="1:9" x14ac:dyDescent="0.25">
      <c r="A924" s="753">
        <v>800212</v>
      </c>
      <c r="B924" s="130">
        <v>185</v>
      </c>
      <c r="C924" s="131" t="s">
        <v>1023</v>
      </c>
      <c r="D924" s="131">
        <v>16</v>
      </c>
      <c r="E924" s="131" t="s">
        <v>1023</v>
      </c>
      <c r="F924" s="767">
        <v>-7.96</v>
      </c>
      <c r="G924" s="767">
        <v>-1.85</v>
      </c>
      <c r="H924" s="767">
        <v>-9.81</v>
      </c>
      <c r="I924" s="768" t="s">
        <v>1541</v>
      </c>
    </row>
    <row r="925" spans="1:9" x14ac:dyDescent="0.25">
      <c r="A925" s="753">
        <v>800214</v>
      </c>
      <c r="B925" s="130">
        <v>49974</v>
      </c>
      <c r="C925" s="131" t="s">
        <v>181</v>
      </c>
      <c r="D925" s="131">
        <v>16</v>
      </c>
      <c r="E925" s="131" t="s">
        <v>181</v>
      </c>
      <c r="F925" s="767">
        <v>-249129.49</v>
      </c>
      <c r="G925" s="767">
        <v>-49974.2</v>
      </c>
      <c r="H925" s="767">
        <v>-299103.69</v>
      </c>
      <c r="I925" s="768" t="s">
        <v>1542</v>
      </c>
    </row>
    <row r="926" spans="1:9" x14ac:dyDescent="0.25">
      <c r="A926" s="753">
        <v>800216</v>
      </c>
      <c r="B926" s="130">
        <v>40218</v>
      </c>
      <c r="C926" s="131" t="s">
        <v>181</v>
      </c>
      <c r="D926" s="131">
        <v>16</v>
      </c>
      <c r="E926" s="131" t="s">
        <v>181</v>
      </c>
      <c r="F926" s="767">
        <v>-249129.49</v>
      </c>
      <c r="G926" s="767">
        <v>-49974.2</v>
      </c>
      <c r="H926" s="767">
        <v>-299103.69</v>
      </c>
      <c r="I926" s="768" t="s">
        <v>1542</v>
      </c>
    </row>
    <row r="927" spans="1:9" x14ac:dyDescent="0.25">
      <c r="A927" s="753"/>
      <c r="C927" s="131" t="s">
        <v>1024</v>
      </c>
      <c r="D927" s="131">
        <v>16</v>
      </c>
      <c r="E927" s="131" t="s">
        <v>1024</v>
      </c>
      <c r="F927" s="767">
        <v>51261.2</v>
      </c>
      <c r="G927" s="767">
        <v>9755.92</v>
      </c>
      <c r="H927" s="767">
        <v>61017.120000000003</v>
      </c>
      <c r="I927" s="768" t="s">
        <v>1543</v>
      </c>
    </row>
    <row r="928" spans="1:9" x14ac:dyDescent="0.25">
      <c r="A928" s="753">
        <v>800218</v>
      </c>
      <c r="B928" s="130">
        <v>805</v>
      </c>
      <c r="E928" s="131"/>
    </row>
    <row r="929" spans="1:9" x14ac:dyDescent="0.25">
      <c r="A929" s="753">
        <v>800222</v>
      </c>
      <c r="B929" s="130">
        <v>981</v>
      </c>
      <c r="C929" s="131" t="s">
        <v>1023</v>
      </c>
      <c r="D929" s="131">
        <v>16</v>
      </c>
      <c r="E929" s="131" t="s">
        <v>1023</v>
      </c>
      <c r="F929" s="767">
        <v>-7.96</v>
      </c>
      <c r="G929" s="767">
        <v>-1.85</v>
      </c>
      <c r="H929" s="767">
        <v>-9.81</v>
      </c>
      <c r="I929" s="768" t="s">
        <v>1541</v>
      </c>
    </row>
    <row r="930" spans="1:9" x14ac:dyDescent="0.25">
      <c r="A930" s="753">
        <v>800224</v>
      </c>
      <c r="B930" s="130">
        <v>299104</v>
      </c>
      <c r="C930" s="131" t="s">
        <v>181</v>
      </c>
      <c r="D930" s="131">
        <v>16</v>
      </c>
      <c r="E930" s="131" t="s">
        <v>181</v>
      </c>
      <c r="F930" s="767">
        <v>-249129.49</v>
      </c>
      <c r="G930" s="767">
        <v>-49974.2</v>
      </c>
      <c r="H930" s="767">
        <v>-299103.69</v>
      </c>
      <c r="I930" s="768" t="s">
        <v>1542</v>
      </c>
    </row>
    <row r="931" spans="1:9" x14ac:dyDescent="0.25">
      <c r="A931" s="753">
        <v>800226</v>
      </c>
      <c r="B931" s="130">
        <v>238087</v>
      </c>
      <c r="C931" s="131" t="s">
        <v>181</v>
      </c>
      <c r="D931" s="131">
        <v>16</v>
      </c>
      <c r="E931" s="131" t="s">
        <v>181</v>
      </c>
      <c r="F931" s="767">
        <v>-249129.49</v>
      </c>
      <c r="G931" s="767">
        <v>-49974.2</v>
      </c>
      <c r="H931" s="767">
        <v>-299103.69</v>
      </c>
      <c r="I931" s="768" t="s">
        <v>1542</v>
      </c>
    </row>
    <row r="932" spans="1:9" x14ac:dyDescent="0.25">
      <c r="A932" s="753"/>
      <c r="C932" s="131" t="s">
        <v>1024</v>
      </c>
      <c r="D932" s="131">
        <v>16</v>
      </c>
      <c r="E932" s="131" t="s">
        <v>1024</v>
      </c>
      <c r="F932" s="767">
        <v>51261.2</v>
      </c>
      <c r="G932" s="767">
        <v>9755.92</v>
      </c>
      <c r="H932" s="767">
        <v>61017.120000000003</v>
      </c>
      <c r="I932" s="768" t="s">
        <v>1543</v>
      </c>
    </row>
    <row r="933" spans="1:9" x14ac:dyDescent="0.25">
      <c r="A933" s="753">
        <v>800228</v>
      </c>
      <c r="B933" s="130">
        <v>796</v>
      </c>
      <c r="E933" s="131"/>
    </row>
    <row r="934" spans="1:9" x14ac:dyDescent="0.25">
      <c r="A934" s="753">
        <v>800312</v>
      </c>
      <c r="B934" s="130">
        <v>34</v>
      </c>
      <c r="C934" s="131" t="s">
        <v>1025</v>
      </c>
      <c r="D934" s="131">
        <v>16</v>
      </c>
      <c r="E934" s="131" t="s">
        <v>1025</v>
      </c>
      <c r="F934" s="767">
        <v>-1.04</v>
      </c>
      <c r="G934" s="767">
        <v>-0.34</v>
      </c>
      <c r="H934" s="767">
        <v>-1.38</v>
      </c>
      <c r="I934" s="768" t="s">
        <v>1544</v>
      </c>
    </row>
    <row r="935" spans="1:9" x14ac:dyDescent="0.25">
      <c r="A935" s="753">
        <v>800314</v>
      </c>
      <c r="B935" s="130">
        <v>8925</v>
      </c>
      <c r="C935" s="131" t="s">
        <v>240</v>
      </c>
      <c r="D935" s="131">
        <v>16</v>
      </c>
      <c r="E935" s="131" t="s">
        <v>240</v>
      </c>
      <c r="F935" s="767">
        <v>-24001.56</v>
      </c>
      <c r="G935" s="767">
        <v>-8925.3700000000008</v>
      </c>
      <c r="H935" s="767">
        <v>-32926.93</v>
      </c>
      <c r="I935" s="768" t="s">
        <v>1545</v>
      </c>
    </row>
    <row r="936" spans="1:9" x14ac:dyDescent="0.25">
      <c r="A936" s="753">
        <v>800316</v>
      </c>
      <c r="B936" s="130">
        <v>7259</v>
      </c>
      <c r="C936" s="131" t="s">
        <v>240</v>
      </c>
      <c r="D936" s="131">
        <v>16</v>
      </c>
      <c r="E936" s="131" t="s">
        <v>240</v>
      </c>
      <c r="F936" s="767">
        <v>-24001.56</v>
      </c>
      <c r="G936" s="767">
        <v>-8925.3700000000008</v>
      </c>
      <c r="H936" s="767">
        <v>-32926.93</v>
      </c>
      <c r="I936" s="768" t="s">
        <v>1545</v>
      </c>
    </row>
    <row r="937" spans="1:9" x14ac:dyDescent="0.25">
      <c r="A937" s="753"/>
      <c r="C937" s="131" t="s">
        <v>1026</v>
      </c>
      <c r="D937" s="131">
        <v>16</v>
      </c>
      <c r="E937" s="131" t="s">
        <v>1026</v>
      </c>
      <c r="F937" s="767">
        <v>4685.3999999999996</v>
      </c>
      <c r="G937" s="767">
        <v>1665.67</v>
      </c>
      <c r="H937" s="767">
        <v>6351.07</v>
      </c>
      <c r="I937" s="768" t="s">
        <v>1546</v>
      </c>
    </row>
    <row r="938" spans="1:9" x14ac:dyDescent="0.25">
      <c r="A938" s="753">
        <v>800318</v>
      </c>
      <c r="B938" s="130">
        <v>813</v>
      </c>
      <c r="E938" s="131"/>
    </row>
    <row r="939" spans="1:9" x14ac:dyDescent="0.25">
      <c r="A939" s="753">
        <v>800322</v>
      </c>
      <c r="B939" s="130">
        <v>138</v>
      </c>
      <c r="C939" s="131" t="s">
        <v>1025</v>
      </c>
      <c r="D939" s="131">
        <v>16</v>
      </c>
      <c r="E939" s="131" t="s">
        <v>1025</v>
      </c>
      <c r="F939" s="767">
        <v>-1.04</v>
      </c>
      <c r="G939" s="767">
        <v>-0.34</v>
      </c>
      <c r="H939" s="767">
        <v>-1.38</v>
      </c>
      <c r="I939" s="768" t="s">
        <v>1544</v>
      </c>
    </row>
    <row r="940" spans="1:9" x14ac:dyDescent="0.25">
      <c r="A940" s="753">
        <v>800324</v>
      </c>
      <c r="B940" s="130">
        <v>32927</v>
      </c>
      <c r="C940" s="131" t="s">
        <v>240</v>
      </c>
      <c r="D940" s="131">
        <v>16</v>
      </c>
      <c r="E940" s="131" t="s">
        <v>240</v>
      </c>
      <c r="F940" s="767">
        <v>-24001.56</v>
      </c>
      <c r="G940" s="767">
        <v>-8925.3700000000008</v>
      </c>
      <c r="H940" s="767">
        <v>-32926.93</v>
      </c>
      <c r="I940" s="768" t="s">
        <v>1545</v>
      </c>
    </row>
    <row r="941" spans="1:9" x14ac:dyDescent="0.25">
      <c r="A941" s="753">
        <v>800326</v>
      </c>
      <c r="B941" s="130">
        <v>26576</v>
      </c>
      <c r="C941" s="131" t="s">
        <v>240</v>
      </c>
      <c r="D941" s="131">
        <v>16</v>
      </c>
      <c r="E941" s="131" t="s">
        <v>240</v>
      </c>
      <c r="F941" s="767">
        <v>-24001.56</v>
      </c>
      <c r="G941" s="767">
        <v>-8925.3700000000008</v>
      </c>
      <c r="H941" s="767">
        <v>-32926.93</v>
      </c>
      <c r="I941" s="768" t="s">
        <v>1545</v>
      </c>
    </row>
    <row r="942" spans="1:9" x14ac:dyDescent="0.25">
      <c r="A942" s="753"/>
      <c r="C942" s="131" t="s">
        <v>1026</v>
      </c>
      <c r="D942" s="131">
        <v>16</v>
      </c>
      <c r="E942" s="131" t="s">
        <v>1026</v>
      </c>
      <c r="F942" s="767">
        <v>4685.3999999999996</v>
      </c>
      <c r="G942" s="767">
        <v>1665.67</v>
      </c>
      <c r="H942" s="767">
        <v>6351.07</v>
      </c>
      <c r="I942" s="768" t="s">
        <v>1546</v>
      </c>
    </row>
    <row r="943" spans="1:9" x14ac:dyDescent="0.25">
      <c r="A943" s="753">
        <v>800328</v>
      </c>
      <c r="B943" s="130">
        <v>807</v>
      </c>
      <c r="E943" s="131"/>
    </row>
    <row r="944" spans="1:9" x14ac:dyDescent="0.25">
      <c r="A944" s="753">
        <v>800412</v>
      </c>
      <c r="B944" s="130">
        <v>0</v>
      </c>
      <c r="E944" s="131"/>
    </row>
    <row r="945" spans="1:5" x14ac:dyDescent="0.25">
      <c r="A945" s="753">
        <v>800414</v>
      </c>
      <c r="B945" s="130">
        <v>0</v>
      </c>
      <c r="E945" s="131"/>
    </row>
    <row r="946" spans="1:5" x14ac:dyDescent="0.25">
      <c r="A946" s="753">
        <v>800416</v>
      </c>
      <c r="B946" s="130">
        <v>0</v>
      </c>
      <c r="E946" s="131"/>
    </row>
    <row r="947" spans="1:5" x14ac:dyDescent="0.25">
      <c r="A947" s="753">
        <v>800418</v>
      </c>
      <c r="B947" s="130">
        <v>0</v>
      </c>
      <c r="E947" s="131"/>
    </row>
    <row r="948" spans="1:5" x14ac:dyDescent="0.25">
      <c r="A948" s="753">
        <v>800422</v>
      </c>
      <c r="B948" s="130">
        <v>0</v>
      </c>
      <c r="E948" s="131"/>
    </row>
    <row r="949" spans="1:5" x14ac:dyDescent="0.25">
      <c r="A949" s="753">
        <v>800424</v>
      </c>
      <c r="B949" s="130">
        <v>0</v>
      </c>
      <c r="E949" s="131"/>
    </row>
    <row r="950" spans="1:5" x14ac:dyDescent="0.25">
      <c r="A950" s="753">
        <v>800426</v>
      </c>
      <c r="B950" s="130">
        <v>0</v>
      </c>
      <c r="E950" s="131"/>
    </row>
    <row r="951" spans="1:5" x14ac:dyDescent="0.25">
      <c r="A951" s="753">
        <v>800428</v>
      </c>
      <c r="B951" s="130">
        <v>0</v>
      </c>
      <c r="E951" s="131"/>
    </row>
    <row r="952" spans="1:5" x14ac:dyDescent="0.25">
      <c r="A952" s="753">
        <v>800512</v>
      </c>
      <c r="B952" s="130">
        <v>0</v>
      </c>
      <c r="E952" s="131"/>
    </row>
    <row r="953" spans="1:5" x14ac:dyDescent="0.25">
      <c r="A953" s="753">
        <v>800514</v>
      </c>
      <c r="B953" s="130">
        <v>0</v>
      </c>
      <c r="E953" s="131"/>
    </row>
    <row r="954" spans="1:5" x14ac:dyDescent="0.25">
      <c r="A954" s="753">
        <v>800516</v>
      </c>
      <c r="B954" s="130">
        <v>0</v>
      </c>
      <c r="E954" s="131"/>
    </row>
    <row r="955" spans="1:5" x14ac:dyDescent="0.25">
      <c r="A955" s="753">
        <v>800518</v>
      </c>
      <c r="B955" s="130">
        <v>0</v>
      </c>
      <c r="E955" s="131"/>
    </row>
    <row r="956" spans="1:5" x14ac:dyDescent="0.25">
      <c r="A956" s="753">
        <v>800522</v>
      </c>
      <c r="B956" s="130">
        <v>0</v>
      </c>
      <c r="E956" s="131"/>
    </row>
    <row r="957" spans="1:5" x14ac:dyDescent="0.25">
      <c r="A957" s="753">
        <v>800524</v>
      </c>
      <c r="B957" s="130">
        <v>0</v>
      </c>
      <c r="E957" s="131"/>
    </row>
    <row r="958" spans="1:5" x14ac:dyDescent="0.25">
      <c r="A958" s="753">
        <v>800526</v>
      </c>
      <c r="B958" s="130">
        <v>0</v>
      </c>
      <c r="E958" s="131"/>
    </row>
    <row r="959" spans="1:5" x14ac:dyDescent="0.25">
      <c r="A959" s="753">
        <v>800528</v>
      </c>
      <c r="B959" s="130">
        <v>0</v>
      </c>
      <c r="E959" s="131"/>
    </row>
    <row r="960" spans="1:5" x14ac:dyDescent="0.25">
      <c r="A960" s="753">
        <v>800612</v>
      </c>
      <c r="B960" s="130">
        <v>330</v>
      </c>
      <c r="E960" s="131"/>
    </row>
    <row r="961" spans="1:9" x14ac:dyDescent="0.25">
      <c r="A961" s="753">
        <v>800614</v>
      </c>
      <c r="B961" s="130">
        <v>89572</v>
      </c>
      <c r="E961" s="131"/>
    </row>
    <row r="962" spans="1:9" x14ac:dyDescent="0.25">
      <c r="A962" s="753">
        <v>800616</v>
      </c>
      <c r="B962" s="130">
        <v>71476</v>
      </c>
      <c r="C962" s="131" t="s">
        <v>180</v>
      </c>
      <c r="D962" s="131">
        <v>16</v>
      </c>
      <c r="E962" s="131" t="s">
        <v>180</v>
      </c>
      <c r="F962" s="767">
        <v>-223158.6</v>
      </c>
      <c r="G962" s="767">
        <v>-30673.15</v>
      </c>
      <c r="H962" s="767">
        <v>-253831.75</v>
      </c>
      <c r="I962" s="768" t="s">
        <v>1539</v>
      </c>
    </row>
    <row r="963" spans="1:9" x14ac:dyDescent="0.25">
      <c r="A963" s="753"/>
      <c r="C963" s="131" t="s">
        <v>1022</v>
      </c>
      <c r="D963" s="131">
        <v>16</v>
      </c>
      <c r="E963" s="131" t="s">
        <v>1022</v>
      </c>
      <c r="F963" s="767">
        <v>47986.87</v>
      </c>
      <c r="G963" s="767">
        <v>6673.84</v>
      </c>
      <c r="H963" s="767">
        <v>54660.71</v>
      </c>
      <c r="I963" s="768" t="s">
        <v>1540</v>
      </c>
    </row>
    <row r="964" spans="1:9" x14ac:dyDescent="0.25">
      <c r="A964" s="753"/>
      <c r="C964" s="131" t="s">
        <v>181</v>
      </c>
      <c r="D964" s="131">
        <v>16</v>
      </c>
      <c r="E964" s="131" t="s">
        <v>181</v>
      </c>
      <c r="F964" s="767">
        <v>-249129.49</v>
      </c>
      <c r="G964" s="767">
        <v>-49974.2</v>
      </c>
      <c r="H964" s="767">
        <v>-299103.69</v>
      </c>
      <c r="I964" s="768" t="s">
        <v>1542</v>
      </c>
    </row>
    <row r="965" spans="1:9" x14ac:dyDescent="0.25">
      <c r="A965" s="753"/>
      <c r="C965" s="131" t="s">
        <v>1024</v>
      </c>
      <c r="D965" s="131">
        <v>16</v>
      </c>
      <c r="E965" s="131" t="s">
        <v>1024</v>
      </c>
      <c r="F965" s="767">
        <v>51261.2</v>
      </c>
      <c r="G965" s="767">
        <v>9755.92</v>
      </c>
      <c r="H965" s="767">
        <v>61017.120000000003</v>
      </c>
      <c r="I965" s="768" t="s">
        <v>1543</v>
      </c>
    </row>
    <row r="966" spans="1:9" x14ac:dyDescent="0.25">
      <c r="A966" s="753"/>
      <c r="C966" s="131" t="s">
        <v>240</v>
      </c>
      <c r="D966" s="131">
        <v>16</v>
      </c>
      <c r="E966" s="131" t="s">
        <v>240</v>
      </c>
      <c r="F966" s="767">
        <v>-24001.56</v>
      </c>
      <c r="G966" s="767">
        <v>-8925.3700000000008</v>
      </c>
      <c r="H966" s="767">
        <v>-32926.93</v>
      </c>
      <c r="I966" s="768" t="s">
        <v>1545</v>
      </c>
    </row>
    <row r="967" spans="1:9" x14ac:dyDescent="0.25">
      <c r="A967" s="753"/>
      <c r="C967" s="131" t="s">
        <v>1026</v>
      </c>
      <c r="D967" s="131">
        <v>16</v>
      </c>
      <c r="E967" s="131" t="s">
        <v>1026</v>
      </c>
      <c r="F967" s="767">
        <v>4685.3999999999996</v>
      </c>
      <c r="G967" s="767">
        <v>1665.67</v>
      </c>
      <c r="H967" s="767">
        <v>6351.07</v>
      </c>
      <c r="I967" s="768" t="s">
        <v>1546</v>
      </c>
    </row>
    <row r="968" spans="1:9" x14ac:dyDescent="0.25">
      <c r="A968" s="753">
        <v>800618</v>
      </c>
      <c r="B968" s="130">
        <v>798</v>
      </c>
      <c r="E968" s="131"/>
    </row>
    <row r="969" spans="1:9" x14ac:dyDescent="0.25">
      <c r="A969" s="753">
        <v>800622</v>
      </c>
      <c r="B969" s="130">
        <v>1863</v>
      </c>
      <c r="E969" s="131"/>
    </row>
    <row r="970" spans="1:9" x14ac:dyDescent="0.25">
      <c r="A970" s="753">
        <v>800624</v>
      </c>
      <c r="B970" s="130">
        <v>585863</v>
      </c>
      <c r="E970" s="131"/>
    </row>
    <row r="971" spans="1:9" x14ac:dyDescent="0.25">
      <c r="A971" s="753">
        <v>800626</v>
      </c>
      <c r="B971" s="130">
        <v>463834</v>
      </c>
      <c r="C971" s="131" t="s">
        <v>180</v>
      </c>
      <c r="D971" s="131">
        <v>16</v>
      </c>
      <c r="E971" s="131" t="s">
        <v>180</v>
      </c>
      <c r="F971" s="767">
        <v>-223158.6</v>
      </c>
      <c r="G971" s="767">
        <v>-30673.15</v>
      </c>
      <c r="H971" s="767">
        <v>-253831.75</v>
      </c>
      <c r="I971" s="768" t="s">
        <v>1539</v>
      </c>
    </row>
    <row r="972" spans="1:9" x14ac:dyDescent="0.25">
      <c r="A972" s="753"/>
      <c r="C972" s="131" t="s">
        <v>1022</v>
      </c>
      <c r="D972" s="131">
        <v>16</v>
      </c>
      <c r="E972" s="131" t="s">
        <v>1022</v>
      </c>
      <c r="F972" s="767">
        <v>47986.87</v>
      </c>
      <c r="G972" s="767">
        <v>6673.84</v>
      </c>
      <c r="H972" s="767">
        <v>54660.71</v>
      </c>
      <c r="I972" s="768" t="s">
        <v>1540</v>
      </c>
    </row>
    <row r="973" spans="1:9" x14ac:dyDescent="0.25">
      <c r="A973" s="753"/>
      <c r="C973" s="131" t="s">
        <v>181</v>
      </c>
      <c r="D973" s="131">
        <v>16</v>
      </c>
      <c r="E973" s="131" t="s">
        <v>181</v>
      </c>
      <c r="F973" s="767">
        <v>-249129.49</v>
      </c>
      <c r="G973" s="767">
        <v>-49974.2</v>
      </c>
      <c r="H973" s="767">
        <v>-299103.69</v>
      </c>
      <c r="I973" s="768" t="s">
        <v>1542</v>
      </c>
    </row>
    <row r="974" spans="1:9" x14ac:dyDescent="0.25">
      <c r="A974" s="753"/>
      <c r="C974" s="131" t="s">
        <v>1024</v>
      </c>
      <c r="D974" s="131">
        <v>16</v>
      </c>
      <c r="E974" s="131" t="s">
        <v>1024</v>
      </c>
      <c r="F974" s="767">
        <v>51261.2</v>
      </c>
      <c r="G974" s="767">
        <v>9755.92</v>
      </c>
      <c r="H974" s="767">
        <v>61017.120000000003</v>
      </c>
      <c r="I974" s="768" t="s">
        <v>1543</v>
      </c>
    </row>
    <row r="975" spans="1:9" x14ac:dyDescent="0.25">
      <c r="A975" s="753"/>
      <c r="C975" s="131" t="s">
        <v>240</v>
      </c>
      <c r="D975" s="131">
        <v>16</v>
      </c>
      <c r="E975" s="131" t="s">
        <v>240</v>
      </c>
      <c r="F975" s="767">
        <v>-24001.56</v>
      </c>
      <c r="G975" s="767">
        <v>-8925.3700000000008</v>
      </c>
      <c r="H975" s="767">
        <v>-32926.93</v>
      </c>
      <c r="I975" s="768" t="s">
        <v>1545</v>
      </c>
    </row>
    <row r="976" spans="1:9" x14ac:dyDescent="0.25">
      <c r="A976" s="753"/>
      <c r="C976" s="131" t="s">
        <v>1026</v>
      </c>
      <c r="D976" s="131">
        <v>16</v>
      </c>
      <c r="E976" s="131" t="s">
        <v>1026</v>
      </c>
      <c r="F976" s="767">
        <v>4685.3999999999996</v>
      </c>
      <c r="G976" s="767">
        <v>1665.67</v>
      </c>
      <c r="H976" s="767">
        <v>6351.07</v>
      </c>
      <c r="I976" s="768" t="s">
        <v>1546</v>
      </c>
    </row>
    <row r="977" spans="1:9" x14ac:dyDescent="0.25">
      <c r="A977" s="753">
        <v>800628</v>
      </c>
      <c r="B977" s="130">
        <v>792</v>
      </c>
      <c r="E977" s="131"/>
    </row>
    <row r="978" spans="1:9" x14ac:dyDescent="0.25">
      <c r="A978" s="753">
        <v>800712</v>
      </c>
      <c r="B978" s="130">
        <v>33</v>
      </c>
      <c r="C978" s="131" t="s">
        <v>1027</v>
      </c>
      <c r="D978" s="131">
        <v>16</v>
      </c>
      <c r="E978" s="131" t="s">
        <v>1027</v>
      </c>
      <c r="F978" s="767">
        <v>-2.56</v>
      </c>
      <c r="G978" s="767">
        <v>-0.33</v>
      </c>
      <c r="H978" s="767">
        <v>-2.89</v>
      </c>
      <c r="I978" s="768" t="s">
        <v>1547</v>
      </c>
    </row>
    <row r="979" spans="1:9" x14ac:dyDescent="0.25">
      <c r="A979" s="753">
        <v>800714</v>
      </c>
      <c r="B979" s="130">
        <v>3470</v>
      </c>
      <c r="C979" s="131" t="s">
        <v>184</v>
      </c>
      <c r="D979" s="131">
        <v>16</v>
      </c>
      <c r="E979" s="131" t="s">
        <v>184</v>
      </c>
      <c r="F979" s="767">
        <v>-27656.76</v>
      </c>
      <c r="G979" s="767">
        <v>-3470.04</v>
      </c>
      <c r="H979" s="767">
        <v>-31126.799999999999</v>
      </c>
      <c r="I979" s="768" t="s">
        <v>1548</v>
      </c>
    </row>
    <row r="980" spans="1:9" x14ac:dyDescent="0.25">
      <c r="A980" s="753">
        <v>800716</v>
      </c>
      <c r="B980" s="130">
        <v>2391</v>
      </c>
      <c r="C980" s="131" t="s">
        <v>184</v>
      </c>
      <c r="D980" s="131">
        <v>16</v>
      </c>
      <c r="E980" s="131" t="s">
        <v>184</v>
      </c>
      <c r="F980" s="767">
        <v>-27656.76</v>
      </c>
      <c r="G980" s="767">
        <v>-3470.04</v>
      </c>
      <c r="H980" s="767">
        <v>-31126.799999999999</v>
      </c>
      <c r="I980" s="768" t="s">
        <v>1548</v>
      </c>
    </row>
    <row r="981" spans="1:9" x14ac:dyDescent="0.25">
      <c r="A981" s="753"/>
      <c r="C981" s="131" t="s">
        <v>1028</v>
      </c>
      <c r="D981" s="131">
        <v>16</v>
      </c>
      <c r="E981" s="131" t="s">
        <v>1028</v>
      </c>
      <c r="F981" s="767">
        <v>8604.49</v>
      </c>
      <c r="G981" s="767">
        <v>1078.93</v>
      </c>
      <c r="H981" s="767">
        <v>9683.42</v>
      </c>
      <c r="I981" s="768" t="s">
        <v>1549</v>
      </c>
    </row>
    <row r="982" spans="1:9" x14ac:dyDescent="0.25">
      <c r="A982" s="753">
        <v>800718</v>
      </c>
      <c r="B982" s="130">
        <v>689</v>
      </c>
      <c r="E982" s="131"/>
    </row>
    <row r="983" spans="1:9" x14ac:dyDescent="0.25">
      <c r="A983" s="753">
        <v>800722</v>
      </c>
      <c r="B983" s="130">
        <v>289</v>
      </c>
      <c r="C983" s="131" t="s">
        <v>1027</v>
      </c>
      <c r="D983" s="131">
        <v>16</v>
      </c>
      <c r="E983" s="131" t="s">
        <v>1027</v>
      </c>
      <c r="F983" s="767">
        <v>-2.56</v>
      </c>
      <c r="G983" s="767">
        <v>-0.33</v>
      </c>
      <c r="H983" s="767">
        <v>-2.89</v>
      </c>
      <c r="I983" s="768" t="s">
        <v>1547</v>
      </c>
    </row>
    <row r="984" spans="1:9" x14ac:dyDescent="0.25">
      <c r="A984" s="753">
        <v>800724</v>
      </c>
      <c r="B984" s="130">
        <v>31127</v>
      </c>
      <c r="C984" s="131" t="s">
        <v>184</v>
      </c>
      <c r="D984" s="131">
        <v>16</v>
      </c>
      <c r="E984" s="131" t="s">
        <v>184</v>
      </c>
      <c r="F984" s="767">
        <v>-27656.76</v>
      </c>
      <c r="G984" s="767">
        <v>-3470.04</v>
      </c>
      <c r="H984" s="767">
        <v>-31126.799999999999</v>
      </c>
      <c r="I984" s="768" t="s">
        <v>1548</v>
      </c>
    </row>
    <row r="985" spans="1:9" x14ac:dyDescent="0.25">
      <c r="A985" s="753">
        <v>800726</v>
      </c>
      <c r="B985" s="130">
        <v>21444</v>
      </c>
      <c r="C985" s="131" t="s">
        <v>184</v>
      </c>
      <c r="D985" s="131">
        <v>16</v>
      </c>
      <c r="E985" s="131" t="s">
        <v>184</v>
      </c>
      <c r="F985" s="767">
        <v>-27656.76</v>
      </c>
      <c r="G985" s="767">
        <v>-3470.04</v>
      </c>
      <c r="H985" s="767">
        <v>-31126.799999999999</v>
      </c>
      <c r="I985" s="768" t="s">
        <v>1548</v>
      </c>
    </row>
    <row r="986" spans="1:9" x14ac:dyDescent="0.25">
      <c r="A986" s="753"/>
      <c r="C986" s="131" t="s">
        <v>1028</v>
      </c>
      <c r="D986" s="131">
        <v>16</v>
      </c>
      <c r="E986" s="131" t="s">
        <v>1028</v>
      </c>
      <c r="F986" s="767">
        <v>8604.49</v>
      </c>
      <c r="G986" s="767">
        <v>1078.93</v>
      </c>
      <c r="H986" s="767">
        <v>9683.42</v>
      </c>
      <c r="I986" s="768" t="s">
        <v>1549</v>
      </c>
    </row>
    <row r="987" spans="1:9" x14ac:dyDescent="0.25">
      <c r="A987" s="753">
        <v>800728</v>
      </c>
      <c r="B987" s="130">
        <v>689</v>
      </c>
      <c r="E987" s="131"/>
    </row>
    <row r="988" spans="1:9" x14ac:dyDescent="0.25">
      <c r="A988" s="753">
        <v>800812</v>
      </c>
      <c r="B988" s="130">
        <v>64</v>
      </c>
      <c r="C988" s="131" t="s">
        <v>1029</v>
      </c>
      <c r="D988" s="131">
        <v>16</v>
      </c>
      <c r="E988" s="131" t="s">
        <v>1029</v>
      </c>
      <c r="F988" s="767">
        <v>-5.09</v>
      </c>
      <c r="G988" s="767">
        <v>-0.64</v>
      </c>
      <c r="H988" s="767">
        <v>-5.73</v>
      </c>
      <c r="I988" s="768" t="s">
        <v>1550</v>
      </c>
    </row>
    <row r="989" spans="1:9" x14ac:dyDescent="0.25">
      <c r="A989" s="753">
        <v>800814</v>
      </c>
      <c r="B989" s="130">
        <v>7684</v>
      </c>
      <c r="C989" s="131" t="s">
        <v>185</v>
      </c>
      <c r="D989" s="131">
        <v>16</v>
      </c>
      <c r="E989" s="131" t="s">
        <v>185</v>
      </c>
      <c r="F989" s="767">
        <v>-55793.89</v>
      </c>
      <c r="G989" s="767">
        <v>-7683.68</v>
      </c>
      <c r="H989" s="767">
        <v>-63477.57</v>
      </c>
      <c r="I989" s="768" t="s">
        <v>1551</v>
      </c>
    </row>
    <row r="990" spans="1:9" x14ac:dyDescent="0.25">
      <c r="A990" s="753">
        <v>800816</v>
      </c>
      <c r="B990" s="130">
        <v>5533</v>
      </c>
      <c r="C990" s="131" t="s">
        <v>185</v>
      </c>
      <c r="D990" s="131">
        <v>16</v>
      </c>
      <c r="E990" s="131" t="s">
        <v>185</v>
      </c>
      <c r="F990" s="767">
        <v>-55793.89</v>
      </c>
      <c r="G990" s="767">
        <v>-7683.68</v>
      </c>
      <c r="H990" s="767">
        <v>-63477.57</v>
      </c>
      <c r="I990" s="768" t="s">
        <v>1551</v>
      </c>
    </row>
    <row r="991" spans="1:9" x14ac:dyDescent="0.25">
      <c r="A991" s="753"/>
      <c r="C991" s="131" t="s">
        <v>1030</v>
      </c>
      <c r="D991" s="131">
        <v>16</v>
      </c>
      <c r="E991" s="131" t="s">
        <v>1030</v>
      </c>
      <c r="F991" s="767">
        <v>15652.1</v>
      </c>
      <c r="G991" s="767">
        <v>2150.73</v>
      </c>
      <c r="H991" s="767">
        <v>17802.830000000002</v>
      </c>
      <c r="I991" s="768" t="s">
        <v>1552</v>
      </c>
    </row>
    <row r="992" spans="1:9" x14ac:dyDescent="0.25">
      <c r="A992" s="753">
        <v>800818</v>
      </c>
      <c r="B992" s="130">
        <v>720</v>
      </c>
      <c r="E992" s="131"/>
    </row>
    <row r="993" spans="1:9" x14ac:dyDescent="0.25">
      <c r="A993" s="753">
        <v>800822</v>
      </c>
      <c r="B993" s="130">
        <v>573</v>
      </c>
      <c r="C993" s="131" t="s">
        <v>1029</v>
      </c>
      <c r="D993" s="131">
        <v>16</v>
      </c>
      <c r="E993" s="131" t="s">
        <v>1029</v>
      </c>
      <c r="F993" s="767">
        <v>-5.09</v>
      </c>
      <c r="G993" s="767">
        <v>-0.64</v>
      </c>
      <c r="H993" s="767">
        <v>-5.73</v>
      </c>
      <c r="I993" s="768" t="s">
        <v>1550</v>
      </c>
    </row>
    <row r="994" spans="1:9" x14ac:dyDescent="0.25">
      <c r="A994" s="753">
        <v>800824</v>
      </c>
      <c r="B994" s="130">
        <v>63478</v>
      </c>
      <c r="C994" s="131" t="s">
        <v>185</v>
      </c>
      <c r="D994" s="131">
        <v>16</v>
      </c>
      <c r="E994" s="131" t="s">
        <v>185</v>
      </c>
      <c r="F994" s="767">
        <v>-55793.89</v>
      </c>
      <c r="G994" s="767">
        <v>-7683.68</v>
      </c>
      <c r="H994" s="767">
        <v>-63477.57</v>
      </c>
      <c r="I994" s="768" t="s">
        <v>1551</v>
      </c>
    </row>
    <row r="995" spans="1:9" x14ac:dyDescent="0.25">
      <c r="A995" s="753">
        <v>800826</v>
      </c>
      <c r="B995" s="130">
        <v>45675</v>
      </c>
      <c r="C995" s="131" t="s">
        <v>185</v>
      </c>
      <c r="D995" s="131">
        <v>16</v>
      </c>
      <c r="E995" s="131" t="s">
        <v>185</v>
      </c>
      <c r="F995" s="767">
        <v>-55793.89</v>
      </c>
      <c r="G995" s="767">
        <v>-7683.68</v>
      </c>
      <c r="H995" s="767">
        <v>-63477.57</v>
      </c>
      <c r="I995" s="768" t="s">
        <v>1551</v>
      </c>
    </row>
    <row r="996" spans="1:9" x14ac:dyDescent="0.25">
      <c r="A996" s="753"/>
      <c r="C996" s="131" t="s">
        <v>1030</v>
      </c>
      <c r="D996" s="131">
        <v>16</v>
      </c>
      <c r="E996" s="131" t="s">
        <v>1030</v>
      </c>
      <c r="F996" s="767">
        <v>15652.1</v>
      </c>
      <c r="G996" s="767">
        <v>2150.73</v>
      </c>
      <c r="H996" s="767">
        <v>17802.830000000002</v>
      </c>
      <c r="I996" s="768" t="s">
        <v>1552</v>
      </c>
    </row>
    <row r="997" spans="1:9" x14ac:dyDescent="0.25">
      <c r="A997" s="753">
        <v>800828</v>
      </c>
      <c r="B997" s="130">
        <v>720</v>
      </c>
      <c r="E997" s="131"/>
    </row>
    <row r="998" spans="1:9" x14ac:dyDescent="0.25">
      <c r="A998" s="753">
        <v>800912</v>
      </c>
      <c r="B998" s="130">
        <v>10</v>
      </c>
      <c r="C998" s="131" t="s">
        <v>1031</v>
      </c>
      <c r="D998" s="131">
        <v>16</v>
      </c>
      <c r="E998" s="131" t="s">
        <v>1031</v>
      </c>
      <c r="F998" s="767">
        <v>-0.23</v>
      </c>
      <c r="G998" s="767">
        <v>-0.1</v>
      </c>
      <c r="H998" s="767">
        <v>-0.33</v>
      </c>
      <c r="I998" s="768" t="s">
        <v>1553</v>
      </c>
    </row>
    <row r="999" spans="1:9" x14ac:dyDescent="0.25">
      <c r="A999" s="753">
        <v>800914</v>
      </c>
      <c r="B999" s="130">
        <v>1873</v>
      </c>
      <c r="C999" s="131" t="s">
        <v>241</v>
      </c>
      <c r="D999" s="131">
        <v>16</v>
      </c>
      <c r="E999" s="131" t="s">
        <v>241</v>
      </c>
      <c r="F999" s="767">
        <v>-3684.22</v>
      </c>
      <c r="G999" s="767">
        <v>-1872.72</v>
      </c>
      <c r="H999" s="767">
        <v>-5556.94</v>
      </c>
      <c r="I999" s="768" t="s">
        <v>1554</v>
      </c>
    </row>
    <row r="1000" spans="1:9" x14ac:dyDescent="0.25">
      <c r="A1000" s="753">
        <v>800916</v>
      </c>
      <c r="B1000" s="130">
        <v>1327</v>
      </c>
      <c r="C1000" s="131" t="s">
        <v>241</v>
      </c>
      <c r="D1000" s="131">
        <v>16</v>
      </c>
      <c r="E1000" s="131" t="s">
        <v>241</v>
      </c>
      <c r="F1000" s="767">
        <v>-3684.22</v>
      </c>
      <c r="G1000" s="767">
        <v>-1872.72</v>
      </c>
      <c r="H1000" s="767">
        <v>-5556.94</v>
      </c>
      <c r="I1000" s="768" t="s">
        <v>1554</v>
      </c>
    </row>
    <row r="1001" spans="1:9" x14ac:dyDescent="0.25">
      <c r="A1001" s="753"/>
      <c r="C1001" s="131" t="s">
        <v>1032</v>
      </c>
      <c r="D1001" s="131">
        <v>16</v>
      </c>
      <c r="E1001" s="131" t="s">
        <v>1032</v>
      </c>
      <c r="F1001" s="767">
        <v>935.2</v>
      </c>
      <c r="G1001" s="767">
        <v>545.98</v>
      </c>
      <c r="H1001" s="767">
        <v>1481.18</v>
      </c>
      <c r="I1001" s="768" t="s">
        <v>1555</v>
      </c>
    </row>
    <row r="1002" spans="1:9" x14ac:dyDescent="0.25">
      <c r="A1002" s="753">
        <v>800918</v>
      </c>
      <c r="B1002" s="130">
        <v>708</v>
      </c>
      <c r="E1002" s="131"/>
    </row>
    <row r="1003" spans="1:9" x14ac:dyDescent="0.25">
      <c r="A1003" s="753">
        <v>800922</v>
      </c>
      <c r="B1003" s="130">
        <v>33</v>
      </c>
      <c r="C1003" s="131" t="s">
        <v>1031</v>
      </c>
      <c r="D1003" s="131">
        <v>16</v>
      </c>
      <c r="E1003" s="131" t="s">
        <v>1031</v>
      </c>
      <c r="F1003" s="767">
        <v>-0.23</v>
      </c>
      <c r="G1003" s="767">
        <v>-0.1</v>
      </c>
      <c r="H1003" s="767">
        <v>-0.33</v>
      </c>
      <c r="I1003" s="768" t="s">
        <v>1553</v>
      </c>
    </row>
    <row r="1004" spans="1:9" x14ac:dyDescent="0.25">
      <c r="A1004" s="753">
        <v>800924</v>
      </c>
      <c r="B1004" s="130">
        <v>5557</v>
      </c>
      <c r="C1004" s="131" t="s">
        <v>241</v>
      </c>
      <c r="D1004" s="131">
        <v>16</v>
      </c>
      <c r="E1004" s="131" t="s">
        <v>241</v>
      </c>
      <c r="F1004" s="767">
        <v>-3684.22</v>
      </c>
      <c r="G1004" s="767">
        <v>-1872.72</v>
      </c>
      <c r="H1004" s="767">
        <v>-5556.94</v>
      </c>
      <c r="I1004" s="768" t="s">
        <v>1554</v>
      </c>
    </row>
    <row r="1005" spans="1:9" x14ac:dyDescent="0.25">
      <c r="A1005" s="753">
        <v>800926</v>
      </c>
      <c r="B1005" s="130">
        <v>4076</v>
      </c>
      <c r="C1005" s="131" t="s">
        <v>241</v>
      </c>
      <c r="D1005" s="131">
        <v>16</v>
      </c>
      <c r="E1005" s="131" t="s">
        <v>241</v>
      </c>
      <c r="F1005" s="767">
        <v>-3684.22</v>
      </c>
      <c r="G1005" s="767">
        <v>-1872.72</v>
      </c>
      <c r="H1005" s="767">
        <v>-5556.94</v>
      </c>
      <c r="I1005" s="768" t="s">
        <v>1554</v>
      </c>
    </row>
    <row r="1006" spans="1:9" x14ac:dyDescent="0.25">
      <c r="A1006" s="753"/>
      <c r="C1006" s="131" t="s">
        <v>1032</v>
      </c>
      <c r="D1006" s="131">
        <v>16</v>
      </c>
      <c r="E1006" s="131" t="s">
        <v>1032</v>
      </c>
      <c r="F1006" s="767">
        <v>935.2</v>
      </c>
      <c r="G1006" s="767">
        <v>545.98</v>
      </c>
      <c r="H1006" s="767">
        <v>1481.18</v>
      </c>
      <c r="I1006" s="768" t="s">
        <v>1555</v>
      </c>
    </row>
    <row r="1007" spans="1:9" x14ac:dyDescent="0.25">
      <c r="A1007" s="753">
        <v>800928</v>
      </c>
      <c r="B1007" s="130">
        <v>733</v>
      </c>
      <c r="E1007" s="131"/>
    </row>
    <row r="1008" spans="1:9" x14ac:dyDescent="0.25">
      <c r="A1008" s="753">
        <v>801012</v>
      </c>
      <c r="B1008" s="130">
        <v>0</v>
      </c>
      <c r="E1008" s="131"/>
    </row>
    <row r="1009" spans="1:9" x14ac:dyDescent="0.25">
      <c r="A1009" s="753">
        <v>801014</v>
      </c>
      <c r="B1009" s="130">
        <v>0</v>
      </c>
      <c r="E1009" s="131"/>
    </row>
    <row r="1010" spans="1:9" x14ac:dyDescent="0.25">
      <c r="A1010" s="753">
        <v>801016</v>
      </c>
      <c r="B1010" s="130">
        <v>0</v>
      </c>
      <c r="E1010" s="131"/>
    </row>
    <row r="1011" spans="1:9" x14ac:dyDescent="0.25">
      <c r="A1011" s="753">
        <v>801018</v>
      </c>
      <c r="B1011" s="130">
        <v>0</v>
      </c>
      <c r="E1011" s="131"/>
    </row>
    <row r="1012" spans="1:9" x14ac:dyDescent="0.25">
      <c r="A1012" s="753">
        <v>801022</v>
      </c>
      <c r="B1012" s="130">
        <v>0</v>
      </c>
      <c r="E1012" s="131"/>
    </row>
    <row r="1013" spans="1:9" x14ac:dyDescent="0.25">
      <c r="A1013" s="753">
        <v>801024</v>
      </c>
      <c r="B1013" s="130">
        <v>0</v>
      </c>
      <c r="E1013" s="131"/>
    </row>
    <row r="1014" spans="1:9" x14ac:dyDescent="0.25">
      <c r="A1014" s="753">
        <v>801026</v>
      </c>
      <c r="B1014" s="130">
        <v>0</v>
      </c>
      <c r="E1014" s="131"/>
    </row>
    <row r="1015" spans="1:9" x14ac:dyDescent="0.25">
      <c r="A1015" s="753">
        <v>801028</v>
      </c>
      <c r="B1015" s="130">
        <v>0</v>
      </c>
      <c r="E1015" s="131"/>
    </row>
    <row r="1016" spans="1:9" x14ac:dyDescent="0.25">
      <c r="A1016" s="753">
        <v>801112</v>
      </c>
      <c r="B1016" s="130">
        <v>107</v>
      </c>
      <c r="E1016" s="131"/>
    </row>
    <row r="1017" spans="1:9" x14ac:dyDescent="0.25">
      <c r="A1017" s="753">
        <v>801114</v>
      </c>
      <c r="B1017" s="130">
        <v>13027</v>
      </c>
      <c r="E1017" s="131"/>
    </row>
    <row r="1018" spans="1:9" x14ac:dyDescent="0.25">
      <c r="A1018" s="753">
        <v>801116</v>
      </c>
      <c r="B1018" s="130">
        <v>9251</v>
      </c>
      <c r="C1018" s="131" t="s">
        <v>184</v>
      </c>
      <c r="D1018" s="131">
        <v>16</v>
      </c>
      <c r="E1018" s="131" t="s">
        <v>184</v>
      </c>
      <c r="F1018" s="767">
        <v>-27656.76</v>
      </c>
      <c r="G1018" s="767">
        <v>-3470.04</v>
      </c>
      <c r="H1018" s="767">
        <v>-31126.799999999999</v>
      </c>
      <c r="I1018" s="768" t="s">
        <v>1548</v>
      </c>
    </row>
    <row r="1019" spans="1:9" x14ac:dyDescent="0.25">
      <c r="A1019" s="753"/>
      <c r="C1019" s="131" t="s">
        <v>1028</v>
      </c>
      <c r="D1019" s="131">
        <v>16</v>
      </c>
      <c r="E1019" s="131" t="s">
        <v>1028</v>
      </c>
      <c r="F1019" s="767">
        <v>8604.49</v>
      </c>
      <c r="G1019" s="767">
        <v>1078.93</v>
      </c>
      <c r="H1019" s="767">
        <v>9683.42</v>
      </c>
      <c r="I1019" s="768" t="s">
        <v>1549</v>
      </c>
    </row>
    <row r="1020" spans="1:9" x14ac:dyDescent="0.25">
      <c r="A1020" s="753"/>
      <c r="C1020" s="131" t="s">
        <v>185</v>
      </c>
      <c r="D1020" s="131">
        <v>16</v>
      </c>
      <c r="E1020" s="131" t="s">
        <v>185</v>
      </c>
      <c r="F1020" s="767">
        <v>-55793.89</v>
      </c>
      <c r="G1020" s="767">
        <v>-7683.68</v>
      </c>
      <c r="H1020" s="767">
        <v>-63477.57</v>
      </c>
      <c r="I1020" s="768" t="s">
        <v>1551</v>
      </c>
    </row>
    <row r="1021" spans="1:9" x14ac:dyDescent="0.25">
      <c r="A1021" s="753"/>
      <c r="C1021" s="131" t="s">
        <v>1030</v>
      </c>
      <c r="D1021" s="131">
        <v>16</v>
      </c>
      <c r="E1021" s="131" t="s">
        <v>1030</v>
      </c>
      <c r="F1021" s="767">
        <v>15652.1</v>
      </c>
      <c r="G1021" s="767">
        <v>2150.73</v>
      </c>
      <c r="H1021" s="767">
        <v>17802.830000000002</v>
      </c>
      <c r="I1021" s="768" t="s">
        <v>1552</v>
      </c>
    </row>
    <row r="1022" spans="1:9" x14ac:dyDescent="0.25">
      <c r="A1022" s="753"/>
      <c r="C1022" s="131" t="s">
        <v>241</v>
      </c>
      <c r="D1022" s="131">
        <v>16</v>
      </c>
      <c r="E1022" s="131" t="s">
        <v>241</v>
      </c>
      <c r="F1022" s="767">
        <v>-3684.22</v>
      </c>
      <c r="G1022" s="767">
        <v>-1872.72</v>
      </c>
      <c r="H1022" s="767">
        <v>-5556.94</v>
      </c>
      <c r="I1022" s="768" t="s">
        <v>1554</v>
      </c>
    </row>
    <row r="1023" spans="1:9" x14ac:dyDescent="0.25">
      <c r="A1023" s="753"/>
      <c r="C1023" s="131" t="s">
        <v>1032</v>
      </c>
      <c r="D1023" s="131">
        <v>16</v>
      </c>
      <c r="E1023" s="131" t="s">
        <v>1032</v>
      </c>
      <c r="F1023" s="767">
        <v>935.2</v>
      </c>
      <c r="G1023" s="767">
        <v>545.98</v>
      </c>
      <c r="H1023" s="767">
        <v>1481.18</v>
      </c>
      <c r="I1023" s="768" t="s">
        <v>1555</v>
      </c>
    </row>
    <row r="1024" spans="1:9" x14ac:dyDescent="0.25">
      <c r="A1024" s="753">
        <v>801118</v>
      </c>
      <c r="B1024" s="130">
        <v>710</v>
      </c>
      <c r="E1024" s="131"/>
    </row>
    <row r="1025" spans="1:9" x14ac:dyDescent="0.25">
      <c r="A1025" s="753">
        <v>801122</v>
      </c>
      <c r="B1025" s="130">
        <v>895</v>
      </c>
      <c r="E1025" s="131"/>
    </row>
    <row r="1026" spans="1:9" x14ac:dyDescent="0.25">
      <c r="A1026" s="753">
        <v>801124</v>
      </c>
      <c r="B1026" s="130">
        <v>100162</v>
      </c>
      <c r="E1026" s="131"/>
    </row>
    <row r="1027" spans="1:9" x14ac:dyDescent="0.25">
      <c r="A1027" s="753">
        <v>801126</v>
      </c>
      <c r="B1027" s="130">
        <v>71195</v>
      </c>
      <c r="C1027" s="131" t="s">
        <v>184</v>
      </c>
      <c r="D1027" s="131">
        <v>16</v>
      </c>
      <c r="E1027" s="131" t="s">
        <v>184</v>
      </c>
      <c r="F1027" s="767">
        <v>-27656.76</v>
      </c>
      <c r="G1027" s="767">
        <v>-3470.04</v>
      </c>
      <c r="H1027" s="767">
        <v>-31126.799999999999</v>
      </c>
      <c r="I1027" s="768" t="s">
        <v>1548</v>
      </c>
    </row>
    <row r="1028" spans="1:9" x14ac:dyDescent="0.25">
      <c r="A1028" s="753"/>
      <c r="C1028" s="131" t="s">
        <v>1028</v>
      </c>
      <c r="D1028" s="131">
        <v>16</v>
      </c>
      <c r="E1028" s="131" t="s">
        <v>1028</v>
      </c>
      <c r="F1028" s="767">
        <v>8604.49</v>
      </c>
      <c r="G1028" s="767">
        <v>1078.93</v>
      </c>
      <c r="H1028" s="767">
        <v>9683.42</v>
      </c>
      <c r="I1028" s="768" t="s">
        <v>1549</v>
      </c>
    </row>
    <row r="1029" spans="1:9" x14ac:dyDescent="0.25">
      <c r="A1029" s="753"/>
      <c r="C1029" s="131" t="s">
        <v>185</v>
      </c>
      <c r="D1029" s="131">
        <v>16</v>
      </c>
      <c r="E1029" s="131" t="s">
        <v>185</v>
      </c>
      <c r="F1029" s="767">
        <v>-55793.89</v>
      </c>
      <c r="G1029" s="767">
        <v>-7683.68</v>
      </c>
      <c r="H1029" s="767">
        <v>-63477.57</v>
      </c>
      <c r="I1029" s="768" t="s">
        <v>1551</v>
      </c>
    </row>
    <row r="1030" spans="1:9" x14ac:dyDescent="0.25">
      <c r="A1030" s="753"/>
      <c r="C1030" s="131" t="s">
        <v>1030</v>
      </c>
      <c r="D1030" s="131">
        <v>16</v>
      </c>
      <c r="E1030" s="131" t="s">
        <v>1030</v>
      </c>
      <c r="F1030" s="767">
        <v>15652.1</v>
      </c>
      <c r="G1030" s="767">
        <v>2150.73</v>
      </c>
      <c r="H1030" s="767">
        <v>17802.830000000002</v>
      </c>
      <c r="I1030" s="768" t="s">
        <v>1552</v>
      </c>
    </row>
    <row r="1031" spans="1:9" x14ac:dyDescent="0.25">
      <c r="A1031" s="753"/>
      <c r="C1031" s="131" t="s">
        <v>241</v>
      </c>
      <c r="D1031" s="131">
        <v>16</v>
      </c>
      <c r="E1031" s="131" t="s">
        <v>241</v>
      </c>
      <c r="F1031" s="767">
        <v>-3684.22</v>
      </c>
      <c r="G1031" s="767">
        <v>-1872.72</v>
      </c>
      <c r="H1031" s="767">
        <v>-5556.94</v>
      </c>
      <c r="I1031" s="768" t="s">
        <v>1554</v>
      </c>
    </row>
    <row r="1032" spans="1:9" x14ac:dyDescent="0.25">
      <c r="A1032" s="753"/>
      <c r="C1032" s="131" t="s">
        <v>1032</v>
      </c>
      <c r="D1032" s="131">
        <v>16</v>
      </c>
      <c r="E1032" s="131" t="s">
        <v>1032</v>
      </c>
      <c r="F1032" s="767">
        <v>935.2</v>
      </c>
      <c r="G1032" s="767">
        <v>545.98</v>
      </c>
      <c r="H1032" s="767">
        <v>1481.18</v>
      </c>
      <c r="I1032" s="768" t="s">
        <v>1555</v>
      </c>
    </row>
    <row r="1033" spans="1:9" x14ac:dyDescent="0.25">
      <c r="A1033" s="753">
        <v>801128</v>
      </c>
      <c r="B1033" s="130">
        <v>711</v>
      </c>
      <c r="E1033" s="131"/>
    </row>
    <row r="1034" spans="1:9" x14ac:dyDescent="0.25">
      <c r="A1034" s="753">
        <v>801212</v>
      </c>
      <c r="B1034" s="130">
        <v>3</v>
      </c>
      <c r="C1034" s="131" t="s">
        <v>1033</v>
      </c>
      <c r="D1034" s="131">
        <v>16</v>
      </c>
      <c r="E1034" s="131" t="s">
        <v>1033</v>
      </c>
      <c r="F1034" s="767">
        <v>-0.3</v>
      </c>
      <c r="G1034" s="767">
        <v>-0.03</v>
      </c>
      <c r="H1034" s="767">
        <v>-0.33</v>
      </c>
      <c r="I1034" s="768" t="s">
        <v>1556</v>
      </c>
    </row>
    <row r="1035" spans="1:9" x14ac:dyDescent="0.25">
      <c r="A1035" s="753">
        <v>801214</v>
      </c>
      <c r="B1035" s="130">
        <v>120</v>
      </c>
      <c r="C1035" s="131" t="s">
        <v>187</v>
      </c>
      <c r="D1035" s="131">
        <v>16</v>
      </c>
      <c r="E1035" s="131" t="s">
        <v>187</v>
      </c>
      <c r="F1035" s="767">
        <v>-13870.67</v>
      </c>
      <c r="G1035" s="767">
        <v>-120</v>
      </c>
      <c r="H1035" s="767">
        <v>-13990.67</v>
      </c>
      <c r="I1035" s="768" t="s">
        <v>1557</v>
      </c>
    </row>
    <row r="1036" spans="1:9" x14ac:dyDescent="0.25">
      <c r="A1036" s="753">
        <v>801216</v>
      </c>
      <c r="B1036" s="130">
        <v>0</v>
      </c>
      <c r="C1036" s="131" t="s">
        <v>187</v>
      </c>
      <c r="D1036" s="131">
        <v>16</v>
      </c>
      <c r="E1036" s="131" t="s">
        <v>187</v>
      </c>
      <c r="F1036" s="767">
        <v>-13870.67</v>
      </c>
      <c r="G1036" s="767">
        <v>-120</v>
      </c>
      <c r="H1036" s="767">
        <v>-13990.67</v>
      </c>
      <c r="I1036" s="768" t="s">
        <v>1557</v>
      </c>
    </row>
    <row r="1037" spans="1:9" x14ac:dyDescent="0.25">
      <c r="A1037" s="753"/>
      <c r="C1037" s="131" t="s">
        <v>1034</v>
      </c>
      <c r="D1037" s="131">
        <v>16</v>
      </c>
      <c r="E1037" s="131" t="s">
        <v>1034</v>
      </c>
      <c r="F1037" s="767">
        <v>12869.93</v>
      </c>
      <c r="G1037" s="767">
        <v>120</v>
      </c>
      <c r="H1037" s="767">
        <v>12989.93</v>
      </c>
      <c r="I1037" s="768" t="s">
        <v>1558</v>
      </c>
    </row>
    <row r="1038" spans="1:9" x14ac:dyDescent="0.25">
      <c r="A1038" s="753">
        <v>801218</v>
      </c>
      <c r="B1038" s="130">
        <v>0</v>
      </c>
      <c r="E1038" s="131"/>
    </row>
    <row r="1039" spans="1:9" x14ac:dyDescent="0.25">
      <c r="A1039" s="753">
        <v>801222</v>
      </c>
      <c r="B1039" s="130">
        <v>33</v>
      </c>
      <c r="C1039" s="131" t="s">
        <v>1033</v>
      </c>
      <c r="D1039" s="131">
        <v>16</v>
      </c>
      <c r="E1039" s="131" t="s">
        <v>1033</v>
      </c>
      <c r="F1039" s="767">
        <v>-0.3</v>
      </c>
      <c r="G1039" s="767">
        <v>-0.03</v>
      </c>
      <c r="H1039" s="767">
        <v>-0.33</v>
      </c>
      <c r="I1039" s="768" t="s">
        <v>1556</v>
      </c>
    </row>
    <row r="1040" spans="1:9" x14ac:dyDescent="0.25">
      <c r="A1040" s="753">
        <v>801224</v>
      </c>
      <c r="B1040" s="130">
        <v>13991</v>
      </c>
      <c r="C1040" s="131" t="s">
        <v>187</v>
      </c>
      <c r="D1040" s="131">
        <v>16</v>
      </c>
      <c r="E1040" s="131" t="s">
        <v>187</v>
      </c>
      <c r="F1040" s="767">
        <v>-13870.67</v>
      </c>
      <c r="G1040" s="767">
        <v>-120</v>
      </c>
      <c r="H1040" s="767">
        <v>-13990.67</v>
      </c>
      <c r="I1040" s="768" t="s">
        <v>1557</v>
      </c>
    </row>
    <row r="1041" spans="1:9" x14ac:dyDescent="0.25">
      <c r="A1041" s="753">
        <v>801226</v>
      </c>
      <c r="B1041" s="130">
        <v>1001</v>
      </c>
      <c r="C1041" s="131" t="s">
        <v>187</v>
      </c>
      <c r="D1041" s="131">
        <v>16</v>
      </c>
      <c r="E1041" s="131" t="s">
        <v>187</v>
      </c>
      <c r="F1041" s="767">
        <v>-13870.67</v>
      </c>
      <c r="G1041" s="767">
        <v>-120</v>
      </c>
      <c r="H1041" s="767">
        <v>-13990.67</v>
      </c>
      <c r="I1041" s="768" t="s">
        <v>1557</v>
      </c>
    </row>
    <row r="1042" spans="1:9" x14ac:dyDescent="0.25">
      <c r="A1042" s="753"/>
      <c r="C1042" s="131" t="s">
        <v>1034</v>
      </c>
      <c r="D1042" s="131">
        <v>16</v>
      </c>
      <c r="E1042" s="131" t="s">
        <v>1034</v>
      </c>
      <c r="F1042" s="767">
        <v>12869.93</v>
      </c>
      <c r="G1042" s="767">
        <v>120</v>
      </c>
      <c r="H1042" s="767">
        <v>12989.93</v>
      </c>
      <c r="I1042" s="768" t="s">
        <v>1558</v>
      </c>
    </row>
    <row r="1043" spans="1:9" x14ac:dyDescent="0.25">
      <c r="A1043" s="753">
        <v>801228</v>
      </c>
      <c r="B1043" s="130">
        <v>72</v>
      </c>
      <c r="E1043" s="131"/>
    </row>
    <row r="1044" spans="1:9" x14ac:dyDescent="0.25">
      <c r="A1044" s="753">
        <v>801312</v>
      </c>
      <c r="B1044" s="130">
        <v>1</v>
      </c>
      <c r="C1044" s="131" t="s">
        <v>1035</v>
      </c>
      <c r="D1044" s="131">
        <v>16</v>
      </c>
      <c r="E1044" s="131" t="s">
        <v>1035</v>
      </c>
      <c r="F1044" s="767">
        <v>-0.3</v>
      </c>
      <c r="G1044" s="767">
        <v>-0.01</v>
      </c>
      <c r="H1044" s="767">
        <v>-0.31</v>
      </c>
      <c r="I1044" s="768" t="s">
        <v>1559</v>
      </c>
    </row>
    <row r="1045" spans="1:9" x14ac:dyDescent="0.25">
      <c r="A1045" s="753">
        <v>801314</v>
      </c>
      <c r="B1045" s="130">
        <v>680</v>
      </c>
      <c r="C1045" s="131" t="s">
        <v>188</v>
      </c>
      <c r="D1045" s="131">
        <v>16</v>
      </c>
      <c r="E1045" s="131" t="s">
        <v>188</v>
      </c>
      <c r="F1045" s="767">
        <v>-18862.04</v>
      </c>
      <c r="G1045" s="767">
        <v>-679.95</v>
      </c>
      <c r="H1045" s="767">
        <v>-19541.990000000002</v>
      </c>
      <c r="I1045" s="768" t="s">
        <v>1560</v>
      </c>
    </row>
    <row r="1046" spans="1:9" x14ac:dyDescent="0.25">
      <c r="A1046" s="753">
        <v>801316</v>
      </c>
      <c r="B1046" s="130">
        <v>75</v>
      </c>
      <c r="C1046" s="131" t="s">
        <v>188</v>
      </c>
      <c r="D1046" s="131">
        <v>16</v>
      </c>
      <c r="E1046" s="131" t="s">
        <v>188</v>
      </c>
      <c r="F1046" s="767">
        <v>-18862.04</v>
      </c>
      <c r="G1046" s="767">
        <v>-679.95</v>
      </c>
      <c r="H1046" s="767">
        <v>-19541.990000000002</v>
      </c>
      <c r="I1046" s="768" t="s">
        <v>1560</v>
      </c>
    </row>
    <row r="1047" spans="1:9" x14ac:dyDescent="0.25">
      <c r="A1047" s="753"/>
      <c r="C1047" s="131" t="s">
        <v>1036</v>
      </c>
      <c r="D1047" s="131">
        <v>16</v>
      </c>
      <c r="E1047" s="131" t="s">
        <v>1036</v>
      </c>
      <c r="F1047" s="767">
        <v>17651.16</v>
      </c>
      <c r="G1047" s="767">
        <v>605</v>
      </c>
      <c r="H1047" s="767">
        <v>18256.16</v>
      </c>
      <c r="I1047" s="768" t="s">
        <v>1561</v>
      </c>
    </row>
    <row r="1048" spans="1:9" x14ac:dyDescent="0.25">
      <c r="A1048" s="753">
        <v>801318</v>
      </c>
      <c r="B1048" s="130">
        <v>110</v>
      </c>
      <c r="E1048" s="131"/>
    </row>
    <row r="1049" spans="1:9" x14ac:dyDescent="0.25">
      <c r="A1049" s="753">
        <v>801322</v>
      </c>
      <c r="B1049" s="130">
        <v>31</v>
      </c>
      <c r="C1049" s="131" t="s">
        <v>1035</v>
      </c>
      <c r="D1049" s="131">
        <v>16</v>
      </c>
      <c r="E1049" s="131" t="s">
        <v>1035</v>
      </c>
      <c r="F1049" s="767">
        <v>-0.3</v>
      </c>
      <c r="G1049" s="767">
        <v>-0.01</v>
      </c>
      <c r="H1049" s="767">
        <v>-0.31</v>
      </c>
      <c r="I1049" s="768" t="s">
        <v>1559</v>
      </c>
    </row>
    <row r="1050" spans="1:9" x14ac:dyDescent="0.25">
      <c r="A1050" s="753">
        <v>801324</v>
      </c>
      <c r="B1050" s="130">
        <v>19542</v>
      </c>
      <c r="C1050" s="131" t="s">
        <v>188</v>
      </c>
      <c r="D1050" s="131">
        <v>16</v>
      </c>
      <c r="E1050" s="131" t="s">
        <v>188</v>
      </c>
      <c r="F1050" s="767">
        <v>-18862.04</v>
      </c>
      <c r="G1050" s="767">
        <v>-679.95</v>
      </c>
      <c r="H1050" s="767">
        <v>-19541.990000000002</v>
      </c>
      <c r="I1050" s="768" t="s">
        <v>1560</v>
      </c>
    </row>
    <row r="1051" spans="1:9" x14ac:dyDescent="0.25">
      <c r="A1051" s="753">
        <v>801326</v>
      </c>
      <c r="B1051" s="130">
        <v>1286</v>
      </c>
      <c r="C1051" s="131" t="s">
        <v>188</v>
      </c>
      <c r="D1051" s="131">
        <v>16</v>
      </c>
      <c r="E1051" s="131" t="s">
        <v>188</v>
      </c>
      <c r="F1051" s="767">
        <v>-18862.04</v>
      </c>
      <c r="G1051" s="767">
        <v>-679.95</v>
      </c>
      <c r="H1051" s="767">
        <v>-19541.990000000002</v>
      </c>
      <c r="I1051" s="768" t="s">
        <v>1560</v>
      </c>
    </row>
    <row r="1052" spans="1:9" x14ac:dyDescent="0.25">
      <c r="A1052" s="753"/>
      <c r="C1052" s="131" t="s">
        <v>1036</v>
      </c>
      <c r="D1052" s="131">
        <v>16</v>
      </c>
      <c r="E1052" s="131" t="s">
        <v>1036</v>
      </c>
      <c r="F1052" s="767">
        <v>17651.16</v>
      </c>
      <c r="G1052" s="767">
        <v>605</v>
      </c>
      <c r="H1052" s="767">
        <v>18256.16</v>
      </c>
      <c r="I1052" s="768" t="s">
        <v>1561</v>
      </c>
    </row>
    <row r="1053" spans="1:9" x14ac:dyDescent="0.25">
      <c r="A1053" s="753">
        <v>801328</v>
      </c>
      <c r="B1053" s="130">
        <v>66</v>
      </c>
      <c r="E1053" s="131"/>
    </row>
    <row r="1054" spans="1:9" x14ac:dyDescent="0.25">
      <c r="A1054" s="753">
        <v>801412</v>
      </c>
      <c r="B1054" s="130">
        <v>0</v>
      </c>
      <c r="C1054" s="131" t="s">
        <v>1037</v>
      </c>
      <c r="D1054" s="131">
        <v>16</v>
      </c>
      <c r="E1054" s="131" t="s">
        <v>1037</v>
      </c>
      <c r="F1054" s="767">
        <v>-0.06</v>
      </c>
      <c r="G1054" s="767">
        <v>0</v>
      </c>
      <c r="H1054" s="767">
        <v>-0.06</v>
      </c>
      <c r="I1054" s="768" t="s">
        <v>1562</v>
      </c>
    </row>
    <row r="1055" spans="1:9" x14ac:dyDescent="0.25">
      <c r="A1055" s="753">
        <v>801414</v>
      </c>
      <c r="B1055" s="130">
        <v>0</v>
      </c>
      <c r="C1055" s="131" t="s">
        <v>242</v>
      </c>
      <c r="D1055" s="131">
        <v>16</v>
      </c>
      <c r="E1055" s="131" t="s">
        <v>242</v>
      </c>
      <c r="F1055" s="767">
        <v>-4675</v>
      </c>
      <c r="G1055" s="767">
        <v>0</v>
      </c>
      <c r="H1055" s="767">
        <v>-4675</v>
      </c>
      <c r="I1055" s="768" t="s">
        <v>1563</v>
      </c>
    </row>
    <row r="1056" spans="1:9" x14ac:dyDescent="0.25">
      <c r="A1056" s="753">
        <v>801416</v>
      </c>
      <c r="B1056" s="130">
        <v>0</v>
      </c>
      <c r="C1056" s="131" t="s">
        <v>242</v>
      </c>
      <c r="D1056" s="131">
        <v>16</v>
      </c>
      <c r="E1056" s="131" t="s">
        <v>242</v>
      </c>
      <c r="F1056" s="767">
        <v>-4675</v>
      </c>
      <c r="G1056" s="767">
        <v>0</v>
      </c>
      <c r="H1056" s="767">
        <v>-4675</v>
      </c>
      <c r="I1056" s="768" t="s">
        <v>1563</v>
      </c>
    </row>
    <row r="1057" spans="1:9" x14ac:dyDescent="0.25">
      <c r="A1057" s="753"/>
      <c r="C1057" s="131" t="s">
        <v>1038</v>
      </c>
      <c r="D1057" s="131">
        <v>16</v>
      </c>
      <c r="E1057" s="131" t="s">
        <v>1038</v>
      </c>
      <c r="F1057" s="767">
        <v>4609</v>
      </c>
      <c r="G1057" s="767">
        <v>0</v>
      </c>
      <c r="H1057" s="767">
        <v>4609</v>
      </c>
      <c r="I1057" s="768" t="s">
        <v>1564</v>
      </c>
    </row>
    <row r="1058" spans="1:9" x14ac:dyDescent="0.25">
      <c r="A1058" s="753">
        <v>801418</v>
      </c>
      <c r="B1058" s="130">
        <v>0</v>
      </c>
      <c r="E1058" s="131"/>
    </row>
    <row r="1059" spans="1:9" x14ac:dyDescent="0.25">
      <c r="A1059" s="753">
        <v>801422</v>
      </c>
      <c r="B1059" s="130">
        <v>6</v>
      </c>
      <c r="C1059" s="131" t="s">
        <v>1037</v>
      </c>
      <c r="D1059" s="131">
        <v>16</v>
      </c>
      <c r="E1059" s="131" t="s">
        <v>1037</v>
      </c>
      <c r="F1059" s="767">
        <v>-0.06</v>
      </c>
      <c r="G1059" s="767">
        <v>0</v>
      </c>
      <c r="H1059" s="767">
        <v>-0.06</v>
      </c>
      <c r="I1059" s="768" t="s">
        <v>1562</v>
      </c>
    </row>
    <row r="1060" spans="1:9" x14ac:dyDescent="0.25">
      <c r="A1060" s="753">
        <v>801424</v>
      </c>
      <c r="B1060" s="130">
        <v>4675</v>
      </c>
      <c r="C1060" s="131" t="s">
        <v>242</v>
      </c>
      <c r="D1060" s="131">
        <v>16</v>
      </c>
      <c r="E1060" s="131" t="s">
        <v>242</v>
      </c>
      <c r="F1060" s="767">
        <v>-4675</v>
      </c>
      <c r="G1060" s="767">
        <v>0</v>
      </c>
      <c r="H1060" s="767">
        <v>-4675</v>
      </c>
      <c r="I1060" s="768" t="s">
        <v>1563</v>
      </c>
    </row>
    <row r="1061" spans="1:9" x14ac:dyDescent="0.25">
      <c r="A1061" s="753">
        <v>801426</v>
      </c>
      <c r="B1061" s="130">
        <v>66</v>
      </c>
      <c r="C1061" s="131" t="s">
        <v>242</v>
      </c>
      <c r="D1061" s="131">
        <v>16</v>
      </c>
      <c r="E1061" s="131" t="s">
        <v>242</v>
      </c>
      <c r="F1061" s="767">
        <v>-4675</v>
      </c>
      <c r="G1061" s="767">
        <v>0</v>
      </c>
      <c r="H1061" s="767">
        <v>-4675</v>
      </c>
      <c r="I1061" s="768" t="s">
        <v>1563</v>
      </c>
    </row>
    <row r="1062" spans="1:9" x14ac:dyDescent="0.25">
      <c r="A1062" s="753"/>
      <c r="C1062" s="131" t="s">
        <v>1038</v>
      </c>
      <c r="D1062" s="131">
        <v>16</v>
      </c>
      <c r="E1062" s="131" t="s">
        <v>1038</v>
      </c>
      <c r="F1062" s="767">
        <v>4609</v>
      </c>
      <c r="G1062" s="767">
        <v>0</v>
      </c>
      <c r="H1062" s="767">
        <v>4609</v>
      </c>
      <c r="I1062" s="768" t="s">
        <v>1564</v>
      </c>
    </row>
    <row r="1063" spans="1:9" x14ac:dyDescent="0.25">
      <c r="A1063" s="753">
        <v>801428</v>
      </c>
      <c r="B1063" s="130">
        <v>14</v>
      </c>
      <c r="E1063" s="131"/>
    </row>
    <row r="1064" spans="1:9" x14ac:dyDescent="0.25">
      <c r="A1064" s="753">
        <v>801512</v>
      </c>
      <c r="B1064" s="130">
        <v>0</v>
      </c>
      <c r="E1064" s="131"/>
    </row>
    <row r="1065" spans="1:9" x14ac:dyDescent="0.25">
      <c r="A1065" s="753">
        <v>801514</v>
      </c>
      <c r="B1065" s="130">
        <v>0</v>
      </c>
      <c r="E1065" s="131"/>
    </row>
    <row r="1066" spans="1:9" x14ac:dyDescent="0.25">
      <c r="A1066" s="753">
        <v>801516</v>
      </c>
      <c r="B1066" s="130">
        <v>0</v>
      </c>
      <c r="E1066" s="131"/>
    </row>
    <row r="1067" spans="1:9" x14ac:dyDescent="0.25">
      <c r="A1067" s="753">
        <v>801518</v>
      </c>
      <c r="B1067" s="130">
        <v>0</v>
      </c>
      <c r="E1067" s="131"/>
    </row>
    <row r="1068" spans="1:9" x14ac:dyDescent="0.25">
      <c r="A1068" s="753">
        <v>801522</v>
      </c>
      <c r="B1068" s="130">
        <v>0</v>
      </c>
      <c r="E1068" s="131"/>
    </row>
    <row r="1069" spans="1:9" x14ac:dyDescent="0.25">
      <c r="A1069" s="753">
        <v>801524</v>
      </c>
      <c r="B1069" s="130">
        <v>0</v>
      </c>
      <c r="E1069" s="131"/>
    </row>
    <row r="1070" spans="1:9" x14ac:dyDescent="0.25">
      <c r="A1070" s="753">
        <v>801526</v>
      </c>
      <c r="B1070" s="130">
        <v>0</v>
      </c>
      <c r="E1070" s="131"/>
    </row>
    <row r="1071" spans="1:9" x14ac:dyDescent="0.25">
      <c r="A1071" s="753">
        <v>801528</v>
      </c>
      <c r="B1071" s="130">
        <v>0</v>
      </c>
      <c r="E1071" s="131"/>
    </row>
    <row r="1072" spans="1:9" x14ac:dyDescent="0.25">
      <c r="A1072" s="753">
        <v>801612</v>
      </c>
      <c r="B1072" s="130">
        <v>0</v>
      </c>
      <c r="E1072" s="131"/>
    </row>
    <row r="1073" spans="1:9" x14ac:dyDescent="0.25">
      <c r="A1073" s="753">
        <v>801614</v>
      </c>
      <c r="B1073" s="130">
        <v>0</v>
      </c>
      <c r="E1073" s="131"/>
    </row>
    <row r="1074" spans="1:9" x14ac:dyDescent="0.25">
      <c r="A1074" s="753">
        <v>801616</v>
      </c>
      <c r="B1074" s="130">
        <v>0</v>
      </c>
      <c r="E1074" s="131"/>
    </row>
    <row r="1075" spans="1:9" x14ac:dyDescent="0.25">
      <c r="A1075" s="753">
        <v>801618</v>
      </c>
      <c r="B1075" s="130">
        <v>0</v>
      </c>
      <c r="E1075" s="131"/>
    </row>
    <row r="1076" spans="1:9" x14ac:dyDescent="0.25">
      <c r="A1076" s="753">
        <v>801622</v>
      </c>
      <c r="B1076" s="130">
        <v>0</v>
      </c>
      <c r="E1076" s="131"/>
    </row>
    <row r="1077" spans="1:9" x14ac:dyDescent="0.25">
      <c r="A1077" s="753">
        <v>801624</v>
      </c>
      <c r="B1077" s="130">
        <v>0</v>
      </c>
      <c r="E1077" s="131"/>
    </row>
    <row r="1078" spans="1:9" x14ac:dyDescent="0.25">
      <c r="A1078" s="753">
        <v>801626</v>
      </c>
      <c r="B1078" s="130">
        <v>0</v>
      </c>
      <c r="E1078" s="131"/>
    </row>
    <row r="1079" spans="1:9" x14ac:dyDescent="0.25">
      <c r="A1079" s="753">
        <v>801628</v>
      </c>
      <c r="B1079" s="130">
        <v>0</v>
      </c>
      <c r="E1079" s="131"/>
    </row>
    <row r="1080" spans="1:9" x14ac:dyDescent="0.25">
      <c r="A1080" s="753">
        <v>801712</v>
      </c>
      <c r="B1080" s="130">
        <v>4</v>
      </c>
      <c r="E1080" s="131"/>
    </row>
    <row r="1081" spans="1:9" x14ac:dyDescent="0.25">
      <c r="A1081" s="753">
        <v>801714</v>
      </c>
      <c r="B1081" s="130">
        <v>800</v>
      </c>
      <c r="E1081" s="131"/>
    </row>
    <row r="1082" spans="1:9" x14ac:dyDescent="0.25">
      <c r="A1082" s="753">
        <v>801716</v>
      </c>
      <c r="B1082" s="130">
        <v>75</v>
      </c>
      <c r="C1082" s="131" t="s">
        <v>187</v>
      </c>
      <c r="D1082" s="131">
        <v>16</v>
      </c>
      <c r="E1082" s="131" t="s">
        <v>187</v>
      </c>
      <c r="F1082" s="767">
        <v>-13870.67</v>
      </c>
      <c r="G1082" s="767">
        <v>-120</v>
      </c>
      <c r="H1082" s="767">
        <v>-13990.67</v>
      </c>
      <c r="I1082" s="768" t="s">
        <v>1557</v>
      </c>
    </row>
    <row r="1083" spans="1:9" x14ac:dyDescent="0.25">
      <c r="A1083" s="753"/>
      <c r="C1083" s="131" t="s">
        <v>1034</v>
      </c>
      <c r="D1083" s="131">
        <v>16</v>
      </c>
      <c r="E1083" s="131" t="s">
        <v>1034</v>
      </c>
      <c r="F1083" s="767">
        <v>12869.93</v>
      </c>
      <c r="G1083" s="767">
        <v>120</v>
      </c>
      <c r="H1083" s="767">
        <v>12989.93</v>
      </c>
      <c r="I1083" s="768" t="s">
        <v>1558</v>
      </c>
    </row>
    <row r="1084" spans="1:9" x14ac:dyDescent="0.25">
      <c r="A1084" s="753"/>
      <c r="C1084" s="131" t="s">
        <v>188</v>
      </c>
      <c r="D1084" s="131">
        <v>16</v>
      </c>
      <c r="E1084" s="131" t="s">
        <v>188</v>
      </c>
      <c r="F1084" s="767">
        <v>-18862.04</v>
      </c>
      <c r="G1084" s="767">
        <v>-679.95</v>
      </c>
      <c r="H1084" s="767">
        <v>-19541.990000000002</v>
      </c>
      <c r="I1084" s="768" t="s">
        <v>1560</v>
      </c>
    </row>
    <row r="1085" spans="1:9" x14ac:dyDescent="0.25">
      <c r="A1085" s="753"/>
      <c r="C1085" s="131" t="s">
        <v>1036</v>
      </c>
      <c r="D1085" s="131">
        <v>16</v>
      </c>
      <c r="E1085" s="131" t="s">
        <v>1036</v>
      </c>
      <c r="F1085" s="767">
        <v>17651.16</v>
      </c>
      <c r="G1085" s="767">
        <v>605</v>
      </c>
      <c r="H1085" s="767">
        <v>18256.16</v>
      </c>
      <c r="I1085" s="768" t="s">
        <v>1561</v>
      </c>
    </row>
    <row r="1086" spans="1:9" x14ac:dyDescent="0.25">
      <c r="A1086" s="753"/>
      <c r="C1086" s="131" t="s">
        <v>242</v>
      </c>
      <c r="D1086" s="131">
        <v>16</v>
      </c>
      <c r="E1086" s="131" t="s">
        <v>242</v>
      </c>
      <c r="F1086" s="767">
        <v>-4675</v>
      </c>
      <c r="G1086" s="767">
        <v>0</v>
      </c>
      <c r="H1086" s="767">
        <v>-4675</v>
      </c>
      <c r="I1086" s="768" t="s">
        <v>1563</v>
      </c>
    </row>
    <row r="1087" spans="1:9" x14ac:dyDescent="0.25">
      <c r="A1087" s="753"/>
      <c r="C1087" s="131" t="s">
        <v>1038</v>
      </c>
      <c r="D1087" s="131">
        <v>16</v>
      </c>
      <c r="E1087" s="131" t="s">
        <v>1038</v>
      </c>
      <c r="F1087" s="767">
        <v>4609</v>
      </c>
      <c r="G1087" s="767">
        <v>0</v>
      </c>
      <c r="H1087" s="767">
        <v>4609</v>
      </c>
      <c r="I1087" s="768" t="s">
        <v>1564</v>
      </c>
    </row>
    <row r="1088" spans="1:9" x14ac:dyDescent="0.25">
      <c r="A1088" s="753">
        <v>801718</v>
      </c>
      <c r="B1088" s="130">
        <v>94</v>
      </c>
      <c r="E1088" s="131"/>
    </row>
    <row r="1089" spans="1:9" x14ac:dyDescent="0.25">
      <c r="A1089" s="753">
        <v>801722</v>
      </c>
      <c r="B1089" s="130">
        <v>70</v>
      </c>
      <c r="E1089" s="131"/>
    </row>
    <row r="1090" spans="1:9" x14ac:dyDescent="0.25">
      <c r="A1090" s="753">
        <v>801724</v>
      </c>
      <c r="B1090" s="130">
        <v>38208</v>
      </c>
      <c r="E1090" s="131"/>
    </row>
    <row r="1091" spans="1:9" x14ac:dyDescent="0.25">
      <c r="A1091" s="753">
        <v>801726</v>
      </c>
      <c r="B1091" s="130">
        <v>2353</v>
      </c>
      <c r="C1091" s="131" t="s">
        <v>187</v>
      </c>
      <c r="D1091" s="131">
        <v>16</v>
      </c>
      <c r="E1091" s="131" t="s">
        <v>187</v>
      </c>
      <c r="F1091" s="767">
        <v>-13870.67</v>
      </c>
      <c r="G1091" s="767">
        <v>-120</v>
      </c>
      <c r="H1091" s="767">
        <v>-13990.67</v>
      </c>
      <c r="I1091" s="768" t="s">
        <v>1557</v>
      </c>
    </row>
    <row r="1092" spans="1:9" x14ac:dyDescent="0.25">
      <c r="A1092" s="753"/>
      <c r="C1092" s="131" t="s">
        <v>1034</v>
      </c>
      <c r="D1092" s="131">
        <v>16</v>
      </c>
      <c r="E1092" s="131" t="s">
        <v>1034</v>
      </c>
      <c r="F1092" s="767">
        <v>12869.93</v>
      </c>
      <c r="G1092" s="767">
        <v>120</v>
      </c>
      <c r="H1092" s="767">
        <v>12989.93</v>
      </c>
      <c r="I1092" s="768" t="s">
        <v>1558</v>
      </c>
    </row>
    <row r="1093" spans="1:9" x14ac:dyDescent="0.25">
      <c r="A1093" s="753"/>
      <c r="C1093" s="131" t="s">
        <v>188</v>
      </c>
      <c r="D1093" s="131">
        <v>16</v>
      </c>
      <c r="E1093" s="131" t="s">
        <v>188</v>
      </c>
      <c r="F1093" s="767">
        <v>-18862.04</v>
      </c>
      <c r="G1093" s="767">
        <v>-679.95</v>
      </c>
      <c r="H1093" s="767">
        <v>-19541.990000000002</v>
      </c>
      <c r="I1093" s="768" t="s">
        <v>1560</v>
      </c>
    </row>
    <row r="1094" spans="1:9" x14ac:dyDescent="0.25">
      <c r="A1094" s="753"/>
      <c r="C1094" s="131" t="s">
        <v>1036</v>
      </c>
      <c r="D1094" s="131">
        <v>16</v>
      </c>
      <c r="E1094" s="131" t="s">
        <v>1036</v>
      </c>
      <c r="F1094" s="767">
        <v>17651.16</v>
      </c>
      <c r="G1094" s="767">
        <v>605</v>
      </c>
      <c r="H1094" s="767">
        <v>18256.16</v>
      </c>
      <c r="I1094" s="768" t="s">
        <v>1561</v>
      </c>
    </row>
    <row r="1095" spans="1:9" x14ac:dyDescent="0.25">
      <c r="A1095" s="753"/>
      <c r="C1095" s="131" t="s">
        <v>242</v>
      </c>
      <c r="D1095" s="131">
        <v>16</v>
      </c>
      <c r="E1095" s="131" t="s">
        <v>242</v>
      </c>
      <c r="F1095" s="767">
        <v>-4675</v>
      </c>
      <c r="G1095" s="767">
        <v>0</v>
      </c>
      <c r="H1095" s="767">
        <v>-4675</v>
      </c>
      <c r="I1095" s="768" t="s">
        <v>1563</v>
      </c>
    </row>
    <row r="1096" spans="1:9" x14ac:dyDescent="0.25">
      <c r="A1096" s="753"/>
      <c r="C1096" s="131" t="s">
        <v>1038</v>
      </c>
      <c r="D1096" s="131">
        <v>16</v>
      </c>
      <c r="E1096" s="131" t="s">
        <v>1038</v>
      </c>
      <c r="F1096" s="767">
        <v>4609</v>
      </c>
      <c r="G1096" s="767">
        <v>0</v>
      </c>
      <c r="H1096" s="767">
        <v>4609</v>
      </c>
      <c r="I1096" s="768" t="s">
        <v>1564</v>
      </c>
    </row>
    <row r="1097" spans="1:9" x14ac:dyDescent="0.25">
      <c r="A1097" s="753">
        <v>801728</v>
      </c>
      <c r="B1097" s="130">
        <v>62</v>
      </c>
      <c r="E1097" s="131"/>
    </row>
    <row r="1098" spans="1:9" x14ac:dyDescent="0.25">
      <c r="A1098" s="753">
        <v>801812</v>
      </c>
      <c r="B1098" s="130">
        <v>32</v>
      </c>
      <c r="C1098" s="131" t="s">
        <v>1039</v>
      </c>
      <c r="D1098" s="131">
        <v>16</v>
      </c>
      <c r="E1098" s="131" t="s">
        <v>1039</v>
      </c>
      <c r="F1098" s="767">
        <v>-2.5299999999999998</v>
      </c>
      <c r="G1098" s="767">
        <v>-0.32</v>
      </c>
      <c r="H1098" s="767">
        <v>-2.85</v>
      </c>
      <c r="I1098" s="768" t="s">
        <v>1565</v>
      </c>
    </row>
    <row r="1099" spans="1:9" x14ac:dyDescent="0.25">
      <c r="A1099" s="753">
        <v>801814</v>
      </c>
      <c r="B1099" s="130">
        <v>4809</v>
      </c>
      <c r="C1099" s="131" t="s">
        <v>191</v>
      </c>
      <c r="D1099" s="131">
        <v>16</v>
      </c>
      <c r="E1099" s="131" t="s">
        <v>191</v>
      </c>
      <c r="F1099" s="767">
        <v>-40374.730000000003</v>
      </c>
      <c r="G1099" s="767">
        <v>-4808.7</v>
      </c>
      <c r="H1099" s="767">
        <v>-45183.43</v>
      </c>
      <c r="I1099" s="768" t="s">
        <v>1566</v>
      </c>
    </row>
    <row r="1100" spans="1:9" x14ac:dyDescent="0.25">
      <c r="A1100" s="753">
        <v>801816</v>
      </c>
      <c r="B1100" s="130">
        <v>3180</v>
      </c>
      <c r="C1100" s="131" t="s">
        <v>191</v>
      </c>
      <c r="D1100" s="131">
        <v>16</v>
      </c>
      <c r="E1100" s="131" t="s">
        <v>191</v>
      </c>
      <c r="F1100" s="767">
        <v>-40374.730000000003</v>
      </c>
      <c r="G1100" s="767">
        <v>-4808.7</v>
      </c>
      <c r="H1100" s="767">
        <v>-45183.43</v>
      </c>
      <c r="I1100" s="768" t="s">
        <v>1566</v>
      </c>
    </row>
    <row r="1101" spans="1:9" x14ac:dyDescent="0.25">
      <c r="A1101" s="753"/>
      <c r="C1101" s="131" t="s">
        <v>1040</v>
      </c>
      <c r="D1101" s="131">
        <v>16</v>
      </c>
      <c r="E1101" s="131" t="s">
        <v>1040</v>
      </c>
      <c r="F1101" s="767">
        <v>13595.03</v>
      </c>
      <c r="G1101" s="767">
        <v>1629.14</v>
      </c>
      <c r="H1101" s="767">
        <v>15224.17</v>
      </c>
      <c r="I1101" s="768" t="s">
        <v>1567</v>
      </c>
    </row>
    <row r="1102" spans="1:9" x14ac:dyDescent="0.25">
      <c r="A1102" s="753">
        <v>801818</v>
      </c>
      <c r="B1102" s="130">
        <v>661</v>
      </c>
      <c r="E1102" s="131"/>
    </row>
    <row r="1103" spans="1:9" x14ac:dyDescent="0.25">
      <c r="A1103" s="753">
        <v>801822</v>
      </c>
      <c r="B1103" s="130">
        <v>285</v>
      </c>
      <c r="C1103" s="131" t="s">
        <v>1039</v>
      </c>
      <c r="D1103" s="131">
        <v>16</v>
      </c>
      <c r="E1103" s="131" t="s">
        <v>1039</v>
      </c>
      <c r="F1103" s="767">
        <v>-2.5299999999999998</v>
      </c>
      <c r="G1103" s="767">
        <v>-0.32</v>
      </c>
      <c r="H1103" s="767">
        <v>-2.85</v>
      </c>
      <c r="I1103" s="768" t="s">
        <v>1565</v>
      </c>
    </row>
    <row r="1104" spans="1:9" x14ac:dyDescent="0.25">
      <c r="A1104" s="753">
        <v>801824</v>
      </c>
      <c r="B1104" s="130">
        <v>45183</v>
      </c>
      <c r="C1104" s="131" t="s">
        <v>191</v>
      </c>
      <c r="D1104" s="131">
        <v>16</v>
      </c>
      <c r="E1104" s="131" t="s">
        <v>191</v>
      </c>
      <c r="F1104" s="767">
        <v>-40374.730000000003</v>
      </c>
      <c r="G1104" s="767">
        <v>-4808.7</v>
      </c>
      <c r="H1104" s="767">
        <v>-45183.43</v>
      </c>
      <c r="I1104" s="768" t="s">
        <v>1566</v>
      </c>
    </row>
    <row r="1105" spans="1:9" x14ac:dyDescent="0.25">
      <c r="A1105" s="753">
        <v>801826</v>
      </c>
      <c r="B1105" s="130">
        <v>29959</v>
      </c>
      <c r="C1105" s="131" t="s">
        <v>191</v>
      </c>
      <c r="D1105" s="131">
        <v>16</v>
      </c>
      <c r="E1105" s="131" t="s">
        <v>191</v>
      </c>
      <c r="F1105" s="767">
        <v>-40374.730000000003</v>
      </c>
      <c r="G1105" s="767">
        <v>-4808.7</v>
      </c>
      <c r="H1105" s="767">
        <v>-45183.43</v>
      </c>
      <c r="I1105" s="768" t="s">
        <v>1566</v>
      </c>
    </row>
    <row r="1106" spans="1:9" x14ac:dyDescent="0.25">
      <c r="A1106" s="753"/>
      <c r="C1106" s="131" t="s">
        <v>1040</v>
      </c>
      <c r="D1106" s="131">
        <v>16</v>
      </c>
      <c r="E1106" s="131" t="s">
        <v>1040</v>
      </c>
      <c r="F1106" s="767">
        <v>13595.03</v>
      </c>
      <c r="G1106" s="767">
        <v>1629.14</v>
      </c>
      <c r="H1106" s="767">
        <v>15224.17</v>
      </c>
      <c r="I1106" s="768" t="s">
        <v>1567</v>
      </c>
    </row>
    <row r="1107" spans="1:9" x14ac:dyDescent="0.25">
      <c r="A1107" s="753">
        <v>801828</v>
      </c>
      <c r="B1107" s="130">
        <v>663</v>
      </c>
      <c r="E1107" s="131"/>
    </row>
    <row r="1108" spans="1:9" x14ac:dyDescent="0.25">
      <c r="A1108" s="753">
        <v>801912</v>
      </c>
      <c r="B1108" s="130">
        <v>44</v>
      </c>
      <c r="C1108" s="131" t="s">
        <v>1041</v>
      </c>
      <c r="D1108" s="131">
        <v>16</v>
      </c>
      <c r="E1108" s="131" t="s">
        <v>1041</v>
      </c>
      <c r="F1108" s="767">
        <v>-3.27</v>
      </c>
      <c r="G1108" s="767">
        <v>-0.44</v>
      </c>
      <c r="H1108" s="767">
        <v>-3.71</v>
      </c>
      <c r="I1108" s="768" t="s">
        <v>1568</v>
      </c>
    </row>
    <row r="1109" spans="1:9" x14ac:dyDescent="0.25">
      <c r="A1109" s="753">
        <v>801914</v>
      </c>
      <c r="B1109" s="130">
        <v>12430</v>
      </c>
      <c r="C1109" s="131" t="s">
        <v>192</v>
      </c>
      <c r="D1109" s="131">
        <v>16</v>
      </c>
      <c r="E1109" s="131" t="s">
        <v>192</v>
      </c>
      <c r="F1109" s="767">
        <v>-74036.63</v>
      </c>
      <c r="G1109" s="767">
        <v>-12430.06</v>
      </c>
      <c r="H1109" s="767">
        <v>-86466.69</v>
      </c>
      <c r="I1109" s="768" t="s">
        <v>1569</v>
      </c>
    </row>
    <row r="1110" spans="1:9" x14ac:dyDescent="0.25">
      <c r="A1110" s="753">
        <v>801916</v>
      </c>
      <c r="B1110" s="130">
        <v>8349</v>
      </c>
      <c r="C1110" s="131" t="s">
        <v>192</v>
      </c>
      <c r="D1110" s="131">
        <v>16</v>
      </c>
      <c r="E1110" s="131" t="s">
        <v>192</v>
      </c>
      <c r="F1110" s="767">
        <v>-74036.63</v>
      </c>
      <c r="G1110" s="767">
        <v>-12430.06</v>
      </c>
      <c r="H1110" s="767">
        <v>-86466.69</v>
      </c>
      <c r="I1110" s="768" t="s">
        <v>1569</v>
      </c>
    </row>
    <row r="1111" spans="1:9" x14ac:dyDescent="0.25">
      <c r="A1111" s="753"/>
      <c r="C1111" s="131" t="s">
        <v>1042</v>
      </c>
      <c r="D1111" s="131">
        <v>16</v>
      </c>
      <c r="E1111" s="131" t="s">
        <v>1042</v>
      </c>
      <c r="F1111" s="767">
        <v>27428.22</v>
      </c>
      <c r="G1111" s="767">
        <v>4080.65</v>
      </c>
      <c r="H1111" s="767">
        <v>31508.87</v>
      </c>
      <c r="I1111" s="768" t="s">
        <v>1570</v>
      </c>
    </row>
    <row r="1112" spans="1:9" x14ac:dyDescent="0.25">
      <c r="A1112" s="753">
        <v>801918</v>
      </c>
      <c r="B1112" s="130">
        <v>672</v>
      </c>
      <c r="E1112" s="131"/>
    </row>
    <row r="1113" spans="1:9" x14ac:dyDescent="0.25">
      <c r="A1113" s="753">
        <v>801922</v>
      </c>
      <c r="B1113" s="130">
        <v>371</v>
      </c>
      <c r="C1113" s="131" t="s">
        <v>1041</v>
      </c>
      <c r="D1113" s="131">
        <v>16</v>
      </c>
      <c r="E1113" s="131" t="s">
        <v>1041</v>
      </c>
      <c r="F1113" s="767">
        <v>-3.27</v>
      </c>
      <c r="G1113" s="767">
        <v>-0.44</v>
      </c>
      <c r="H1113" s="767">
        <v>-3.71</v>
      </c>
      <c r="I1113" s="768" t="s">
        <v>1568</v>
      </c>
    </row>
    <row r="1114" spans="1:9" x14ac:dyDescent="0.25">
      <c r="A1114" s="753">
        <v>801924</v>
      </c>
      <c r="B1114" s="130">
        <v>86467</v>
      </c>
      <c r="C1114" s="131" t="s">
        <v>192</v>
      </c>
      <c r="D1114" s="131">
        <v>16</v>
      </c>
      <c r="E1114" s="131" t="s">
        <v>192</v>
      </c>
      <c r="F1114" s="767">
        <v>-74036.63</v>
      </c>
      <c r="G1114" s="767">
        <v>-12430.06</v>
      </c>
      <c r="H1114" s="767">
        <v>-86466.69</v>
      </c>
      <c r="I1114" s="768" t="s">
        <v>1569</v>
      </c>
    </row>
    <row r="1115" spans="1:9" x14ac:dyDescent="0.25">
      <c r="A1115" s="753">
        <v>801926</v>
      </c>
      <c r="B1115" s="130">
        <v>54958</v>
      </c>
      <c r="C1115" s="131" t="s">
        <v>192</v>
      </c>
      <c r="D1115" s="131">
        <v>16</v>
      </c>
      <c r="E1115" s="131" t="s">
        <v>192</v>
      </c>
      <c r="F1115" s="767">
        <v>-74036.63</v>
      </c>
      <c r="G1115" s="767">
        <v>-12430.06</v>
      </c>
      <c r="H1115" s="767">
        <v>-86466.69</v>
      </c>
      <c r="I1115" s="768" t="s">
        <v>1569</v>
      </c>
    </row>
    <row r="1116" spans="1:9" x14ac:dyDescent="0.25">
      <c r="A1116" s="753"/>
      <c r="C1116" s="131" t="s">
        <v>1042</v>
      </c>
      <c r="D1116" s="131">
        <v>16</v>
      </c>
      <c r="E1116" s="131" t="s">
        <v>1042</v>
      </c>
      <c r="F1116" s="767">
        <v>27428.22</v>
      </c>
      <c r="G1116" s="767">
        <v>4080.65</v>
      </c>
      <c r="H1116" s="767">
        <v>31508.87</v>
      </c>
      <c r="I1116" s="768" t="s">
        <v>1570</v>
      </c>
    </row>
    <row r="1117" spans="1:9" x14ac:dyDescent="0.25">
      <c r="A1117" s="753">
        <v>801928</v>
      </c>
      <c r="B1117" s="130">
        <v>636</v>
      </c>
      <c r="E1117" s="131"/>
    </row>
    <row r="1118" spans="1:9" x14ac:dyDescent="0.25">
      <c r="A1118" s="753">
        <v>802012</v>
      </c>
      <c r="B1118" s="130">
        <v>11</v>
      </c>
      <c r="C1118" s="131" t="s">
        <v>1043</v>
      </c>
      <c r="D1118" s="131">
        <v>16</v>
      </c>
      <c r="E1118" s="131" t="s">
        <v>1043</v>
      </c>
      <c r="F1118" s="767">
        <v>-0.8</v>
      </c>
      <c r="G1118" s="767">
        <v>-0.11</v>
      </c>
      <c r="H1118" s="767">
        <v>-0.91</v>
      </c>
      <c r="I1118" s="768" t="s">
        <v>1571</v>
      </c>
    </row>
    <row r="1119" spans="1:9" x14ac:dyDescent="0.25">
      <c r="A1119" s="753">
        <v>802014</v>
      </c>
      <c r="B1119" s="130">
        <v>1767</v>
      </c>
      <c r="C1119" s="131" t="s">
        <v>243</v>
      </c>
      <c r="D1119" s="131">
        <v>16</v>
      </c>
      <c r="E1119" s="131" t="s">
        <v>243</v>
      </c>
      <c r="F1119" s="767">
        <v>-19970.28</v>
      </c>
      <c r="G1119" s="767">
        <v>-1766.7</v>
      </c>
      <c r="H1119" s="767">
        <v>-21736.98</v>
      </c>
      <c r="I1119" s="768" t="s">
        <v>1572</v>
      </c>
    </row>
    <row r="1120" spans="1:9" x14ac:dyDescent="0.25">
      <c r="A1120" s="753">
        <v>802016</v>
      </c>
      <c r="B1120" s="130">
        <v>1229</v>
      </c>
      <c r="C1120" s="131" t="s">
        <v>243</v>
      </c>
      <c r="D1120" s="131">
        <v>16</v>
      </c>
      <c r="E1120" s="131" t="s">
        <v>243</v>
      </c>
      <c r="F1120" s="767">
        <v>-19970.28</v>
      </c>
      <c r="G1120" s="767">
        <v>-1766.7</v>
      </c>
      <c r="H1120" s="767">
        <v>-21736.98</v>
      </c>
      <c r="I1120" s="768" t="s">
        <v>1572</v>
      </c>
    </row>
    <row r="1121" spans="1:9" x14ac:dyDescent="0.25">
      <c r="A1121" s="753"/>
      <c r="C1121" s="131" t="s">
        <v>1044</v>
      </c>
      <c r="D1121" s="131">
        <v>16</v>
      </c>
      <c r="E1121" s="131" t="s">
        <v>1044</v>
      </c>
      <c r="F1121" s="767">
        <v>6460.85</v>
      </c>
      <c r="G1121" s="767">
        <v>538.25</v>
      </c>
      <c r="H1121" s="767">
        <v>6999.1</v>
      </c>
      <c r="I1121" s="768" t="s">
        <v>1573</v>
      </c>
    </row>
    <row r="1122" spans="1:9" x14ac:dyDescent="0.25">
      <c r="A1122" s="753">
        <v>802018</v>
      </c>
      <c r="B1122" s="130">
        <v>696</v>
      </c>
      <c r="E1122" s="131"/>
    </row>
    <row r="1123" spans="1:9" x14ac:dyDescent="0.25">
      <c r="A1123" s="753">
        <v>802022</v>
      </c>
      <c r="B1123" s="130">
        <v>91</v>
      </c>
      <c r="C1123" s="131" t="s">
        <v>1043</v>
      </c>
      <c r="D1123" s="131">
        <v>16</v>
      </c>
      <c r="E1123" s="131" t="s">
        <v>1043</v>
      </c>
      <c r="F1123" s="767">
        <v>-0.8</v>
      </c>
      <c r="G1123" s="767">
        <v>-0.11</v>
      </c>
      <c r="H1123" s="767">
        <v>-0.91</v>
      </c>
      <c r="I1123" s="768" t="s">
        <v>1571</v>
      </c>
    </row>
    <row r="1124" spans="1:9" x14ac:dyDescent="0.25">
      <c r="A1124" s="753">
        <v>802024</v>
      </c>
      <c r="B1124" s="130">
        <v>21737</v>
      </c>
      <c r="C1124" s="131" t="s">
        <v>243</v>
      </c>
      <c r="D1124" s="131">
        <v>16</v>
      </c>
      <c r="E1124" s="131" t="s">
        <v>243</v>
      </c>
      <c r="F1124" s="767">
        <v>-19970.28</v>
      </c>
      <c r="G1124" s="767">
        <v>-1766.7</v>
      </c>
      <c r="H1124" s="767">
        <v>-21736.98</v>
      </c>
      <c r="I1124" s="768" t="s">
        <v>1572</v>
      </c>
    </row>
    <row r="1125" spans="1:9" x14ac:dyDescent="0.25">
      <c r="A1125" s="753">
        <v>802026</v>
      </c>
      <c r="B1125" s="130">
        <v>14738</v>
      </c>
      <c r="C1125" s="131" t="s">
        <v>243</v>
      </c>
      <c r="D1125" s="131">
        <v>16</v>
      </c>
      <c r="E1125" s="131" t="s">
        <v>243</v>
      </c>
      <c r="F1125" s="767">
        <v>-19970.28</v>
      </c>
      <c r="G1125" s="767">
        <v>-1766.7</v>
      </c>
      <c r="H1125" s="767">
        <v>-21736.98</v>
      </c>
      <c r="I1125" s="768" t="s">
        <v>1572</v>
      </c>
    </row>
    <row r="1126" spans="1:9" x14ac:dyDescent="0.25">
      <c r="A1126" s="753"/>
      <c r="C1126" s="131" t="s">
        <v>1044</v>
      </c>
      <c r="D1126" s="131">
        <v>16</v>
      </c>
      <c r="E1126" s="131" t="s">
        <v>1044</v>
      </c>
      <c r="F1126" s="767">
        <v>6460.85</v>
      </c>
      <c r="G1126" s="767">
        <v>538.25</v>
      </c>
      <c r="H1126" s="767">
        <v>6999.1</v>
      </c>
      <c r="I1126" s="768" t="s">
        <v>1573</v>
      </c>
    </row>
    <row r="1127" spans="1:9" x14ac:dyDescent="0.25">
      <c r="A1127" s="753">
        <v>802028</v>
      </c>
      <c r="B1127" s="130">
        <v>678</v>
      </c>
      <c r="E1127" s="131"/>
    </row>
    <row r="1128" spans="1:9" x14ac:dyDescent="0.25">
      <c r="A1128" s="753">
        <v>802112</v>
      </c>
      <c r="B1128" s="130">
        <v>0</v>
      </c>
      <c r="E1128" s="131"/>
    </row>
    <row r="1129" spans="1:9" x14ac:dyDescent="0.25">
      <c r="A1129" s="753">
        <v>802114</v>
      </c>
      <c r="B1129" s="130">
        <v>0</v>
      </c>
      <c r="E1129" s="131"/>
    </row>
    <row r="1130" spans="1:9" x14ac:dyDescent="0.25">
      <c r="A1130" s="753">
        <v>802116</v>
      </c>
      <c r="B1130" s="130">
        <v>0</v>
      </c>
      <c r="E1130" s="131"/>
    </row>
    <row r="1131" spans="1:9" x14ac:dyDescent="0.25">
      <c r="A1131" s="753">
        <v>802118</v>
      </c>
      <c r="B1131" s="130">
        <v>0</v>
      </c>
      <c r="E1131" s="131"/>
    </row>
    <row r="1132" spans="1:9" x14ac:dyDescent="0.25">
      <c r="A1132" s="753">
        <v>802122</v>
      </c>
      <c r="B1132" s="130">
        <v>0</v>
      </c>
      <c r="E1132" s="131"/>
    </row>
    <row r="1133" spans="1:9" x14ac:dyDescent="0.25">
      <c r="A1133" s="753">
        <v>802124</v>
      </c>
      <c r="B1133" s="130">
        <v>0</v>
      </c>
      <c r="E1133" s="131"/>
    </row>
    <row r="1134" spans="1:9" x14ac:dyDescent="0.25">
      <c r="A1134" s="753">
        <v>802126</v>
      </c>
      <c r="B1134" s="130">
        <v>0</v>
      </c>
      <c r="E1134" s="131"/>
    </row>
    <row r="1135" spans="1:9" x14ac:dyDescent="0.25">
      <c r="A1135" s="753">
        <v>802128</v>
      </c>
      <c r="B1135" s="130">
        <v>0</v>
      </c>
      <c r="E1135" s="131"/>
    </row>
    <row r="1136" spans="1:9" x14ac:dyDescent="0.25">
      <c r="A1136" s="753">
        <v>802212</v>
      </c>
      <c r="B1136" s="130">
        <v>0</v>
      </c>
      <c r="E1136" s="131"/>
    </row>
    <row r="1137" spans="1:9" x14ac:dyDescent="0.25">
      <c r="A1137" s="753">
        <v>802214</v>
      </c>
      <c r="B1137" s="130">
        <v>0</v>
      </c>
      <c r="E1137" s="131"/>
    </row>
    <row r="1138" spans="1:9" x14ac:dyDescent="0.25">
      <c r="A1138" s="753">
        <v>802216</v>
      </c>
      <c r="B1138" s="130">
        <v>0</v>
      </c>
      <c r="E1138" s="131"/>
    </row>
    <row r="1139" spans="1:9" x14ac:dyDescent="0.25">
      <c r="A1139" s="753">
        <v>802218</v>
      </c>
      <c r="B1139" s="130">
        <v>0</v>
      </c>
      <c r="E1139" s="131"/>
    </row>
    <row r="1140" spans="1:9" x14ac:dyDescent="0.25">
      <c r="A1140" s="753">
        <v>802222</v>
      </c>
      <c r="B1140" s="130">
        <v>0</v>
      </c>
      <c r="E1140" s="131"/>
    </row>
    <row r="1141" spans="1:9" x14ac:dyDescent="0.25">
      <c r="A1141" s="753">
        <v>802224</v>
      </c>
      <c r="B1141" s="130">
        <v>0</v>
      </c>
      <c r="E1141" s="131"/>
    </row>
    <row r="1142" spans="1:9" x14ac:dyDescent="0.25">
      <c r="A1142" s="753">
        <v>802226</v>
      </c>
      <c r="B1142" s="130">
        <v>0</v>
      </c>
      <c r="E1142" s="131"/>
    </row>
    <row r="1143" spans="1:9" x14ac:dyDescent="0.25">
      <c r="A1143" s="753">
        <v>802228</v>
      </c>
      <c r="B1143" s="130">
        <v>0</v>
      </c>
      <c r="E1143" s="131"/>
    </row>
    <row r="1144" spans="1:9" x14ac:dyDescent="0.25">
      <c r="A1144" s="753">
        <v>802312</v>
      </c>
      <c r="B1144" s="130">
        <v>87</v>
      </c>
      <c r="E1144" s="131"/>
    </row>
    <row r="1145" spans="1:9" x14ac:dyDescent="0.25">
      <c r="A1145" s="753">
        <v>802314</v>
      </c>
      <c r="B1145" s="130">
        <v>19006</v>
      </c>
      <c r="E1145" s="131"/>
    </row>
    <row r="1146" spans="1:9" x14ac:dyDescent="0.25">
      <c r="A1146" s="753">
        <v>802316</v>
      </c>
      <c r="B1146" s="130">
        <v>12758</v>
      </c>
      <c r="C1146" s="131" t="s">
        <v>191</v>
      </c>
      <c r="D1146" s="131">
        <v>16</v>
      </c>
      <c r="E1146" s="131" t="s">
        <v>191</v>
      </c>
      <c r="F1146" s="767">
        <v>-40374.730000000003</v>
      </c>
      <c r="G1146" s="767">
        <v>-4808.7</v>
      </c>
      <c r="H1146" s="767">
        <v>-45183.43</v>
      </c>
      <c r="I1146" s="768" t="s">
        <v>1566</v>
      </c>
    </row>
    <row r="1147" spans="1:9" x14ac:dyDescent="0.25">
      <c r="A1147" s="753"/>
      <c r="C1147" s="131" t="s">
        <v>1040</v>
      </c>
      <c r="D1147" s="131">
        <v>16</v>
      </c>
      <c r="E1147" s="131" t="s">
        <v>1040</v>
      </c>
      <c r="F1147" s="767">
        <v>13595.03</v>
      </c>
      <c r="G1147" s="767">
        <v>1629.14</v>
      </c>
      <c r="H1147" s="767">
        <v>15224.17</v>
      </c>
      <c r="I1147" s="768" t="s">
        <v>1567</v>
      </c>
    </row>
    <row r="1148" spans="1:9" x14ac:dyDescent="0.25">
      <c r="A1148" s="753"/>
      <c r="C1148" s="131" t="s">
        <v>192</v>
      </c>
      <c r="D1148" s="131">
        <v>16</v>
      </c>
      <c r="E1148" s="131" t="s">
        <v>192</v>
      </c>
      <c r="F1148" s="767">
        <v>-74036.63</v>
      </c>
      <c r="G1148" s="767">
        <v>-12430.06</v>
      </c>
      <c r="H1148" s="767">
        <v>-86466.69</v>
      </c>
      <c r="I1148" s="768" t="s">
        <v>1569</v>
      </c>
    </row>
    <row r="1149" spans="1:9" x14ac:dyDescent="0.25">
      <c r="A1149" s="753"/>
      <c r="C1149" s="131" t="s">
        <v>1042</v>
      </c>
      <c r="D1149" s="131">
        <v>16</v>
      </c>
      <c r="E1149" s="131" t="s">
        <v>1042</v>
      </c>
      <c r="F1149" s="767">
        <v>27428.22</v>
      </c>
      <c r="G1149" s="767">
        <v>4080.65</v>
      </c>
      <c r="H1149" s="767">
        <v>31508.87</v>
      </c>
      <c r="I1149" s="768" t="s">
        <v>1570</v>
      </c>
    </row>
    <row r="1150" spans="1:9" x14ac:dyDescent="0.25">
      <c r="A1150" s="753"/>
      <c r="C1150" s="131" t="s">
        <v>243</v>
      </c>
      <c r="D1150" s="131">
        <v>16</v>
      </c>
      <c r="E1150" s="131" t="s">
        <v>243</v>
      </c>
      <c r="F1150" s="767">
        <v>-19970.28</v>
      </c>
      <c r="G1150" s="767">
        <v>-1766.7</v>
      </c>
      <c r="H1150" s="767">
        <v>-21736.98</v>
      </c>
      <c r="I1150" s="768" t="s">
        <v>1572</v>
      </c>
    </row>
    <row r="1151" spans="1:9" x14ac:dyDescent="0.25">
      <c r="A1151" s="753"/>
      <c r="C1151" s="131" t="s">
        <v>1044</v>
      </c>
      <c r="D1151" s="131">
        <v>16</v>
      </c>
      <c r="E1151" s="131" t="s">
        <v>1044</v>
      </c>
      <c r="F1151" s="767">
        <v>6460.85</v>
      </c>
      <c r="G1151" s="767">
        <v>538.25</v>
      </c>
      <c r="H1151" s="767">
        <v>6999.1</v>
      </c>
      <c r="I1151" s="768" t="s">
        <v>1573</v>
      </c>
    </row>
    <row r="1152" spans="1:9" x14ac:dyDescent="0.25">
      <c r="A1152" s="753">
        <v>802318</v>
      </c>
      <c r="B1152" s="130">
        <v>671</v>
      </c>
      <c r="E1152" s="131"/>
    </row>
    <row r="1153" spans="1:9" x14ac:dyDescent="0.25">
      <c r="A1153" s="753">
        <v>802322</v>
      </c>
      <c r="B1153" s="130">
        <v>747</v>
      </c>
      <c r="E1153" s="131"/>
    </row>
    <row r="1154" spans="1:9" x14ac:dyDescent="0.25">
      <c r="A1154" s="753">
        <v>802324</v>
      </c>
      <c r="B1154" s="130">
        <v>153387</v>
      </c>
      <c r="E1154" s="131"/>
    </row>
    <row r="1155" spans="1:9" x14ac:dyDescent="0.25">
      <c r="A1155" s="753">
        <v>802326</v>
      </c>
      <c r="B1155" s="130">
        <v>99655</v>
      </c>
      <c r="C1155" s="131" t="s">
        <v>191</v>
      </c>
      <c r="D1155" s="131">
        <v>16</v>
      </c>
      <c r="E1155" s="131" t="s">
        <v>191</v>
      </c>
      <c r="F1155" s="767">
        <v>-40374.730000000003</v>
      </c>
      <c r="G1155" s="767">
        <v>-4808.7</v>
      </c>
      <c r="H1155" s="767">
        <v>-45183.43</v>
      </c>
      <c r="I1155" s="768" t="s">
        <v>1566</v>
      </c>
    </row>
    <row r="1156" spans="1:9" x14ac:dyDescent="0.25">
      <c r="A1156" s="753"/>
      <c r="C1156" s="131" t="s">
        <v>1040</v>
      </c>
      <c r="D1156" s="131">
        <v>16</v>
      </c>
      <c r="E1156" s="131" t="s">
        <v>1040</v>
      </c>
      <c r="F1156" s="767">
        <v>13595.03</v>
      </c>
      <c r="G1156" s="767">
        <v>1629.14</v>
      </c>
      <c r="H1156" s="767">
        <v>15224.17</v>
      </c>
      <c r="I1156" s="768" t="s">
        <v>1567</v>
      </c>
    </row>
    <row r="1157" spans="1:9" x14ac:dyDescent="0.25">
      <c r="A1157" s="753"/>
      <c r="C1157" s="131" t="s">
        <v>192</v>
      </c>
      <c r="D1157" s="131">
        <v>16</v>
      </c>
      <c r="E1157" s="131" t="s">
        <v>192</v>
      </c>
      <c r="F1157" s="767">
        <v>-74036.63</v>
      </c>
      <c r="G1157" s="767">
        <v>-12430.06</v>
      </c>
      <c r="H1157" s="767">
        <v>-86466.69</v>
      </c>
      <c r="I1157" s="768" t="s">
        <v>1569</v>
      </c>
    </row>
    <row r="1158" spans="1:9" x14ac:dyDescent="0.25">
      <c r="A1158" s="753"/>
      <c r="C1158" s="131" t="s">
        <v>1042</v>
      </c>
      <c r="D1158" s="131">
        <v>16</v>
      </c>
      <c r="E1158" s="131" t="s">
        <v>1042</v>
      </c>
      <c r="F1158" s="767">
        <v>27428.22</v>
      </c>
      <c r="G1158" s="767">
        <v>4080.65</v>
      </c>
      <c r="H1158" s="767">
        <v>31508.87</v>
      </c>
      <c r="I1158" s="768" t="s">
        <v>1570</v>
      </c>
    </row>
    <row r="1159" spans="1:9" x14ac:dyDescent="0.25">
      <c r="A1159" s="753"/>
      <c r="C1159" s="131" t="s">
        <v>243</v>
      </c>
      <c r="D1159" s="131">
        <v>16</v>
      </c>
      <c r="E1159" s="131" t="s">
        <v>243</v>
      </c>
      <c r="F1159" s="767">
        <v>-19970.28</v>
      </c>
      <c r="G1159" s="767">
        <v>-1766.7</v>
      </c>
      <c r="H1159" s="767">
        <v>-21736.98</v>
      </c>
      <c r="I1159" s="768" t="s">
        <v>1572</v>
      </c>
    </row>
    <row r="1160" spans="1:9" x14ac:dyDescent="0.25">
      <c r="A1160" s="753"/>
      <c r="C1160" s="131" t="s">
        <v>1044</v>
      </c>
      <c r="D1160" s="131">
        <v>16</v>
      </c>
      <c r="E1160" s="131" t="s">
        <v>1044</v>
      </c>
      <c r="F1160" s="767">
        <v>6460.85</v>
      </c>
      <c r="G1160" s="767">
        <v>538.25</v>
      </c>
      <c r="H1160" s="767">
        <v>6999.1</v>
      </c>
      <c r="I1160" s="768" t="s">
        <v>1573</v>
      </c>
    </row>
    <row r="1161" spans="1:9" x14ac:dyDescent="0.25">
      <c r="A1161" s="753">
        <v>802328</v>
      </c>
      <c r="B1161" s="130">
        <v>650</v>
      </c>
      <c r="E1161" s="131"/>
    </row>
    <row r="1162" spans="1:9" x14ac:dyDescent="0.25">
      <c r="A1162" s="753">
        <v>802412</v>
      </c>
      <c r="B1162" s="130">
        <v>62</v>
      </c>
      <c r="C1162" s="131" t="s">
        <v>1045</v>
      </c>
      <c r="D1162" s="131">
        <v>16</v>
      </c>
      <c r="E1162" s="131" t="s">
        <v>1045</v>
      </c>
      <c r="F1162" s="767">
        <v>-3.52</v>
      </c>
      <c r="G1162" s="767">
        <v>-0.37</v>
      </c>
      <c r="H1162" s="767">
        <v>-3.89</v>
      </c>
      <c r="I1162" s="768" t="s">
        <v>1574</v>
      </c>
    </row>
    <row r="1163" spans="1:9" x14ac:dyDescent="0.25">
      <c r="A1163" s="753"/>
      <c r="C1163" s="131" t="s">
        <v>1045</v>
      </c>
      <c r="D1163" s="131">
        <v>16</v>
      </c>
      <c r="E1163" s="131" t="s">
        <v>1575</v>
      </c>
      <c r="F1163" s="767">
        <v>-2.62</v>
      </c>
      <c r="G1163" s="767">
        <v>-0.25</v>
      </c>
      <c r="H1163" s="767">
        <v>-2.87</v>
      </c>
      <c r="I1163" s="768" t="s">
        <v>1576</v>
      </c>
    </row>
    <row r="1164" spans="1:9" x14ac:dyDescent="0.25">
      <c r="A1164" s="753">
        <v>802414</v>
      </c>
      <c r="B1164" s="130">
        <v>13442</v>
      </c>
      <c r="C1164" s="131" t="s">
        <v>195</v>
      </c>
      <c r="D1164" s="131">
        <v>16</v>
      </c>
      <c r="E1164" s="131" t="s">
        <v>195</v>
      </c>
      <c r="F1164" s="767">
        <v>-68222.350000000006</v>
      </c>
      <c r="G1164" s="767">
        <v>-8204.73</v>
      </c>
      <c r="H1164" s="767">
        <v>-76427.08</v>
      </c>
      <c r="I1164" s="768" t="s">
        <v>1577</v>
      </c>
    </row>
    <row r="1165" spans="1:9" x14ac:dyDescent="0.25">
      <c r="A1165" s="753"/>
      <c r="C1165" s="131" t="s">
        <v>195</v>
      </c>
      <c r="D1165" s="131">
        <v>16</v>
      </c>
      <c r="E1165" s="131" t="s">
        <v>1578</v>
      </c>
      <c r="F1165" s="767">
        <v>-63422.27</v>
      </c>
      <c r="G1165" s="767">
        <v>-5236.8500000000004</v>
      </c>
      <c r="H1165" s="767">
        <v>-68659.12</v>
      </c>
      <c r="I1165" s="768" t="s">
        <v>1579</v>
      </c>
    </row>
    <row r="1166" spans="1:9" x14ac:dyDescent="0.25">
      <c r="A1166" s="753">
        <v>802416</v>
      </c>
      <c r="B1166" s="130">
        <v>7986</v>
      </c>
      <c r="C1166" s="131" t="s">
        <v>195</v>
      </c>
      <c r="D1166" s="131">
        <v>16</v>
      </c>
      <c r="E1166" s="131" t="s">
        <v>195</v>
      </c>
      <c r="F1166" s="767">
        <v>-68222.350000000006</v>
      </c>
      <c r="G1166" s="767">
        <v>-8204.73</v>
      </c>
      <c r="H1166" s="767">
        <v>-76427.08</v>
      </c>
      <c r="I1166" s="768" t="s">
        <v>1577</v>
      </c>
    </row>
    <row r="1167" spans="1:9" x14ac:dyDescent="0.25">
      <c r="A1167" s="753"/>
      <c r="C1167" s="131" t="s">
        <v>195</v>
      </c>
      <c r="D1167" s="131">
        <v>16</v>
      </c>
      <c r="E1167" s="131" t="s">
        <v>1578</v>
      </c>
      <c r="F1167" s="767">
        <v>-63422.27</v>
      </c>
      <c r="G1167" s="767">
        <v>-5236.8500000000004</v>
      </c>
      <c r="H1167" s="767">
        <v>-68659.12</v>
      </c>
      <c r="I1167" s="768" t="s">
        <v>1579</v>
      </c>
    </row>
    <row r="1168" spans="1:9" x14ac:dyDescent="0.25">
      <c r="A1168" s="753"/>
      <c r="C1168" s="131" t="s">
        <v>1046</v>
      </c>
      <c r="D1168" s="131">
        <v>16</v>
      </c>
      <c r="E1168" s="131" t="s">
        <v>1046</v>
      </c>
      <c r="F1168" s="767">
        <v>17018.05</v>
      </c>
      <c r="G1168" s="767">
        <v>1951.39</v>
      </c>
      <c r="H1168" s="767">
        <v>18969.439999999999</v>
      </c>
      <c r="I1168" s="768" t="s">
        <v>1580</v>
      </c>
    </row>
    <row r="1169" spans="1:9" x14ac:dyDescent="0.25">
      <c r="A1169" s="753"/>
      <c r="C1169" s="131" t="s">
        <v>1046</v>
      </c>
      <c r="D1169" s="131">
        <v>16</v>
      </c>
      <c r="E1169" s="131" t="s">
        <v>1581</v>
      </c>
      <c r="F1169" s="767">
        <v>43286.97</v>
      </c>
      <c r="G1169" s="767">
        <v>3504.8</v>
      </c>
      <c r="H1169" s="767">
        <v>46791.77</v>
      </c>
      <c r="I1169" s="768" t="s">
        <v>1582</v>
      </c>
    </row>
    <row r="1170" spans="1:9" x14ac:dyDescent="0.25">
      <c r="A1170" s="753">
        <v>802418</v>
      </c>
      <c r="B1170" s="130">
        <v>594</v>
      </c>
      <c r="E1170" s="131"/>
    </row>
    <row r="1171" spans="1:9" x14ac:dyDescent="0.25">
      <c r="A1171" s="753">
        <v>802422</v>
      </c>
      <c r="B1171" s="130">
        <v>676</v>
      </c>
      <c r="C1171" s="131" t="s">
        <v>1045</v>
      </c>
      <c r="D1171" s="131">
        <v>16</v>
      </c>
      <c r="E1171" s="131" t="s">
        <v>1045</v>
      </c>
      <c r="F1171" s="767">
        <v>-3.52</v>
      </c>
      <c r="G1171" s="767">
        <v>-0.37</v>
      </c>
      <c r="H1171" s="767">
        <v>-3.89</v>
      </c>
      <c r="I1171" s="768" t="s">
        <v>1574</v>
      </c>
    </row>
    <row r="1172" spans="1:9" x14ac:dyDescent="0.25">
      <c r="A1172" s="753"/>
      <c r="C1172" s="131" t="s">
        <v>1045</v>
      </c>
      <c r="D1172" s="131">
        <v>16</v>
      </c>
      <c r="E1172" s="131" t="s">
        <v>1575</v>
      </c>
      <c r="F1172" s="767">
        <v>-2.62</v>
      </c>
      <c r="G1172" s="767">
        <v>-0.25</v>
      </c>
      <c r="H1172" s="767">
        <v>-2.87</v>
      </c>
      <c r="I1172" s="768" t="s">
        <v>1576</v>
      </c>
    </row>
    <row r="1173" spans="1:9" x14ac:dyDescent="0.25">
      <c r="A1173" s="753">
        <v>802424</v>
      </c>
      <c r="B1173" s="130">
        <v>145086</v>
      </c>
      <c r="C1173" s="131" t="s">
        <v>195</v>
      </c>
      <c r="D1173" s="131">
        <v>16</v>
      </c>
      <c r="E1173" s="131" t="s">
        <v>195</v>
      </c>
      <c r="F1173" s="767">
        <v>-68222.350000000006</v>
      </c>
      <c r="G1173" s="767">
        <v>-8204.73</v>
      </c>
      <c r="H1173" s="767">
        <v>-76427.08</v>
      </c>
      <c r="I1173" s="768" t="s">
        <v>1577</v>
      </c>
    </row>
    <row r="1174" spans="1:9" x14ac:dyDescent="0.25">
      <c r="A1174" s="753"/>
      <c r="C1174" s="131" t="s">
        <v>195</v>
      </c>
      <c r="D1174" s="131">
        <v>16</v>
      </c>
      <c r="E1174" s="131" t="s">
        <v>1578</v>
      </c>
      <c r="F1174" s="767">
        <v>-63422.27</v>
      </c>
      <c r="G1174" s="767">
        <v>-5236.8500000000004</v>
      </c>
      <c r="H1174" s="767">
        <v>-68659.12</v>
      </c>
      <c r="I1174" s="768" t="s">
        <v>1579</v>
      </c>
    </row>
    <row r="1175" spans="1:9" x14ac:dyDescent="0.25">
      <c r="A1175" s="753">
        <v>802426</v>
      </c>
      <c r="B1175" s="130">
        <v>79325</v>
      </c>
      <c r="C1175" s="131" t="s">
        <v>195</v>
      </c>
      <c r="D1175" s="131">
        <v>16</v>
      </c>
      <c r="E1175" s="131" t="s">
        <v>195</v>
      </c>
      <c r="F1175" s="767">
        <v>-68222.350000000006</v>
      </c>
      <c r="G1175" s="767">
        <v>-8204.73</v>
      </c>
      <c r="H1175" s="767">
        <v>-76427.08</v>
      </c>
      <c r="I1175" s="768" t="s">
        <v>1577</v>
      </c>
    </row>
    <row r="1176" spans="1:9" x14ac:dyDescent="0.25">
      <c r="A1176" s="753"/>
      <c r="C1176" s="131" t="s">
        <v>195</v>
      </c>
      <c r="D1176" s="131">
        <v>16</v>
      </c>
      <c r="E1176" s="131" t="s">
        <v>1578</v>
      </c>
      <c r="F1176" s="767">
        <v>-63422.27</v>
      </c>
      <c r="G1176" s="767">
        <v>-5236.8500000000004</v>
      </c>
      <c r="H1176" s="767">
        <v>-68659.12</v>
      </c>
      <c r="I1176" s="768" t="s">
        <v>1579</v>
      </c>
    </row>
    <row r="1177" spans="1:9" x14ac:dyDescent="0.25">
      <c r="A1177" s="753"/>
      <c r="C1177" s="131" t="s">
        <v>1046</v>
      </c>
      <c r="D1177" s="131">
        <v>16</v>
      </c>
      <c r="E1177" s="131" t="s">
        <v>1046</v>
      </c>
      <c r="F1177" s="767">
        <v>17018.05</v>
      </c>
      <c r="G1177" s="767">
        <v>1951.39</v>
      </c>
      <c r="H1177" s="767">
        <v>18969.439999999999</v>
      </c>
      <c r="I1177" s="768" t="s">
        <v>1580</v>
      </c>
    </row>
    <row r="1178" spans="1:9" x14ac:dyDescent="0.25">
      <c r="A1178" s="753"/>
      <c r="C1178" s="131" t="s">
        <v>1046</v>
      </c>
      <c r="D1178" s="131">
        <v>16</v>
      </c>
      <c r="E1178" s="131" t="s">
        <v>1581</v>
      </c>
      <c r="F1178" s="767">
        <v>43286.97</v>
      </c>
      <c r="G1178" s="767">
        <v>3504.8</v>
      </c>
      <c r="H1178" s="767">
        <v>46791.77</v>
      </c>
      <c r="I1178" s="768" t="s">
        <v>1582</v>
      </c>
    </row>
    <row r="1179" spans="1:9" x14ac:dyDescent="0.25">
      <c r="A1179" s="753">
        <v>802428</v>
      </c>
      <c r="B1179" s="130">
        <v>547</v>
      </c>
      <c r="E1179" s="131"/>
    </row>
    <row r="1180" spans="1:9" x14ac:dyDescent="0.25">
      <c r="A1180" s="753">
        <v>802512</v>
      </c>
      <c r="B1180" s="130">
        <v>82</v>
      </c>
      <c r="C1180" s="131" t="s">
        <v>1047</v>
      </c>
      <c r="D1180" s="131">
        <v>16</v>
      </c>
      <c r="E1180" s="131" t="s">
        <v>1047</v>
      </c>
      <c r="F1180" s="767">
        <v>-4.45</v>
      </c>
      <c r="G1180" s="767">
        <v>-0.52</v>
      </c>
      <c r="H1180" s="767">
        <v>-4.97</v>
      </c>
      <c r="I1180" s="768" t="s">
        <v>1583</v>
      </c>
    </row>
    <row r="1181" spans="1:9" x14ac:dyDescent="0.25">
      <c r="A1181" s="753"/>
      <c r="C1181" s="131" t="s">
        <v>1047</v>
      </c>
      <c r="D1181" s="131">
        <v>16</v>
      </c>
      <c r="E1181" s="131" t="s">
        <v>1051</v>
      </c>
      <c r="F1181" s="767">
        <v>-2.57</v>
      </c>
      <c r="G1181" s="767">
        <v>-0.3</v>
      </c>
      <c r="H1181" s="767">
        <v>-2.87</v>
      </c>
      <c r="I1181" s="768" t="s">
        <v>1584</v>
      </c>
    </row>
    <row r="1182" spans="1:9" x14ac:dyDescent="0.25">
      <c r="A1182" s="753">
        <v>802514</v>
      </c>
      <c r="B1182" s="130">
        <v>24430</v>
      </c>
      <c r="C1182" s="131" t="s">
        <v>223</v>
      </c>
      <c r="D1182" s="131">
        <v>16</v>
      </c>
      <c r="E1182" s="131" t="s">
        <v>223</v>
      </c>
      <c r="F1182" s="767">
        <v>-107161.95</v>
      </c>
      <c r="G1182" s="767">
        <v>-18030.36</v>
      </c>
      <c r="H1182" s="767">
        <v>-125192.31</v>
      </c>
      <c r="I1182" s="768" t="s">
        <v>1585</v>
      </c>
    </row>
    <row r="1183" spans="1:9" x14ac:dyDescent="0.25">
      <c r="A1183" s="753"/>
      <c r="C1183" s="131" t="s">
        <v>223</v>
      </c>
      <c r="D1183" s="131">
        <v>16</v>
      </c>
      <c r="E1183" s="131" t="s">
        <v>2</v>
      </c>
      <c r="F1183" s="767">
        <v>-58469.59</v>
      </c>
      <c r="G1183" s="767">
        <v>-6399.5</v>
      </c>
      <c r="H1183" s="767">
        <v>-64869.09</v>
      </c>
      <c r="I1183" s="768" t="s">
        <v>1586</v>
      </c>
    </row>
    <row r="1184" spans="1:9" x14ac:dyDescent="0.25">
      <c r="A1184" s="753">
        <v>802516</v>
      </c>
      <c r="B1184" s="130">
        <v>16746</v>
      </c>
      <c r="C1184" s="131" t="s">
        <v>223</v>
      </c>
      <c r="D1184" s="131">
        <v>16</v>
      </c>
      <c r="E1184" s="131" t="s">
        <v>223</v>
      </c>
      <c r="F1184" s="767">
        <v>-107161.95</v>
      </c>
      <c r="G1184" s="767">
        <v>-18030.36</v>
      </c>
      <c r="H1184" s="767">
        <v>-125192.31</v>
      </c>
      <c r="I1184" s="768" t="s">
        <v>1585</v>
      </c>
    </row>
    <row r="1185" spans="1:9" x14ac:dyDescent="0.25">
      <c r="A1185" s="753"/>
      <c r="C1185" s="131" t="s">
        <v>223</v>
      </c>
      <c r="D1185" s="131">
        <v>16</v>
      </c>
      <c r="E1185" s="131" t="s">
        <v>2</v>
      </c>
      <c r="F1185" s="767">
        <v>-58469.59</v>
      </c>
      <c r="G1185" s="767">
        <v>-6399.5</v>
      </c>
      <c r="H1185" s="767">
        <v>-64869.09</v>
      </c>
      <c r="I1185" s="768" t="s">
        <v>1586</v>
      </c>
    </row>
    <row r="1186" spans="1:9" x14ac:dyDescent="0.25">
      <c r="A1186" s="753"/>
      <c r="C1186" s="131" t="s">
        <v>1048</v>
      </c>
      <c r="D1186" s="131">
        <v>16</v>
      </c>
      <c r="E1186" s="131" t="s">
        <v>1048</v>
      </c>
      <c r="F1186" s="767">
        <v>22432.58</v>
      </c>
      <c r="G1186" s="767">
        <v>3475.07</v>
      </c>
      <c r="H1186" s="767">
        <v>25907.65</v>
      </c>
      <c r="I1186" s="768" t="s">
        <v>1587</v>
      </c>
    </row>
    <row r="1187" spans="1:9" x14ac:dyDescent="0.25">
      <c r="A1187" s="753"/>
      <c r="C1187" s="131" t="s">
        <v>1048</v>
      </c>
      <c r="D1187" s="131">
        <v>16</v>
      </c>
      <c r="E1187" s="131" t="s">
        <v>1052</v>
      </c>
      <c r="F1187" s="767">
        <v>38716.980000000003</v>
      </c>
      <c r="G1187" s="767">
        <v>4209</v>
      </c>
      <c r="H1187" s="767">
        <v>42925.98</v>
      </c>
      <c r="I1187" s="768" t="s">
        <v>1588</v>
      </c>
    </row>
    <row r="1188" spans="1:9" x14ac:dyDescent="0.25">
      <c r="A1188" s="753">
        <v>802518</v>
      </c>
      <c r="B1188" s="130">
        <v>685</v>
      </c>
      <c r="E1188" s="131"/>
    </row>
    <row r="1189" spans="1:9" x14ac:dyDescent="0.25">
      <c r="A1189" s="753">
        <v>802522</v>
      </c>
      <c r="B1189" s="130">
        <v>784</v>
      </c>
      <c r="C1189" s="131" t="s">
        <v>1047</v>
      </c>
      <c r="D1189" s="131">
        <v>16</v>
      </c>
      <c r="E1189" s="131" t="s">
        <v>1047</v>
      </c>
      <c r="F1189" s="767">
        <v>-4.45</v>
      </c>
      <c r="G1189" s="767">
        <v>-0.52</v>
      </c>
      <c r="H1189" s="767">
        <v>-4.97</v>
      </c>
      <c r="I1189" s="768" t="s">
        <v>1583</v>
      </c>
    </row>
    <row r="1190" spans="1:9" x14ac:dyDescent="0.25">
      <c r="A1190" s="753"/>
      <c r="C1190" s="131" t="s">
        <v>1047</v>
      </c>
      <c r="D1190" s="131">
        <v>16</v>
      </c>
      <c r="E1190" s="131" t="s">
        <v>1051</v>
      </c>
      <c r="F1190" s="767">
        <v>-2.57</v>
      </c>
      <c r="G1190" s="767">
        <v>-0.3</v>
      </c>
      <c r="H1190" s="767">
        <v>-2.87</v>
      </c>
      <c r="I1190" s="768" t="s">
        <v>1584</v>
      </c>
    </row>
    <row r="1191" spans="1:9" x14ac:dyDescent="0.25">
      <c r="A1191" s="753">
        <v>802524</v>
      </c>
      <c r="B1191" s="130">
        <v>190061</v>
      </c>
      <c r="C1191" s="131" t="s">
        <v>223</v>
      </c>
      <c r="D1191" s="131">
        <v>16</v>
      </c>
      <c r="E1191" s="131" t="s">
        <v>223</v>
      </c>
      <c r="F1191" s="767">
        <v>-107161.95</v>
      </c>
      <c r="G1191" s="767">
        <v>-18030.36</v>
      </c>
      <c r="H1191" s="767">
        <v>-125192.31</v>
      </c>
      <c r="I1191" s="768" t="s">
        <v>1585</v>
      </c>
    </row>
    <row r="1192" spans="1:9" x14ac:dyDescent="0.25">
      <c r="A1192" s="753"/>
      <c r="C1192" s="131" t="s">
        <v>223</v>
      </c>
      <c r="D1192" s="131">
        <v>16</v>
      </c>
      <c r="E1192" s="131" t="s">
        <v>2</v>
      </c>
      <c r="F1192" s="767">
        <v>-58469.59</v>
      </c>
      <c r="G1192" s="767">
        <v>-6399.5</v>
      </c>
      <c r="H1192" s="767">
        <v>-64869.09</v>
      </c>
      <c r="I1192" s="768" t="s">
        <v>1586</v>
      </c>
    </row>
    <row r="1193" spans="1:9" x14ac:dyDescent="0.25">
      <c r="A1193" s="753">
        <v>802526</v>
      </c>
      <c r="B1193" s="130">
        <v>121227</v>
      </c>
      <c r="C1193" s="131" t="s">
        <v>223</v>
      </c>
      <c r="D1193" s="131">
        <v>16</v>
      </c>
      <c r="E1193" s="131" t="s">
        <v>223</v>
      </c>
      <c r="F1193" s="767">
        <v>-107161.95</v>
      </c>
      <c r="G1193" s="767">
        <v>-18030.36</v>
      </c>
      <c r="H1193" s="767">
        <v>-125192.31</v>
      </c>
      <c r="I1193" s="768" t="s">
        <v>1585</v>
      </c>
    </row>
    <row r="1194" spans="1:9" x14ac:dyDescent="0.25">
      <c r="A1194" s="753"/>
      <c r="C1194" s="131" t="s">
        <v>223</v>
      </c>
      <c r="D1194" s="131">
        <v>16</v>
      </c>
      <c r="E1194" s="131" t="s">
        <v>2</v>
      </c>
      <c r="F1194" s="767">
        <v>-58469.59</v>
      </c>
      <c r="G1194" s="767">
        <v>-6399.5</v>
      </c>
      <c r="H1194" s="767">
        <v>-64869.09</v>
      </c>
      <c r="I1194" s="768" t="s">
        <v>1586</v>
      </c>
    </row>
    <row r="1195" spans="1:9" x14ac:dyDescent="0.25">
      <c r="A1195" s="753"/>
      <c r="C1195" s="131" t="s">
        <v>1048</v>
      </c>
      <c r="D1195" s="131">
        <v>16</v>
      </c>
      <c r="E1195" s="131" t="s">
        <v>1048</v>
      </c>
      <c r="F1195" s="767">
        <v>22432.58</v>
      </c>
      <c r="G1195" s="767">
        <v>3475.07</v>
      </c>
      <c r="H1195" s="767">
        <v>25907.65</v>
      </c>
      <c r="I1195" s="768" t="s">
        <v>1587</v>
      </c>
    </row>
    <row r="1196" spans="1:9" x14ac:dyDescent="0.25">
      <c r="A1196" s="753"/>
      <c r="C1196" s="131" t="s">
        <v>1048</v>
      </c>
      <c r="D1196" s="131">
        <v>16</v>
      </c>
      <c r="E1196" s="131" t="s">
        <v>1052</v>
      </c>
      <c r="F1196" s="767">
        <v>38716.980000000003</v>
      </c>
      <c r="G1196" s="767">
        <v>4209</v>
      </c>
      <c r="H1196" s="767">
        <v>42925.98</v>
      </c>
      <c r="I1196" s="768" t="s">
        <v>1588</v>
      </c>
    </row>
    <row r="1197" spans="1:9" x14ac:dyDescent="0.25">
      <c r="A1197" s="753">
        <v>802528</v>
      </c>
      <c r="B1197" s="130">
        <v>638</v>
      </c>
      <c r="E1197" s="131"/>
    </row>
    <row r="1198" spans="1:9" x14ac:dyDescent="0.25">
      <c r="A1198" s="753">
        <v>802612</v>
      </c>
      <c r="B1198" s="130">
        <v>28</v>
      </c>
      <c r="C1198" s="131" t="s">
        <v>1049</v>
      </c>
      <c r="D1198" s="131">
        <v>16</v>
      </c>
      <c r="E1198" s="131" t="s">
        <v>1049</v>
      </c>
      <c r="F1198" s="767">
        <v>-1</v>
      </c>
      <c r="G1198" s="767">
        <v>-0.18</v>
      </c>
      <c r="H1198" s="767">
        <v>-1.18</v>
      </c>
      <c r="I1198" s="768" t="s">
        <v>1589</v>
      </c>
    </row>
    <row r="1199" spans="1:9" x14ac:dyDescent="0.25">
      <c r="A1199" s="753"/>
      <c r="C1199" s="131" t="s">
        <v>1049</v>
      </c>
      <c r="D1199" s="131">
        <v>16</v>
      </c>
      <c r="E1199" s="131" t="s">
        <v>1590</v>
      </c>
      <c r="F1199" s="767">
        <v>-0.65</v>
      </c>
      <c r="G1199" s="767">
        <v>-0.1</v>
      </c>
      <c r="H1199" s="767">
        <v>-0.75</v>
      </c>
      <c r="I1199" s="768" t="s">
        <v>1591</v>
      </c>
    </row>
    <row r="1200" spans="1:9" x14ac:dyDescent="0.25">
      <c r="A1200" s="753">
        <v>802614</v>
      </c>
      <c r="B1200" s="130">
        <v>8329</v>
      </c>
      <c r="C1200" s="131" t="s">
        <v>244</v>
      </c>
      <c r="D1200" s="131">
        <v>16</v>
      </c>
      <c r="E1200" s="131" t="s">
        <v>244</v>
      </c>
      <c r="F1200" s="767">
        <v>-35052.92</v>
      </c>
      <c r="G1200" s="767">
        <v>-6870.44</v>
      </c>
      <c r="H1200" s="767">
        <v>-41923.360000000001</v>
      </c>
      <c r="I1200" s="768" t="s">
        <v>1592</v>
      </c>
    </row>
    <row r="1201" spans="1:9" x14ac:dyDescent="0.25">
      <c r="A1201" s="753"/>
      <c r="C1201" s="131" t="s">
        <v>244</v>
      </c>
      <c r="D1201" s="131">
        <v>16</v>
      </c>
      <c r="E1201" s="131" t="s">
        <v>1593</v>
      </c>
      <c r="F1201" s="767">
        <v>-15694.35</v>
      </c>
      <c r="G1201" s="767">
        <v>-1458.55</v>
      </c>
      <c r="H1201" s="767">
        <v>-17152.900000000001</v>
      </c>
      <c r="I1201" s="768" t="s">
        <v>1594</v>
      </c>
    </row>
    <row r="1202" spans="1:9" x14ac:dyDescent="0.25">
      <c r="A1202" s="753">
        <v>802616</v>
      </c>
      <c r="B1202" s="130">
        <v>6522</v>
      </c>
      <c r="C1202" s="131" t="s">
        <v>244</v>
      </c>
      <c r="D1202" s="131">
        <v>16</v>
      </c>
      <c r="E1202" s="131" t="s">
        <v>244</v>
      </c>
      <c r="F1202" s="767">
        <v>-35052.92</v>
      </c>
      <c r="G1202" s="767">
        <v>-6870.44</v>
      </c>
      <c r="H1202" s="767">
        <v>-41923.360000000001</v>
      </c>
      <c r="I1202" s="768" t="s">
        <v>1592</v>
      </c>
    </row>
    <row r="1203" spans="1:9" x14ac:dyDescent="0.25">
      <c r="A1203" s="753"/>
      <c r="C1203" s="131" t="s">
        <v>244</v>
      </c>
      <c r="D1203" s="131">
        <v>16</v>
      </c>
      <c r="E1203" s="131" t="s">
        <v>1593</v>
      </c>
      <c r="F1203" s="767">
        <v>-15694.35</v>
      </c>
      <c r="G1203" s="767">
        <v>-1458.55</v>
      </c>
      <c r="H1203" s="767">
        <v>-17152.900000000001</v>
      </c>
      <c r="I1203" s="768" t="s">
        <v>1594</v>
      </c>
    </row>
    <row r="1204" spans="1:9" x14ac:dyDescent="0.25">
      <c r="A1204" s="753"/>
      <c r="C1204" s="131" t="s">
        <v>1050</v>
      </c>
      <c r="D1204" s="131">
        <v>16</v>
      </c>
      <c r="E1204" s="131" t="s">
        <v>1050</v>
      </c>
      <c r="F1204" s="767">
        <v>4983.3999999999996</v>
      </c>
      <c r="G1204" s="767">
        <v>963.32</v>
      </c>
      <c r="H1204" s="767">
        <v>5946.72</v>
      </c>
      <c r="I1204" s="768" t="s">
        <v>1595</v>
      </c>
    </row>
    <row r="1205" spans="1:9" x14ac:dyDescent="0.25">
      <c r="A1205" s="753"/>
      <c r="C1205" s="131" t="s">
        <v>1050</v>
      </c>
      <c r="D1205" s="131">
        <v>16</v>
      </c>
      <c r="E1205" s="131" t="s">
        <v>1596</v>
      </c>
      <c r="F1205" s="767">
        <v>10361.23</v>
      </c>
      <c r="G1205" s="767">
        <v>843.5</v>
      </c>
      <c r="H1205" s="767">
        <v>11204.73</v>
      </c>
      <c r="I1205" s="768" t="s">
        <v>1597</v>
      </c>
    </row>
    <row r="1206" spans="1:9" x14ac:dyDescent="0.25">
      <c r="A1206" s="753">
        <v>802618</v>
      </c>
      <c r="B1206" s="130">
        <v>783</v>
      </c>
      <c r="E1206" s="131"/>
    </row>
    <row r="1207" spans="1:9" x14ac:dyDescent="0.25">
      <c r="A1207" s="753">
        <v>802622</v>
      </c>
      <c r="B1207" s="130">
        <v>193</v>
      </c>
      <c r="C1207" s="131" t="s">
        <v>1049</v>
      </c>
      <c r="D1207" s="131">
        <v>16</v>
      </c>
      <c r="E1207" s="131" t="s">
        <v>1049</v>
      </c>
      <c r="F1207" s="767">
        <v>-1</v>
      </c>
      <c r="G1207" s="767">
        <v>-0.18</v>
      </c>
      <c r="H1207" s="767">
        <v>-1.18</v>
      </c>
      <c r="I1207" s="768" t="s">
        <v>1589</v>
      </c>
    </row>
    <row r="1208" spans="1:9" x14ac:dyDescent="0.25">
      <c r="A1208" s="753"/>
      <c r="C1208" s="131" t="s">
        <v>1049</v>
      </c>
      <c r="D1208" s="131">
        <v>16</v>
      </c>
      <c r="E1208" s="131" t="s">
        <v>1590</v>
      </c>
      <c r="F1208" s="767">
        <v>-0.65</v>
      </c>
      <c r="G1208" s="767">
        <v>-0.1</v>
      </c>
      <c r="H1208" s="767">
        <v>-0.75</v>
      </c>
      <c r="I1208" s="768" t="s">
        <v>1591</v>
      </c>
    </row>
    <row r="1209" spans="1:9" x14ac:dyDescent="0.25">
      <c r="A1209" s="753">
        <v>802624</v>
      </c>
      <c r="B1209" s="130">
        <v>59076</v>
      </c>
      <c r="C1209" s="131" t="s">
        <v>244</v>
      </c>
      <c r="D1209" s="131">
        <v>16</v>
      </c>
      <c r="E1209" s="131" t="s">
        <v>244</v>
      </c>
      <c r="F1209" s="767">
        <v>-35052.92</v>
      </c>
      <c r="G1209" s="767">
        <v>-6870.44</v>
      </c>
      <c r="H1209" s="767">
        <v>-41923.360000000001</v>
      </c>
      <c r="I1209" s="768" t="s">
        <v>1592</v>
      </c>
    </row>
    <row r="1210" spans="1:9" x14ac:dyDescent="0.25">
      <c r="A1210" s="753"/>
      <c r="C1210" s="131" t="s">
        <v>244</v>
      </c>
      <c r="D1210" s="131">
        <v>16</v>
      </c>
      <c r="E1210" s="131" t="s">
        <v>1593</v>
      </c>
      <c r="F1210" s="767">
        <v>-15694.35</v>
      </c>
      <c r="G1210" s="767">
        <v>-1458.55</v>
      </c>
      <c r="H1210" s="767">
        <v>-17152.900000000001</v>
      </c>
      <c r="I1210" s="768" t="s">
        <v>1594</v>
      </c>
    </row>
    <row r="1211" spans="1:9" x14ac:dyDescent="0.25">
      <c r="A1211" s="753">
        <v>802626</v>
      </c>
      <c r="B1211" s="130">
        <v>41925</v>
      </c>
      <c r="C1211" s="131" t="s">
        <v>244</v>
      </c>
      <c r="D1211" s="131">
        <v>16</v>
      </c>
      <c r="E1211" s="131" t="s">
        <v>244</v>
      </c>
      <c r="F1211" s="767">
        <v>-35052.92</v>
      </c>
      <c r="G1211" s="767">
        <v>-6870.44</v>
      </c>
      <c r="H1211" s="767">
        <v>-41923.360000000001</v>
      </c>
      <c r="I1211" s="768" t="s">
        <v>1592</v>
      </c>
    </row>
    <row r="1212" spans="1:9" x14ac:dyDescent="0.25">
      <c r="A1212" s="753"/>
      <c r="C1212" s="131" t="s">
        <v>244</v>
      </c>
      <c r="D1212" s="131">
        <v>16</v>
      </c>
      <c r="E1212" s="131" t="s">
        <v>1593</v>
      </c>
      <c r="F1212" s="767">
        <v>-15694.35</v>
      </c>
      <c r="G1212" s="767">
        <v>-1458.55</v>
      </c>
      <c r="H1212" s="767">
        <v>-17152.900000000001</v>
      </c>
      <c r="I1212" s="768" t="s">
        <v>1594</v>
      </c>
    </row>
    <row r="1213" spans="1:9" x14ac:dyDescent="0.25">
      <c r="A1213" s="753"/>
      <c r="C1213" s="131" t="s">
        <v>1050</v>
      </c>
      <c r="D1213" s="131">
        <v>16</v>
      </c>
      <c r="E1213" s="131" t="s">
        <v>1050</v>
      </c>
      <c r="F1213" s="767">
        <v>4983.3999999999996</v>
      </c>
      <c r="G1213" s="767">
        <v>963.32</v>
      </c>
      <c r="H1213" s="767">
        <v>5946.72</v>
      </c>
      <c r="I1213" s="768" t="s">
        <v>1595</v>
      </c>
    </row>
    <row r="1214" spans="1:9" x14ac:dyDescent="0.25">
      <c r="A1214" s="753"/>
      <c r="C1214" s="131" t="s">
        <v>1050</v>
      </c>
      <c r="D1214" s="131">
        <v>16</v>
      </c>
      <c r="E1214" s="131" t="s">
        <v>1596</v>
      </c>
      <c r="F1214" s="767">
        <v>10361.23</v>
      </c>
      <c r="G1214" s="767">
        <v>843.5</v>
      </c>
      <c r="H1214" s="767">
        <v>11204.73</v>
      </c>
      <c r="I1214" s="768" t="s">
        <v>1597</v>
      </c>
    </row>
    <row r="1215" spans="1:9" x14ac:dyDescent="0.25">
      <c r="A1215" s="753">
        <v>802628</v>
      </c>
      <c r="B1215" s="130">
        <v>710</v>
      </c>
      <c r="E1215" s="131"/>
    </row>
    <row r="1216" spans="1:9" x14ac:dyDescent="0.25">
      <c r="A1216" s="753">
        <v>802712</v>
      </c>
      <c r="B1216" s="130">
        <v>0</v>
      </c>
      <c r="E1216" s="131"/>
    </row>
    <row r="1217" spans="1:5" x14ac:dyDescent="0.25">
      <c r="A1217" s="753">
        <v>802714</v>
      </c>
      <c r="B1217" s="130">
        <v>0</v>
      </c>
      <c r="E1217" s="131"/>
    </row>
    <row r="1218" spans="1:5" x14ac:dyDescent="0.25">
      <c r="A1218" s="753">
        <v>802716</v>
      </c>
      <c r="B1218" s="130">
        <v>0</v>
      </c>
      <c r="E1218" s="131"/>
    </row>
    <row r="1219" spans="1:5" x14ac:dyDescent="0.25">
      <c r="A1219" s="753">
        <v>802718</v>
      </c>
      <c r="B1219" s="130">
        <v>0</v>
      </c>
      <c r="E1219" s="131"/>
    </row>
    <row r="1220" spans="1:5" x14ac:dyDescent="0.25">
      <c r="A1220" s="753">
        <v>802722</v>
      </c>
      <c r="B1220" s="130">
        <v>0</v>
      </c>
      <c r="E1220" s="131"/>
    </row>
    <row r="1221" spans="1:5" x14ac:dyDescent="0.25">
      <c r="A1221" s="753">
        <v>802724</v>
      </c>
      <c r="B1221" s="130">
        <v>0</v>
      </c>
      <c r="E1221" s="131"/>
    </row>
    <row r="1222" spans="1:5" x14ac:dyDescent="0.25">
      <c r="A1222" s="753">
        <v>802726</v>
      </c>
      <c r="B1222" s="130">
        <v>0</v>
      </c>
      <c r="E1222" s="131"/>
    </row>
    <row r="1223" spans="1:5" x14ac:dyDescent="0.25">
      <c r="A1223" s="753">
        <v>802728</v>
      </c>
      <c r="B1223" s="130">
        <v>0</v>
      </c>
      <c r="E1223" s="131"/>
    </row>
    <row r="1224" spans="1:5" x14ac:dyDescent="0.25">
      <c r="A1224" s="753">
        <v>802812</v>
      </c>
      <c r="B1224" s="130">
        <v>0</v>
      </c>
      <c r="E1224" s="131"/>
    </row>
    <row r="1225" spans="1:5" x14ac:dyDescent="0.25">
      <c r="A1225" s="753">
        <v>802814</v>
      </c>
      <c r="B1225" s="130">
        <v>0</v>
      </c>
      <c r="E1225" s="131"/>
    </row>
    <row r="1226" spans="1:5" x14ac:dyDescent="0.25">
      <c r="A1226" s="753">
        <v>802816</v>
      </c>
      <c r="B1226" s="130">
        <v>0</v>
      </c>
      <c r="E1226" s="131"/>
    </row>
    <row r="1227" spans="1:5" x14ac:dyDescent="0.25">
      <c r="A1227" s="753">
        <v>802818</v>
      </c>
      <c r="B1227" s="130">
        <v>0</v>
      </c>
      <c r="E1227" s="131"/>
    </row>
    <row r="1228" spans="1:5" x14ac:dyDescent="0.25">
      <c r="A1228" s="753">
        <v>802822</v>
      </c>
      <c r="B1228" s="130">
        <v>0</v>
      </c>
      <c r="E1228" s="131"/>
    </row>
    <row r="1229" spans="1:5" x14ac:dyDescent="0.25">
      <c r="A1229" s="753">
        <v>802824</v>
      </c>
      <c r="B1229" s="130">
        <v>0</v>
      </c>
      <c r="E1229" s="131"/>
    </row>
    <row r="1230" spans="1:5" x14ac:dyDescent="0.25">
      <c r="A1230" s="753">
        <v>802826</v>
      </c>
      <c r="B1230" s="130">
        <v>0</v>
      </c>
      <c r="E1230" s="131"/>
    </row>
    <row r="1231" spans="1:5" x14ac:dyDescent="0.25">
      <c r="A1231" s="753">
        <v>802828</v>
      </c>
      <c r="B1231" s="130">
        <v>0</v>
      </c>
      <c r="E1231" s="131"/>
    </row>
    <row r="1232" spans="1:5" x14ac:dyDescent="0.25">
      <c r="A1232" s="753">
        <v>802912</v>
      </c>
      <c r="B1232" s="130">
        <v>172</v>
      </c>
      <c r="E1232" s="131"/>
    </row>
    <row r="1233" spans="1:9" x14ac:dyDescent="0.25">
      <c r="A1233" s="753">
        <v>802914</v>
      </c>
      <c r="B1233" s="130">
        <v>46201</v>
      </c>
      <c r="E1233" s="131"/>
    </row>
    <row r="1234" spans="1:9" x14ac:dyDescent="0.25">
      <c r="A1234" s="753">
        <v>802916</v>
      </c>
      <c r="B1234" s="130">
        <v>31254</v>
      </c>
      <c r="C1234" s="131" t="s">
        <v>195</v>
      </c>
      <c r="D1234" s="131">
        <v>16</v>
      </c>
      <c r="E1234" s="131" t="s">
        <v>195</v>
      </c>
      <c r="F1234" s="767">
        <v>-68222.350000000006</v>
      </c>
      <c r="G1234" s="767">
        <v>-8204.73</v>
      </c>
      <c r="H1234" s="767">
        <v>-76427.08</v>
      </c>
      <c r="I1234" s="768" t="s">
        <v>1577</v>
      </c>
    </row>
    <row r="1235" spans="1:9" x14ac:dyDescent="0.25">
      <c r="A1235" s="753"/>
      <c r="C1235" s="131" t="s">
        <v>195</v>
      </c>
      <c r="D1235" s="131">
        <v>16</v>
      </c>
      <c r="E1235" s="131" t="s">
        <v>1578</v>
      </c>
      <c r="F1235" s="767">
        <v>-63422.27</v>
      </c>
      <c r="G1235" s="767">
        <v>-5236.8500000000004</v>
      </c>
      <c r="H1235" s="767">
        <v>-68659.12</v>
      </c>
      <c r="I1235" s="768" t="s">
        <v>1579</v>
      </c>
    </row>
    <row r="1236" spans="1:9" x14ac:dyDescent="0.25">
      <c r="A1236" s="753"/>
      <c r="C1236" s="131" t="s">
        <v>1046</v>
      </c>
      <c r="D1236" s="131">
        <v>16</v>
      </c>
      <c r="E1236" s="131" t="s">
        <v>1046</v>
      </c>
      <c r="F1236" s="767">
        <v>17018.05</v>
      </c>
      <c r="G1236" s="767">
        <v>1951.39</v>
      </c>
      <c r="H1236" s="767">
        <v>18969.439999999999</v>
      </c>
      <c r="I1236" s="768" t="s">
        <v>1580</v>
      </c>
    </row>
    <row r="1237" spans="1:9" x14ac:dyDescent="0.25">
      <c r="A1237" s="753"/>
      <c r="C1237" s="131" t="s">
        <v>1046</v>
      </c>
      <c r="D1237" s="131">
        <v>16</v>
      </c>
      <c r="E1237" s="131" t="s">
        <v>1581</v>
      </c>
      <c r="F1237" s="767">
        <v>43286.97</v>
      </c>
      <c r="G1237" s="767">
        <v>3504.8</v>
      </c>
      <c r="H1237" s="767">
        <v>46791.77</v>
      </c>
      <c r="I1237" s="768" t="s">
        <v>1582</v>
      </c>
    </row>
    <row r="1238" spans="1:9" x14ac:dyDescent="0.25">
      <c r="A1238" s="753"/>
      <c r="C1238" s="131" t="s">
        <v>223</v>
      </c>
      <c r="D1238" s="131">
        <v>16</v>
      </c>
      <c r="E1238" s="131" t="s">
        <v>223</v>
      </c>
      <c r="F1238" s="767">
        <v>-107161.95</v>
      </c>
      <c r="G1238" s="767">
        <v>-18030.36</v>
      </c>
      <c r="H1238" s="767">
        <v>-125192.31</v>
      </c>
      <c r="I1238" s="768" t="s">
        <v>1585</v>
      </c>
    </row>
    <row r="1239" spans="1:9" x14ac:dyDescent="0.25">
      <c r="A1239" s="753"/>
      <c r="C1239" s="131" t="s">
        <v>223</v>
      </c>
      <c r="D1239" s="131">
        <v>16</v>
      </c>
      <c r="E1239" s="131" t="s">
        <v>2</v>
      </c>
      <c r="F1239" s="767">
        <v>-58469.59</v>
      </c>
      <c r="G1239" s="767">
        <v>-6399.5</v>
      </c>
      <c r="H1239" s="767">
        <v>-64869.09</v>
      </c>
      <c r="I1239" s="768" t="s">
        <v>1586</v>
      </c>
    </row>
    <row r="1240" spans="1:9" x14ac:dyDescent="0.25">
      <c r="A1240" s="753"/>
      <c r="C1240" s="131" t="s">
        <v>1048</v>
      </c>
      <c r="D1240" s="131">
        <v>16</v>
      </c>
      <c r="E1240" s="131" t="s">
        <v>1048</v>
      </c>
      <c r="F1240" s="767">
        <v>22432.58</v>
      </c>
      <c r="G1240" s="767">
        <v>3475.07</v>
      </c>
      <c r="H1240" s="767">
        <v>25907.65</v>
      </c>
      <c r="I1240" s="768" t="s">
        <v>1587</v>
      </c>
    </row>
    <row r="1241" spans="1:9" x14ac:dyDescent="0.25">
      <c r="A1241" s="753"/>
      <c r="C1241" s="131" t="s">
        <v>1048</v>
      </c>
      <c r="D1241" s="131">
        <v>16</v>
      </c>
      <c r="E1241" s="131" t="s">
        <v>1052</v>
      </c>
      <c r="F1241" s="767">
        <v>38716.980000000003</v>
      </c>
      <c r="G1241" s="767">
        <v>4209</v>
      </c>
      <c r="H1241" s="767">
        <v>42925.98</v>
      </c>
      <c r="I1241" s="768" t="s">
        <v>1588</v>
      </c>
    </row>
    <row r="1242" spans="1:9" x14ac:dyDescent="0.25">
      <c r="A1242" s="753"/>
      <c r="C1242" s="131" t="s">
        <v>244</v>
      </c>
      <c r="D1242" s="131">
        <v>16</v>
      </c>
      <c r="E1242" s="131" t="s">
        <v>244</v>
      </c>
      <c r="F1242" s="767">
        <v>-35052.92</v>
      </c>
      <c r="G1242" s="767">
        <v>-6870.44</v>
      </c>
      <c r="H1242" s="767">
        <v>-41923.360000000001</v>
      </c>
      <c r="I1242" s="768" t="s">
        <v>1592</v>
      </c>
    </row>
    <row r="1243" spans="1:9" x14ac:dyDescent="0.25">
      <c r="A1243" s="753"/>
      <c r="C1243" s="131" t="s">
        <v>244</v>
      </c>
      <c r="D1243" s="131">
        <v>16</v>
      </c>
      <c r="E1243" s="131" t="s">
        <v>1593</v>
      </c>
      <c r="F1243" s="767">
        <v>-15694.35</v>
      </c>
      <c r="G1243" s="767">
        <v>-1458.55</v>
      </c>
      <c r="H1243" s="767">
        <v>-17152.900000000001</v>
      </c>
      <c r="I1243" s="768" t="s">
        <v>1594</v>
      </c>
    </row>
    <row r="1244" spans="1:9" x14ac:dyDescent="0.25">
      <c r="A1244" s="753"/>
      <c r="C1244" s="131" t="s">
        <v>1050</v>
      </c>
      <c r="D1244" s="131">
        <v>16</v>
      </c>
      <c r="E1244" s="131" t="s">
        <v>1050</v>
      </c>
      <c r="F1244" s="767">
        <v>4983.3999999999996</v>
      </c>
      <c r="G1244" s="767">
        <v>963.32</v>
      </c>
      <c r="H1244" s="767">
        <v>5946.72</v>
      </c>
      <c r="I1244" s="768" t="s">
        <v>1595</v>
      </c>
    </row>
    <row r="1245" spans="1:9" x14ac:dyDescent="0.25">
      <c r="A1245" s="753"/>
      <c r="C1245" s="131" t="s">
        <v>1050</v>
      </c>
      <c r="D1245" s="131">
        <v>16</v>
      </c>
      <c r="E1245" s="131" t="s">
        <v>1596</v>
      </c>
      <c r="F1245" s="767">
        <v>10361.23</v>
      </c>
      <c r="G1245" s="767">
        <v>843.5</v>
      </c>
      <c r="H1245" s="767">
        <v>11204.73</v>
      </c>
      <c r="I1245" s="768" t="s">
        <v>1597</v>
      </c>
    </row>
    <row r="1246" spans="1:9" x14ac:dyDescent="0.25">
      <c r="A1246" s="753">
        <v>802918</v>
      </c>
      <c r="B1246" s="130">
        <v>676</v>
      </c>
      <c r="E1246" s="131"/>
    </row>
    <row r="1247" spans="1:9" x14ac:dyDescent="0.25">
      <c r="A1247" s="753">
        <v>802922</v>
      </c>
      <c r="B1247" s="130">
        <v>1653</v>
      </c>
      <c r="E1247" s="131"/>
    </row>
    <row r="1248" spans="1:9" x14ac:dyDescent="0.25">
      <c r="A1248" s="753">
        <v>802924</v>
      </c>
      <c r="B1248" s="130">
        <v>394223</v>
      </c>
      <c r="E1248" s="131"/>
    </row>
    <row r="1249" spans="1:9" x14ac:dyDescent="0.25">
      <c r="A1249" s="753">
        <v>802926</v>
      </c>
      <c r="B1249" s="130">
        <v>242477</v>
      </c>
      <c r="C1249" s="131" t="s">
        <v>195</v>
      </c>
      <c r="D1249" s="131">
        <v>16</v>
      </c>
      <c r="E1249" s="131" t="s">
        <v>195</v>
      </c>
      <c r="F1249" s="767">
        <v>-68222.350000000006</v>
      </c>
      <c r="G1249" s="767">
        <v>-8204.73</v>
      </c>
      <c r="H1249" s="767">
        <v>-76427.08</v>
      </c>
      <c r="I1249" s="768" t="s">
        <v>1577</v>
      </c>
    </row>
    <row r="1250" spans="1:9" x14ac:dyDescent="0.25">
      <c r="A1250" s="753"/>
      <c r="C1250" s="131" t="s">
        <v>195</v>
      </c>
      <c r="D1250" s="131">
        <v>16</v>
      </c>
      <c r="E1250" s="131" t="s">
        <v>1578</v>
      </c>
      <c r="F1250" s="767">
        <v>-63422.27</v>
      </c>
      <c r="G1250" s="767">
        <v>-5236.8500000000004</v>
      </c>
      <c r="H1250" s="767">
        <v>-68659.12</v>
      </c>
      <c r="I1250" s="768" t="s">
        <v>1579</v>
      </c>
    </row>
    <row r="1251" spans="1:9" x14ac:dyDescent="0.25">
      <c r="A1251" s="753"/>
      <c r="C1251" s="131" t="s">
        <v>1046</v>
      </c>
      <c r="D1251" s="131">
        <v>16</v>
      </c>
      <c r="E1251" s="131" t="s">
        <v>1046</v>
      </c>
      <c r="F1251" s="767">
        <v>17018.05</v>
      </c>
      <c r="G1251" s="767">
        <v>1951.39</v>
      </c>
      <c r="H1251" s="767">
        <v>18969.439999999999</v>
      </c>
      <c r="I1251" s="768" t="s">
        <v>1580</v>
      </c>
    </row>
    <row r="1252" spans="1:9" x14ac:dyDescent="0.25">
      <c r="A1252" s="753"/>
      <c r="C1252" s="131" t="s">
        <v>1046</v>
      </c>
      <c r="D1252" s="131">
        <v>16</v>
      </c>
      <c r="E1252" s="131" t="s">
        <v>1581</v>
      </c>
      <c r="F1252" s="767">
        <v>43286.97</v>
      </c>
      <c r="G1252" s="767">
        <v>3504.8</v>
      </c>
      <c r="H1252" s="767">
        <v>46791.77</v>
      </c>
      <c r="I1252" s="768" t="s">
        <v>1582</v>
      </c>
    </row>
    <row r="1253" spans="1:9" x14ac:dyDescent="0.25">
      <c r="A1253" s="753"/>
      <c r="C1253" s="131" t="s">
        <v>223</v>
      </c>
      <c r="D1253" s="131">
        <v>16</v>
      </c>
      <c r="E1253" s="131" t="s">
        <v>223</v>
      </c>
      <c r="F1253" s="767">
        <v>-107161.95</v>
      </c>
      <c r="G1253" s="767">
        <v>-18030.36</v>
      </c>
      <c r="H1253" s="767">
        <v>-125192.31</v>
      </c>
      <c r="I1253" s="768" t="s">
        <v>1585</v>
      </c>
    </row>
    <row r="1254" spans="1:9" x14ac:dyDescent="0.25">
      <c r="A1254" s="753"/>
      <c r="C1254" s="131" t="s">
        <v>223</v>
      </c>
      <c r="D1254" s="131">
        <v>16</v>
      </c>
      <c r="E1254" s="131" t="s">
        <v>2</v>
      </c>
      <c r="F1254" s="767">
        <v>-58469.59</v>
      </c>
      <c r="G1254" s="767">
        <v>-6399.5</v>
      </c>
      <c r="H1254" s="767">
        <v>-64869.09</v>
      </c>
      <c r="I1254" s="768" t="s">
        <v>1586</v>
      </c>
    </row>
    <row r="1255" spans="1:9" x14ac:dyDescent="0.25">
      <c r="A1255" s="753"/>
      <c r="C1255" s="131" t="s">
        <v>1048</v>
      </c>
      <c r="D1255" s="131">
        <v>16</v>
      </c>
      <c r="E1255" s="131" t="s">
        <v>1048</v>
      </c>
      <c r="F1255" s="767">
        <v>22432.58</v>
      </c>
      <c r="G1255" s="767">
        <v>3475.07</v>
      </c>
      <c r="H1255" s="767">
        <v>25907.65</v>
      </c>
      <c r="I1255" s="768" t="s">
        <v>1587</v>
      </c>
    </row>
    <row r="1256" spans="1:9" x14ac:dyDescent="0.25">
      <c r="A1256" s="753"/>
      <c r="C1256" s="131" t="s">
        <v>1048</v>
      </c>
      <c r="D1256" s="131">
        <v>16</v>
      </c>
      <c r="E1256" s="131" t="s">
        <v>1052</v>
      </c>
      <c r="F1256" s="767">
        <v>38716.980000000003</v>
      </c>
      <c r="G1256" s="767">
        <v>4209</v>
      </c>
      <c r="H1256" s="767">
        <v>42925.98</v>
      </c>
      <c r="I1256" s="768" t="s">
        <v>1588</v>
      </c>
    </row>
    <row r="1257" spans="1:9" x14ac:dyDescent="0.25">
      <c r="A1257" s="753"/>
      <c r="C1257" s="131" t="s">
        <v>244</v>
      </c>
      <c r="D1257" s="131">
        <v>16</v>
      </c>
      <c r="E1257" s="131" t="s">
        <v>244</v>
      </c>
      <c r="F1257" s="767">
        <v>-35052.92</v>
      </c>
      <c r="G1257" s="767">
        <v>-6870.44</v>
      </c>
      <c r="H1257" s="767">
        <v>-41923.360000000001</v>
      </c>
      <c r="I1257" s="768" t="s">
        <v>1592</v>
      </c>
    </row>
    <row r="1258" spans="1:9" x14ac:dyDescent="0.25">
      <c r="A1258" s="753"/>
      <c r="C1258" s="131" t="s">
        <v>244</v>
      </c>
      <c r="D1258" s="131">
        <v>16</v>
      </c>
      <c r="E1258" s="131" t="s">
        <v>1593</v>
      </c>
      <c r="F1258" s="767">
        <v>-15694.35</v>
      </c>
      <c r="G1258" s="767">
        <v>-1458.55</v>
      </c>
      <c r="H1258" s="767">
        <v>-17152.900000000001</v>
      </c>
      <c r="I1258" s="768" t="s">
        <v>1594</v>
      </c>
    </row>
    <row r="1259" spans="1:9" x14ac:dyDescent="0.25">
      <c r="A1259" s="753"/>
      <c r="C1259" s="131" t="s">
        <v>1050</v>
      </c>
      <c r="D1259" s="131">
        <v>16</v>
      </c>
      <c r="E1259" s="131" t="s">
        <v>1050</v>
      </c>
      <c r="F1259" s="767">
        <v>4983.3999999999996</v>
      </c>
      <c r="G1259" s="767">
        <v>963.32</v>
      </c>
      <c r="H1259" s="767">
        <v>5946.72</v>
      </c>
      <c r="I1259" s="768" t="s">
        <v>1595</v>
      </c>
    </row>
    <row r="1260" spans="1:9" x14ac:dyDescent="0.25">
      <c r="A1260" s="753"/>
      <c r="C1260" s="131" t="s">
        <v>1050</v>
      </c>
      <c r="D1260" s="131">
        <v>16</v>
      </c>
      <c r="E1260" s="131" t="s">
        <v>1596</v>
      </c>
      <c r="F1260" s="767">
        <v>10361.23</v>
      </c>
      <c r="G1260" s="767">
        <v>843.5</v>
      </c>
      <c r="H1260" s="767">
        <v>11204.73</v>
      </c>
      <c r="I1260" s="768" t="s">
        <v>1597</v>
      </c>
    </row>
    <row r="1261" spans="1:9" x14ac:dyDescent="0.25">
      <c r="A1261" s="753">
        <v>802928</v>
      </c>
      <c r="B1261" s="130">
        <v>615</v>
      </c>
      <c r="E1261" s="131"/>
    </row>
    <row r="1262" spans="1:9" x14ac:dyDescent="0.25">
      <c r="A1262" s="753">
        <v>803012</v>
      </c>
      <c r="B1262" s="130">
        <v>0</v>
      </c>
      <c r="E1262" s="131"/>
    </row>
    <row r="1263" spans="1:9" x14ac:dyDescent="0.25">
      <c r="A1263" s="753">
        <v>803014</v>
      </c>
      <c r="B1263" s="130">
        <v>0</v>
      </c>
      <c r="E1263" s="131"/>
    </row>
    <row r="1264" spans="1:9" x14ac:dyDescent="0.25">
      <c r="A1264" s="753">
        <v>803016</v>
      </c>
      <c r="B1264" s="130">
        <v>0</v>
      </c>
      <c r="E1264" s="131"/>
    </row>
    <row r="1265" spans="1:9" x14ac:dyDescent="0.25">
      <c r="A1265" s="753">
        <v>803018</v>
      </c>
      <c r="B1265" s="130">
        <v>0</v>
      </c>
      <c r="E1265" s="131"/>
    </row>
    <row r="1266" spans="1:9" x14ac:dyDescent="0.25">
      <c r="A1266" s="753">
        <v>803022</v>
      </c>
      <c r="B1266" s="130">
        <v>0</v>
      </c>
      <c r="E1266" s="131"/>
    </row>
    <row r="1267" spans="1:9" x14ac:dyDescent="0.25">
      <c r="A1267" s="753">
        <v>803024</v>
      </c>
      <c r="B1267" s="130">
        <v>0</v>
      </c>
      <c r="E1267" s="131"/>
    </row>
    <row r="1268" spans="1:9" x14ac:dyDescent="0.25">
      <c r="A1268" s="753">
        <v>803026</v>
      </c>
      <c r="B1268" s="130">
        <v>0</v>
      </c>
      <c r="E1268" s="131"/>
    </row>
    <row r="1269" spans="1:9" x14ac:dyDescent="0.25">
      <c r="A1269" s="753">
        <v>803028</v>
      </c>
      <c r="B1269" s="130">
        <v>0</v>
      </c>
      <c r="E1269" s="131"/>
    </row>
    <row r="1270" spans="1:9" x14ac:dyDescent="0.25">
      <c r="A1270" s="753">
        <v>803112</v>
      </c>
      <c r="B1270" s="130">
        <v>99</v>
      </c>
      <c r="C1270" s="131" t="s">
        <v>1053</v>
      </c>
      <c r="D1270" s="131">
        <v>16</v>
      </c>
      <c r="E1270" s="131" t="s">
        <v>1053</v>
      </c>
      <c r="F1270" s="767">
        <v>-0.2</v>
      </c>
      <c r="G1270" s="767">
        <v>-0.05</v>
      </c>
      <c r="H1270" s="767">
        <v>-0.25</v>
      </c>
      <c r="I1270" s="768" t="s">
        <v>1598</v>
      </c>
    </row>
    <row r="1271" spans="1:9" x14ac:dyDescent="0.25">
      <c r="A1271" s="753"/>
      <c r="C1271" s="131" t="s">
        <v>1053</v>
      </c>
      <c r="D1271" s="131">
        <v>16</v>
      </c>
      <c r="E1271" s="131" t="s">
        <v>1090</v>
      </c>
      <c r="F1271" s="767">
        <v>-4.6399999999999997</v>
      </c>
      <c r="G1271" s="767">
        <v>-0.94</v>
      </c>
      <c r="H1271" s="767">
        <v>-5.58</v>
      </c>
      <c r="I1271" s="768" t="s">
        <v>1599</v>
      </c>
    </row>
    <row r="1272" spans="1:9" x14ac:dyDescent="0.25">
      <c r="A1272" s="753">
        <v>803114</v>
      </c>
      <c r="B1272" s="130">
        <v>17782</v>
      </c>
      <c r="C1272" s="131" t="s">
        <v>8</v>
      </c>
      <c r="D1272" s="131">
        <v>16</v>
      </c>
      <c r="E1272" s="131" t="s">
        <v>8</v>
      </c>
      <c r="F1272" s="767">
        <v>-1771.96</v>
      </c>
      <c r="G1272" s="767">
        <v>-456.8</v>
      </c>
      <c r="H1272" s="767">
        <v>-2228.7600000000002</v>
      </c>
      <c r="I1272" s="768" t="s">
        <v>1600</v>
      </c>
    </row>
    <row r="1273" spans="1:9" x14ac:dyDescent="0.25">
      <c r="A1273" s="753"/>
      <c r="C1273" s="131" t="s">
        <v>8</v>
      </c>
      <c r="D1273" s="131">
        <v>16</v>
      </c>
      <c r="E1273" s="131" t="s">
        <v>1091</v>
      </c>
      <c r="F1273" s="767">
        <v>-92340.07</v>
      </c>
      <c r="G1273" s="767">
        <v>-17325.650000000001</v>
      </c>
      <c r="H1273" s="767">
        <v>-109665.72</v>
      </c>
      <c r="I1273" s="768" t="s">
        <v>1601</v>
      </c>
    </row>
    <row r="1274" spans="1:9" x14ac:dyDescent="0.25">
      <c r="A1274" s="753">
        <v>803116</v>
      </c>
      <c r="B1274" s="130">
        <v>6067</v>
      </c>
      <c r="C1274" s="131" t="s">
        <v>8</v>
      </c>
      <c r="D1274" s="131">
        <v>16</v>
      </c>
      <c r="E1274" s="131" t="s">
        <v>8</v>
      </c>
      <c r="F1274" s="767">
        <v>-1771.96</v>
      </c>
      <c r="G1274" s="767">
        <v>-456.8</v>
      </c>
      <c r="H1274" s="767">
        <v>-2228.7600000000002</v>
      </c>
      <c r="I1274" s="768" t="s">
        <v>1600</v>
      </c>
    </row>
    <row r="1275" spans="1:9" x14ac:dyDescent="0.25">
      <c r="A1275" s="753"/>
      <c r="C1275" s="131" t="s">
        <v>8</v>
      </c>
      <c r="D1275" s="131">
        <v>16</v>
      </c>
      <c r="E1275" s="131" t="s">
        <v>1091</v>
      </c>
      <c r="F1275" s="767">
        <v>-92340.07</v>
      </c>
      <c r="G1275" s="767">
        <v>-17325.650000000001</v>
      </c>
      <c r="H1275" s="767">
        <v>-109665.72</v>
      </c>
      <c r="I1275" s="768" t="s">
        <v>1601</v>
      </c>
    </row>
    <row r="1276" spans="1:9" x14ac:dyDescent="0.25">
      <c r="A1276" s="753"/>
      <c r="C1276" s="131" t="s">
        <v>1054</v>
      </c>
      <c r="D1276" s="131">
        <v>16</v>
      </c>
      <c r="E1276" s="131" t="s">
        <v>1054</v>
      </c>
      <c r="F1276" s="767">
        <v>0.8</v>
      </c>
      <c r="G1276" s="767">
        <v>6.27</v>
      </c>
      <c r="H1276" s="767">
        <v>7.07</v>
      </c>
      <c r="I1276" s="768" t="s">
        <v>1602</v>
      </c>
    </row>
    <row r="1277" spans="1:9" x14ac:dyDescent="0.25">
      <c r="A1277" s="753"/>
      <c r="C1277" s="131" t="s">
        <v>1054</v>
      </c>
      <c r="D1277" s="131">
        <v>16</v>
      </c>
      <c r="E1277" s="131" t="s">
        <v>1092</v>
      </c>
      <c r="F1277" s="767">
        <v>58543.32</v>
      </c>
      <c r="G1277" s="767">
        <v>11708.3</v>
      </c>
      <c r="H1277" s="767">
        <v>70251.62</v>
      </c>
      <c r="I1277" s="768" t="s">
        <v>1603</v>
      </c>
    </row>
    <row r="1278" spans="1:9" x14ac:dyDescent="0.25">
      <c r="A1278" s="753">
        <v>803118</v>
      </c>
      <c r="B1278" s="130">
        <v>341</v>
      </c>
      <c r="E1278" s="131"/>
    </row>
    <row r="1279" spans="1:9" x14ac:dyDescent="0.25">
      <c r="A1279" s="753">
        <v>803122</v>
      </c>
      <c r="B1279" s="130">
        <v>583</v>
      </c>
      <c r="C1279" s="131" t="s">
        <v>1053</v>
      </c>
      <c r="D1279" s="131">
        <v>16</v>
      </c>
      <c r="E1279" s="131" t="s">
        <v>1053</v>
      </c>
      <c r="F1279" s="767">
        <v>-0.2</v>
      </c>
      <c r="G1279" s="767">
        <v>-0.05</v>
      </c>
      <c r="H1279" s="767">
        <v>-0.25</v>
      </c>
      <c r="I1279" s="768" t="s">
        <v>1598</v>
      </c>
    </row>
    <row r="1280" spans="1:9" x14ac:dyDescent="0.25">
      <c r="A1280" s="753"/>
      <c r="C1280" s="131" t="s">
        <v>1053</v>
      </c>
      <c r="D1280" s="131">
        <v>16</v>
      </c>
      <c r="E1280" s="131" t="s">
        <v>1090</v>
      </c>
      <c r="F1280" s="767">
        <v>-4.6399999999999997</v>
      </c>
      <c r="G1280" s="767">
        <v>-0.94</v>
      </c>
      <c r="H1280" s="767">
        <v>-5.58</v>
      </c>
      <c r="I1280" s="768" t="s">
        <v>1599</v>
      </c>
    </row>
    <row r="1281" spans="1:9" x14ac:dyDescent="0.25">
      <c r="A1281" s="753">
        <v>803124</v>
      </c>
      <c r="B1281" s="130">
        <v>111894</v>
      </c>
      <c r="C1281" s="131" t="s">
        <v>8</v>
      </c>
      <c r="D1281" s="131">
        <v>16</v>
      </c>
      <c r="E1281" s="131" t="s">
        <v>8</v>
      </c>
      <c r="F1281" s="767">
        <v>-1771.96</v>
      </c>
      <c r="G1281" s="767">
        <v>-456.8</v>
      </c>
      <c r="H1281" s="767">
        <v>-2228.7600000000002</v>
      </c>
      <c r="I1281" s="768" t="s">
        <v>1600</v>
      </c>
    </row>
    <row r="1282" spans="1:9" x14ac:dyDescent="0.25">
      <c r="A1282" s="753"/>
      <c r="C1282" s="131" t="s">
        <v>8</v>
      </c>
      <c r="D1282" s="131">
        <v>16</v>
      </c>
      <c r="E1282" s="131" t="s">
        <v>1091</v>
      </c>
      <c r="F1282" s="767">
        <v>-92340.07</v>
      </c>
      <c r="G1282" s="767">
        <v>-17325.650000000001</v>
      </c>
      <c r="H1282" s="767">
        <v>-109665.72</v>
      </c>
      <c r="I1282" s="768" t="s">
        <v>1601</v>
      </c>
    </row>
    <row r="1283" spans="1:9" x14ac:dyDescent="0.25">
      <c r="A1283" s="753">
        <v>803126</v>
      </c>
      <c r="B1283" s="130">
        <v>41635</v>
      </c>
      <c r="C1283" s="131" t="s">
        <v>8</v>
      </c>
      <c r="D1283" s="131">
        <v>16</v>
      </c>
      <c r="E1283" s="131" t="s">
        <v>8</v>
      </c>
      <c r="F1283" s="767">
        <v>-1771.96</v>
      </c>
      <c r="G1283" s="767">
        <v>-456.8</v>
      </c>
      <c r="H1283" s="767">
        <v>-2228.7600000000002</v>
      </c>
      <c r="I1283" s="768" t="s">
        <v>1600</v>
      </c>
    </row>
    <row r="1284" spans="1:9" x14ac:dyDescent="0.25">
      <c r="A1284" s="753"/>
      <c r="C1284" s="131" t="s">
        <v>8</v>
      </c>
      <c r="D1284" s="131">
        <v>16</v>
      </c>
      <c r="E1284" s="131" t="s">
        <v>1091</v>
      </c>
      <c r="F1284" s="767">
        <v>-92340.07</v>
      </c>
      <c r="G1284" s="767">
        <v>-17325.650000000001</v>
      </c>
      <c r="H1284" s="767">
        <v>-109665.72</v>
      </c>
      <c r="I1284" s="768" t="s">
        <v>1601</v>
      </c>
    </row>
    <row r="1285" spans="1:9" x14ac:dyDescent="0.25">
      <c r="A1285" s="753"/>
      <c r="C1285" s="131" t="s">
        <v>1054</v>
      </c>
      <c r="D1285" s="131">
        <v>16</v>
      </c>
      <c r="E1285" s="131" t="s">
        <v>1054</v>
      </c>
      <c r="F1285" s="767">
        <v>0.8</v>
      </c>
      <c r="G1285" s="767">
        <v>6.27</v>
      </c>
      <c r="H1285" s="767">
        <v>7.07</v>
      </c>
      <c r="I1285" s="768" t="s">
        <v>1602</v>
      </c>
    </row>
    <row r="1286" spans="1:9" x14ac:dyDescent="0.25">
      <c r="A1286" s="753"/>
      <c r="C1286" s="131" t="s">
        <v>1054</v>
      </c>
      <c r="D1286" s="131">
        <v>16</v>
      </c>
      <c r="E1286" s="131" t="s">
        <v>1092</v>
      </c>
      <c r="F1286" s="767">
        <v>58543.32</v>
      </c>
      <c r="G1286" s="767">
        <v>11708.3</v>
      </c>
      <c r="H1286" s="767">
        <v>70251.62</v>
      </c>
      <c r="I1286" s="768" t="s">
        <v>1603</v>
      </c>
    </row>
    <row r="1287" spans="1:9" x14ac:dyDescent="0.25">
      <c r="A1287" s="753">
        <v>803128</v>
      </c>
      <c r="B1287" s="130">
        <v>372</v>
      </c>
      <c r="E1287" s="131"/>
    </row>
    <row r="1288" spans="1:9" x14ac:dyDescent="0.25">
      <c r="A1288" s="753">
        <v>803216</v>
      </c>
      <c r="B1288" s="130">
        <v>1447</v>
      </c>
      <c r="C1288" s="131" t="s">
        <v>4</v>
      </c>
      <c r="D1288" s="131">
        <v>16</v>
      </c>
      <c r="E1288" s="131" t="s">
        <v>4</v>
      </c>
      <c r="F1288" s="767">
        <v>14739.28</v>
      </c>
      <c r="G1288" s="767">
        <v>1447.15</v>
      </c>
      <c r="H1288" s="767">
        <v>16186.43</v>
      </c>
      <c r="I1288" s="768" t="s">
        <v>1604</v>
      </c>
    </row>
    <row r="1289" spans="1:9" x14ac:dyDescent="0.25">
      <c r="A1289" s="753">
        <v>803226</v>
      </c>
      <c r="B1289" s="130">
        <v>16186</v>
      </c>
      <c r="C1289" s="131" t="s">
        <v>4</v>
      </c>
      <c r="D1289" s="131">
        <v>16</v>
      </c>
      <c r="E1289" s="131" t="s">
        <v>4</v>
      </c>
      <c r="F1289" s="767">
        <v>14739.28</v>
      </c>
      <c r="G1289" s="767">
        <v>1447.15</v>
      </c>
      <c r="H1289" s="767">
        <v>16186.43</v>
      </c>
      <c r="I1289" s="768" t="s">
        <v>1604</v>
      </c>
    </row>
    <row r="1290" spans="1:9" x14ac:dyDescent="0.25">
      <c r="A1290" s="753">
        <v>803316</v>
      </c>
      <c r="B1290" s="130">
        <v>965</v>
      </c>
      <c r="C1290" s="131" t="s">
        <v>5</v>
      </c>
      <c r="D1290" s="131">
        <v>16</v>
      </c>
      <c r="E1290" s="131" t="s">
        <v>5</v>
      </c>
      <c r="F1290" s="767">
        <v>9826.17</v>
      </c>
      <c r="G1290" s="767">
        <v>964.76</v>
      </c>
      <c r="H1290" s="767">
        <v>10790.93</v>
      </c>
      <c r="I1290" s="768" t="s">
        <v>1605</v>
      </c>
    </row>
    <row r="1291" spans="1:9" x14ac:dyDescent="0.25">
      <c r="A1291" s="753">
        <v>803326</v>
      </c>
      <c r="B1291" s="130">
        <v>10791</v>
      </c>
      <c r="C1291" s="131" t="s">
        <v>5</v>
      </c>
      <c r="D1291" s="131">
        <v>16</v>
      </c>
      <c r="E1291" s="131" t="s">
        <v>5</v>
      </c>
      <c r="F1291" s="767">
        <v>9826.17</v>
      </c>
      <c r="G1291" s="767">
        <v>964.76</v>
      </c>
      <c r="H1291" s="767">
        <v>10790.93</v>
      </c>
      <c r="I1291" s="768" t="s">
        <v>1605</v>
      </c>
    </row>
    <row r="1292" spans="1:9" x14ac:dyDescent="0.25">
      <c r="A1292" s="753">
        <v>803416</v>
      </c>
      <c r="B1292" s="130">
        <v>0</v>
      </c>
      <c r="E1292" s="131"/>
    </row>
    <row r="1293" spans="1:9" x14ac:dyDescent="0.25">
      <c r="A1293" s="753">
        <v>803426</v>
      </c>
      <c r="B1293" s="130">
        <v>0</v>
      </c>
      <c r="E1293" s="131"/>
    </row>
    <row r="1294" spans="1:9" x14ac:dyDescent="0.25">
      <c r="A1294" s="753">
        <v>803516</v>
      </c>
      <c r="B1294" s="130">
        <v>0</v>
      </c>
      <c r="E1294" s="131"/>
    </row>
    <row r="1295" spans="1:9" x14ac:dyDescent="0.25">
      <c r="A1295" s="753">
        <v>803526</v>
      </c>
      <c r="B1295" s="130">
        <v>0</v>
      </c>
      <c r="E1295" s="131"/>
    </row>
    <row r="1296" spans="1:9" x14ac:dyDescent="0.25">
      <c r="A1296" s="753">
        <v>803616</v>
      </c>
      <c r="B1296" s="130">
        <v>0</v>
      </c>
      <c r="E1296" s="131"/>
    </row>
    <row r="1297" spans="1:9" x14ac:dyDescent="0.25">
      <c r="A1297" s="753">
        <v>803626</v>
      </c>
      <c r="B1297" s="130">
        <v>0</v>
      </c>
      <c r="E1297" s="131"/>
    </row>
    <row r="1298" spans="1:9" x14ac:dyDescent="0.25">
      <c r="A1298" s="753">
        <v>803716</v>
      </c>
      <c r="B1298" s="130">
        <v>2412</v>
      </c>
      <c r="C1298" s="131" t="s">
        <v>4</v>
      </c>
      <c r="D1298" s="131">
        <v>16</v>
      </c>
      <c r="E1298" s="131" t="s">
        <v>4</v>
      </c>
      <c r="F1298" s="767">
        <v>14739.28</v>
      </c>
      <c r="G1298" s="767">
        <v>1447.15</v>
      </c>
      <c r="H1298" s="767">
        <v>16186.43</v>
      </c>
      <c r="I1298" s="768" t="s">
        <v>1604</v>
      </c>
    </row>
    <row r="1299" spans="1:9" x14ac:dyDescent="0.25">
      <c r="A1299" s="753"/>
      <c r="C1299" s="131" t="s">
        <v>5</v>
      </c>
      <c r="D1299" s="131">
        <v>16</v>
      </c>
      <c r="E1299" s="131" t="s">
        <v>5</v>
      </c>
      <c r="F1299" s="767">
        <v>9826.17</v>
      </c>
      <c r="G1299" s="767">
        <v>964.76</v>
      </c>
      <c r="H1299" s="767">
        <v>10790.93</v>
      </c>
      <c r="I1299" s="768" t="s">
        <v>1605</v>
      </c>
    </row>
    <row r="1300" spans="1:9" x14ac:dyDescent="0.25">
      <c r="A1300" s="753">
        <v>803726</v>
      </c>
      <c r="B1300" s="130">
        <v>26977</v>
      </c>
      <c r="C1300" s="131" t="s">
        <v>4</v>
      </c>
      <c r="D1300" s="131">
        <v>16</v>
      </c>
      <c r="E1300" s="131" t="s">
        <v>4</v>
      </c>
      <c r="F1300" s="767">
        <v>14739.28</v>
      </c>
      <c r="G1300" s="767">
        <v>1447.15</v>
      </c>
      <c r="H1300" s="767">
        <v>16186.43</v>
      </c>
      <c r="I1300" s="768" t="s">
        <v>1604</v>
      </c>
    </row>
    <row r="1301" spans="1:9" x14ac:dyDescent="0.25">
      <c r="A1301" s="753"/>
      <c r="C1301" s="131" t="s">
        <v>5</v>
      </c>
      <c r="D1301" s="131">
        <v>16</v>
      </c>
      <c r="E1301" s="131" t="s">
        <v>5</v>
      </c>
      <c r="F1301" s="767">
        <v>9826.17</v>
      </c>
      <c r="G1301" s="767">
        <v>964.76</v>
      </c>
      <c r="H1301" s="767">
        <v>10790.93</v>
      </c>
      <c r="I1301" s="768" t="s">
        <v>1605</v>
      </c>
    </row>
    <row r="1302" spans="1:9" x14ac:dyDescent="0.25">
      <c r="A1302" s="753">
        <v>803816</v>
      </c>
      <c r="B1302" s="130">
        <v>0</v>
      </c>
      <c r="E1302" s="131"/>
    </row>
    <row r="1303" spans="1:9" x14ac:dyDescent="0.25">
      <c r="A1303" s="753">
        <v>803826</v>
      </c>
      <c r="B1303" s="130">
        <v>0</v>
      </c>
      <c r="E1303" s="131"/>
    </row>
    <row r="1304" spans="1:9" x14ac:dyDescent="0.25">
      <c r="A1304" s="753">
        <v>803916</v>
      </c>
      <c r="B1304" s="130">
        <v>0</v>
      </c>
      <c r="E1304" s="131"/>
    </row>
    <row r="1305" spans="1:9" x14ac:dyDescent="0.25">
      <c r="A1305" s="753">
        <v>803926</v>
      </c>
      <c r="B1305" s="130">
        <v>0</v>
      </c>
      <c r="E1305" s="131"/>
    </row>
    <row r="1306" spans="1:9" x14ac:dyDescent="0.25">
      <c r="A1306" s="753">
        <v>804012</v>
      </c>
      <c r="B1306" s="130">
        <v>799</v>
      </c>
      <c r="E1306" s="131"/>
    </row>
    <row r="1307" spans="1:9" x14ac:dyDescent="0.25">
      <c r="A1307" s="753">
        <v>804014</v>
      </c>
      <c r="B1307" s="130">
        <v>186388</v>
      </c>
      <c r="E1307" s="131"/>
    </row>
    <row r="1308" spans="1:9" x14ac:dyDescent="0.25">
      <c r="A1308" s="753">
        <v>804016</v>
      </c>
      <c r="B1308" s="130">
        <v>128469</v>
      </c>
      <c r="C1308" s="131" t="s">
        <v>180</v>
      </c>
      <c r="D1308" s="131">
        <v>16</v>
      </c>
      <c r="E1308" s="131" t="s">
        <v>180</v>
      </c>
      <c r="F1308" s="767">
        <v>-223158.6</v>
      </c>
      <c r="G1308" s="767">
        <v>-30673.15</v>
      </c>
      <c r="H1308" s="767">
        <v>-253831.75</v>
      </c>
      <c r="I1308" s="768" t="s">
        <v>1539</v>
      </c>
    </row>
    <row r="1309" spans="1:9" x14ac:dyDescent="0.25">
      <c r="A1309" s="753"/>
      <c r="C1309" s="131" t="s">
        <v>1022</v>
      </c>
      <c r="D1309" s="131">
        <v>16</v>
      </c>
      <c r="E1309" s="131" t="s">
        <v>1022</v>
      </c>
      <c r="F1309" s="767">
        <v>47986.87</v>
      </c>
      <c r="G1309" s="767">
        <v>6673.84</v>
      </c>
      <c r="H1309" s="767">
        <v>54660.71</v>
      </c>
      <c r="I1309" s="768" t="s">
        <v>1540</v>
      </c>
    </row>
    <row r="1310" spans="1:9" x14ac:dyDescent="0.25">
      <c r="A1310" s="753"/>
      <c r="C1310" s="131" t="s">
        <v>181</v>
      </c>
      <c r="D1310" s="131">
        <v>16</v>
      </c>
      <c r="E1310" s="131" t="s">
        <v>181</v>
      </c>
      <c r="F1310" s="767">
        <v>-249129.49</v>
      </c>
      <c r="G1310" s="767">
        <v>-49974.2</v>
      </c>
      <c r="H1310" s="767">
        <v>-299103.69</v>
      </c>
      <c r="I1310" s="768" t="s">
        <v>1542</v>
      </c>
    </row>
    <row r="1311" spans="1:9" x14ac:dyDescent="0.25">
      <c r="A1311" s="753"/>
      <c r="C1311" s="131" t="s">
        <v>1024</v>
      </c>
      <c r="D1311" s="131">
        <v>16</v>
      </c>
      <c r="E1311" s="131" t="s">
        <v>1024</v>
      </c>
      <c r="F1311" s="767">
        <v>51261.2</v>
      </c>
      <c r="G1311" s="767">
        <v>9755.92</v>
      </c>
      <c r="H1311" s="767">
        <v>61017.120000000003</v>
      </c>
      <c r="I1311" s="768" t="s">
        <v>1543</v>
      </c>
    </row>
    <row r="1312" spans="1:9" x14ac:dyDescent="0.25">
      <c r="A1312" s="753"/>
      <c r="C1312" s="131" t="s">
        <v>240</v>
      </c>
      <c r="D1312" s="131">
        <v>16</v>
      </c>
      <c r="E1312" s="131" t="s">
        <v>240</v>
      </c>
      <c r="F1312" s="767">
        <v>-24001.56</v>
      </c>
      <c r="G1312" s="767">
        <v>-8925.3700000000008</v>
      </c>
      <c r="H1312" s="767">
        <v>-32926.93</v>
      </c>
      <c r="I1312" s="768" t="s">
        <v>1545</v>
      </c>
    </row>
    <row r="1313" spans="1:9" x14ac:dyDescent="0.25">
      <c r="A1313" s="753"/>
      <c r="C1313" s="131" t="s">
        <v>1026</v>
      </c>
      <c r="D1313" s="131">
        <v>16</v>
      </c>
      <c r="E1313" s="131" t="s">
        <v>1026</v>
      </c>
      <c r="F1313" s="767">
        <v>4685.3999999999996</v>
      </c>
      <c r="G1313" s="767">
        <v>1665.67</v>
      </c>
      <c r="H1313" s="767">
        <v>6351.07</v>
      </c>
      <c r="I1313" s="768" t="s">
        <v>1546</v>
      </c>
    </row>
    <row r="1314" spans="1:9" x14ac:dyDescent="0.25">
      <c r="A1314" s="753"/>
      <c r="C1314" s="131" t="s">
        <v>184</v>
      </c>
      <c r="D1314" s="131">
        <v>16</v>
      </c>
      <c r="E1314" s="131" t="s">
        <v>184</v>
      </c>
      <c r="F1314" s="767">
        <v>-27656.76</v>
      </c>
      <c r="G1314" s="767">
        <v>-3470.04</v>
      </c>
      <c r="H1314" s="767">
        <v>-31126.799999999999</v>
      </c>
      <c r="I1314" s="768" t="s">
        <v>1548</v>
      </c>
    </row>
    <row r="1315" spans="1:9" x14ac:dyDescent="0.25">
      <c r="A1315" s="753"/>
      <c r="C1315" s="131" t="s">
        <v>1028</v>
      </c>
      <c r="D1315" s="131">
        <v>16</v>
      </c>
      <c r="E1315" s="131" t="s">
        <v>1028</v>
      </c>
      <c r="F1315" s="767">
        <v>8604.49</v>
      </c>
      <c r="G1315" s="767">
        <v>1078.93</v>
      </c>
      <c r="H1315" s="767">
        <v>9683.42</v>
      </c>
      <c r="I1315" s="768" t="s">
        <v>1549</v>
      </c>
    </row>
    <row r="1316" spans="1:9" x14ac:dyDescent="0.25">
      <c r="A1316" s="753"/>
      <c r="C1316" s="131" t="s">
        <v>185</v>
      </c>
      <c r="D1316" s="131">
        <v>16</v>
      </c>
      <c r="E1316" s="131" t="s">
        <v>185</v>
      </c>
      <c r="F1316" s="767">
        <v>-55793.89</v>
      </c>
      <c r="G1316" s="767">
        <v>-7683.68</v>
      </c>
      <c r="H1316" s="767">
        <v>-63477.57</v>
      </c>
      <c r="I1316" s="768" t="s">
        <v>1551</v>
      </c>
    </row>
    <row r="1317" spans="1:9" x14ac:dyDescent="0.25">
      <c r="A1317" s="753"/>
      <c r="C1317" s="131" t="s">
        <v>1030</v>
      </c>
      <c r="D1317" s="131">
        <v>16</v>
      </c>
      <c r="E1317" s="131" t="s">
        <v>1030</v>
      </c>
      <c r="F1317" s="767">
        <v>15652.1</v>
      </c>
      <c r="G1317" s="767">
        <v>2150.73</v>
      </c>
      <c r="H1317" s="767">
        <v>17802.830000000002</v>
      </c>
      <c r="I1317" s="768" t="s">
        <v>1552</v>
      </c>
    </row>
    <row r="1318" spans="1:9" x14ac:dyDescent="0.25">
      <c r="A1318" s="753"/>
      <c r="C1318" s="131" t="s">
        <v>241</v>
      </c>
      <c r="D1318" s="131">
        <v>16</v>
      </c>
      <c r="E1318" s="131" t="s">
        <v>241</v>
      </c>
      <c r="F1318" s="767">
        <v>-3684.22</v>
      </c>
      <c r="G1318" s="767">
        <v>-1872.72</v>
      </c>
      <c r="H1318" s="767">
        <v>-5556.94</v>
      </c>
      <c r="I1318" s="768" t="s">
        <v>1554</v>
      </c>
    </row>
    <row r="1319" spans="1:9" x14ac:dyDescent="0.25">
      <c r="A1319" s="753"/>
      <c r="C1319" s="131" t="s">
        <v>1032</v>
      </c>
      <c r="D1319" s="131">
        <v>16</v>
      </c>
      <c r="E1319" s="131" t="s">
        <v>1032</v>
      </c>
      <c r="F1319" s="767">
        <v>935.2</v>
      </c>
      <c r="G1319" s="767">
        <v>545.98</v>
      </c>
      <c r="H1319" s="767">
        <v>1481.18</v>
      </c>
      <c r="I1319" s="768" t="s">
        <v>1555</v>
      </c>
    </row>
    <row r="1320" spans="1:9" x14ac:dyDescent="0.25">
      <c r="A1320" s="753"/>
      <c r="C1320" s="131" t="s">
        <v>187</v>
      </c>
      <c r="D1320" s="131">
        <v>16</v>
      </c>
      <c r="E1320" s="131" t="s">
        <v>187</v>
      </c>
      <c r="F1320" s="767">
        <v>-13870.67</v>
      </c>
      <c r="G1320" s="767">
        <v>-120</v>
      </c>
      <c r="H1320" s="767">
        <v>-13990.67</v>
      </c>
      <c r="I1320" s="768" t="s">
        <v>1557</v>
      </c>
    </row>
    <row r="1321" spans="1:9" x14ac:dyDescent="0.25">
      <c r="A1321" s="753"/>
      <c r="C1321" s="131" t="s">
        <v>1034</v>
      </c>
      <c r="D1321" s="131">
        <v>16</v>
      </c>
      <c r="E1321" s="131" t="s">
        <v>1034</v>
      </c>
      <c r="F1321" s="767">
        <v>12869.93</v>
      </c>
      <c r="G1321" s="767">
        <v>120</v>
      </c>
      <c r="H1321" s="767">
        <v>12989.93</v>
      </c>
      <c r="I1321" s="768" t="s">
        <v>1558</v>
      </c>
    </row>
    <row r="1322" spans="1:9" x14ac:dyDescent="0.25">
      <c r="A1322" s="753"/>
      <c r="C1322" s="131" t="s">
        <v>188</v>
      </c>
      <c r="D1322" s="131">
        <v>16</v>
      </c>
      <c r="E1322" s="131" t="s">
        <v>188</v>
      </c>
      <c r="F1322" s="767">
        <v>-18862.04</v>
      </c>
      <c r="G1322" s="767">
        <v>-679.95</v>
      </c>
      <c r="H1322" s="767">
        <v>-19541.990000000002</v>
      </c>
      <c r="I1322" s="768" t="s">
        <v>1560</v>
      </c>
    </row>
    <row r="1323" spans="1:9" x14ac:dyDescent="0.25">
      <c r="A1323" s="753"/>
      <c r="C1323" s="131" t="s">
        <v>1036</v>
      </c>
      <c r="D1323" s="131">
        <v>16</v>
      </c>
      <c r="E1323" s="131" t="s">
        <v>1036</v>
      </c>
      <c r="F1323" s="767">
        <v>17651.16</v>
      </c>
      <c r="G1323" s="767">
        <v>605</v>
      </c>
      <c r="H1323" s="767">
        <v>18256.16</v>
      </c>
      <c r="I1323" s="768" t="s">
        <v>1561</v>
      </c>
    </row>
    <row r="1324" spans="1:9" x14ac:dyDescent="0.25">
      <c r="A1324" s="753"/>
      <c r="C1324" s="131" t="s">
        <v>242</v>
      </c>
      <c r="D1324" s="131">
        <v>16</v>
      </c>
      <c r="E1324" s="131" t="s">
        <v>242</v>
      </c>
      <c r="F1324" s="767">
        <v>-4675</v>
      </c>
      <c r="G1324" s="767">
        <v>0</v>
      </c>
      <c r="H1324" s="767">
        <v>-4675</v>
      </c>
      <c r="I1324" s="768" t="s">
        <v>1563</v>
      </c>
    </row>
    <row r="1325" spans="1:9" x14ac:dyDescent="0.25">
      <c r="A1325" s="753"/>
      <c r="C1325" s="131" t="s">
        <v>1038</v>
      </c>
      <c r="D1325" s="131">
        <v>16</v>
      </c>
      <c r="E1325" s="131" t="s">
        <v>1038</v>
      </c>
      <c r="F1325" s="767">
        <v>4609</v>
      </c>
      <c r="G1325" s="767">
        <v>0</v>
      </c>
      <c r="H1325" s="767">
        <v>4609</v>
      </c>
      <c r="I1325" s="768" t="s">
        <v>1564</v>
      </c>
    </row>
    <row r="1326" spans="1:9" x14ac:dyDescent="0.25">
      <c r="A1326" s="753"/>
      <c r="C1326" s="131" t="s">
        <v>191</v>
      </c>
      <c r="D1326" s="131">
        <v>16</v>
      </c>
      <c r="E1326" s="131" t="s">
        <v>191</v>
      </c>
      <c r="F1326" s="767">
        <v>-40374.730000000003</v>
      </c>
      <c r="G1326" s="767">
        <v>-4808.7</v>
      </c>
      <c r="H1326" s="767">
        <v>-45183.43</v>
      </c>
      <c r="I1326" s="768" t="s">
        <v>1566</v>
      </c>
    </row>
    <row r="1327" spans="1:9" x14ac:dyDescent="0.25">
      <c r="A1327" s="753"/>
      <c r="C1327" s="131" t="s">
        <v>1040</v>
      </c>
      <c r="D1327" s="131">
        <v>16</v>
      </c>
      <c r="E1327" s="131" t="s">
        <v>1040</v>
      </c>
      <c r="F1327" s="767">
        <v>13595.03</v>
      </c>
      <c r="G1327" s="767">
        <v>1629.14</v>
      </c>
      <c r="H1327" s="767">
        <v>15224.17</v>
      </c>
      <c r="I1327" s="768" t="s">
        <v>1567</v>
      </c>
    </row>
    <row r="1328" spans="1:9" x14ac:dyDescent="0.25">
      <c r="A1328" s="753"/>
      <c r="C1328" s="131" t="s">
        <v>192</v>
      </c>
      <c r="D1328" s="131">
        <v>16</v>
      </c>
      <c r="E1328" s="131" t="s">
        <v>192</v>
      </c>
      <c r="F1328" s="767">
        <v>-74036.63</v>
      </c>
      <c r="G1328" s="767">
        <v>-12430.06</v>
      </c>
      <c r="H1328" s="767">
        <v>-86466.69</v>
      </c>
      <c r="I1328" s="768" t="s">
        <v>1569</v>
      </c>
    </row>
    <row r="1329" spans="1:9" x14ac:dyDescent="0.25">
      <c r="A1329" s="753"/>
      <c r="C1329" s="131" t="s">
        <v>1042</v>
      </c>
      <c r="D1329" s="131">
        <v>16</v>
      </c>
      <c r="E1329" s="131" t="s">
        <v>1042</v>
      </c>
      <c r="F1329" s="767">
        <v>27428.22</v>
      </c>
      <c r="G1329" s="767">
        <v>4080.65</v>
      </c>
      <c r="H1329" s="767">
        <v>31508.87</v>
      </c>
      <c r="I1329" s="768" t="s">
        <v>1570</v>
      </c>
    </row>
    <row r="1330" spans="1:9" x14ac:dyDescent="0.25">
      <c r="A1330" s="753"/>
      <c r="C1330" s="131" t="s">
        <v>243</v>
      </c>
      <c r="D1330" s="131">
        <v>16</v>
      </c>
      <c r="E1330" s="131" t="s">
        <v>243</v>
      </c>
      <c r="F1330" s="767">
        <v>-19970.28</v>
      </c>
      <c r="G1330" s="767">
        <v>-1766.7</v>
      </c>
      <c r="H1330" s="767">
        <v>-21736.98</v>
      </c>
      <c r="I1330" s="768" t="s">
        <v>1572</v>
      </c>
    </row>
    <row r="1331" spans="1:9" x14ac:dyDescent="0.25">
      <c r="A1331" s="753"/>
      <c r="C1331" s="131" t="s">
        <v>1044</v>
      </c>
      <c r="D1331" s="131">
        <v>16</v>
      </c>
      <c r="E1331" s="131" t="s">
        <v>1044</v>
      </c>
      <c r="F1331" s="767">
        <v>6460.85</v>
      </c>
      <c r="G1331" s="767">
        <v>538.25</v>
      </c>
      <c r="H1331" s="767">
        <v>6999.1</v>
      </c>
      <c r="I1331" s="768" t="s">
        <v>1573</v>
      </c>
    </row>
    <row r="1332" spans="1:9" x14ac:dyDescent="0.25">
      <c r="A1332" s="753"/>
      <c r="C1332" s="131" t="s">
        <v>195</v>
      </c>
      <c r="D1332" s="131">
        <v>16</v>
      </c>
      <c r="E1332" s="131" t="s">
        <v>195</v>
      </c>
      <c r="F1332" s="767">
        <v>-68222.350000000006</v>
      </c>
      <c r="G1332" s="767">
        <v>-8204.73</v>
      </c>
      <c r="H1332" s="767">
        <v>-76427.08</v>
      </c>
      <c r="I1332" s="768" t="s">
        <v>1577</v>
      </c>
    </row>
    <row r="1333" spans="1:9" x14ac:dyDescent="0.25">
      <c r="A1333" s="753"/>
      <c r="C1333" s="131" t="s">
        <v>195</v>
      </c>
      <c r="D1333" s="131">
        <v>16</v>
      </c>
      <c r="E1333" s="131" t="s">
        <v>1578</v>
      </c>
      <c r="F1333" s="767">
        <v>-63422.27</v>
      </c>
      <c r="G1333" s="767">
        <v>-5236.8500000000004</v>
      </c>
      <c r="H1333" s="767">
        <v>-68659.12</v>
      </c>
      <c r="I1333" s="768" t="s">
        <v>1579</v>
      </c>
    </row>
    <row r="1334" spans="1:9" x14ac:dyDescent="0.25">
      <c r="A1334" s="753"/>
      <c r="C1334" s="131" t="s">
        <v>1046</v>
      </c>
      <c r="D1334" s="131">
        <v>16</v>
      </c>
      <c r="E1334" s="131" t="s">
        <v>1046</v>
      </c>
      <c r="F1334" s="767">
        <v>17018.05</v>
      </c>
      <c r="G1334" s="767">
        <v>1951.39</v>
      </c>
      <c r="H1334" s="767">
        <v>18969.439999999999</v>
      </c>
      <c r="I1334" s="768" t="s">
        <v>1580</v>
      </c>
    </row>
    <row r="1335" spans="1:9" x14ac:dyDescent="0.25">
      <c r="A1335" s="753"/>
      <c r="C1335" s="131" t="s">
        <v>1046</v>
      </c>
      <c r="D1335" s="131">
        <v>16</v>
      </c>
      <c r="E1335" s="131" t="s">
        <v>1581</v>
      </c>
      <c r="F1335" s="767">
        <v>43286.97</v>
      </c>
      <c r="G1335" s="767">
        <v>3504.8</v>
      </c>
      <c r="H1335" s="767">
        <v>46791.77</v>
      </c>
      <c r="I1335" s="768" t="s">
        <v>1582</v>
      </c>
    </row>
    <row r="1336" spans="1:9" x14ac:dyDescent="0.25">
      <c r="A1336" s="753"/>
      <c r="C1336" s="131" t="s">
        <v>223</v>
      </c>
      <c r="D1336" s="131">
        <v>16</v>
      </c>
      <c r="E1336" s="131" t="s">
        <v>223</v>
      </c>
      <c r="F1336" s="767">
        <v>-107161.95</v>
      </c>
      <c r="G1336" s="767">
        <v>-18030.36</v>
      </c>
      <c r="H1336" s="767">
        <v>-125192.31</v>
      </c>
      <c r="I1336" s="768" t="s">
        <v>1585</v>
      </c>
    </row>
    <row r="1337" spans="1:9" x14ac:dyDescent="0.25">
      <c r="A1337" s="753"/>
      <c r="C1337" s="131" t="s">
        <v>223</v>
      </c>
      <c r="D1337" s="131">
        <v>16</v>
      </c>
      <c r="E1337" s="131" t="s">
        <v>2</v>
      </c>
      <c r="F1337" s="767">
        <v>-58469.59</v>
      </c>
      <c r="G1337" s="767">
        <v>-6399.5</v>
      </c>
      <c r="H1337" s="767">
        <v>-64869.09</v>
      </c>
      <c r="I1337" s="768" t="s">
        <v>1586</v>
      </c>
    </row>
    <row r="1338" spans="1:9" x14ac:dyDescent="0.25">
      <c r="A1338" s="753"/>
      <c r="C1338" s="131" t="s">
        <v>1048</v>
      </c>
      <c r="D1338" s="131">
        <v>16</v>
      </c>
      <c r="E1338" s="131" t="s">
        <v>1048</v>
      </c>
      <c r="F1338" s="767">
        <v>22432.58</v>
      </c>
      <c r="G1338" s="767">
        <v>3475.07</v>
      </c>
      <c r="H1338" s="767">
        <v>25907.65</v>
      </c>
      <c r="I1338" s="768" t="s">
        <v>1587</v>
      </c>
    </row>
    <row r="1339" spans="1:9" x14ac:dyDescent="0.25">
      <c r="A1339" s="753"/>
      <c r="C1339" s="131" t="s">
        <v>1048</v>
      </c>
      <c r="D1339" s="131">
        <v>16</v>
      </c>
      <c r="E1339" s="131" t="s">
        <v>1052</v>
      </c>
      <c r="F1339" s="767">
        <v>38716.980000000003</v>
      </c>
      <c r="G1339" s="767">
        <v>4209</v>
      </c>
      <c r="H1339" s="767">
        <v>42925.98</v>
      </c>
      <c r="I1339" s="768" t="s">
        <v>1588</v>
      </c>
    </row>
    <row r="1340" spans="1:9" x14ac:dyDescent="0.25">
      <c r="A1340" s="753"/>
      <c r="C1340" s="131" t="s">
        <v>244</v>
      </c>
      <c r="D1340" s="131">
        <v>16</v>
      </c>
      <c r="E1340" s="131" t="s">
        <v>244</v>
      </c>
      <c r="F1340" s="767">
        <v>-35052.92</v>
      </c>
      <c r="G1340" s="767">
        <v>-6870.44</v>
      </c>
      <c r="H1340" s="767">
        <v>-41923.360000000001</v>
      </c>
      <c r="I1340" s="768" t="s">
        <v>1592</v>
      </c>
    </row>
    <row r="1341" spans="1:9" x14ac:dyDescent="0.25">
      <c r="A1341" s="753"/>
      <c r="C1341" s="131" t="s">
        <v>244</v>
      </c>
      <c r="D1341" s="131">
        <v>16</v>
      </c>
      <c r="E1341" s="131" t="s">
        <v>1593</v>
      </c>
      <c r="F1341" s="767">
        <v>-15694.35</v>
      </c>
      <c r="G1341" s="767">
        <v>-1458.55</v>
      </c>
      <c r="H1341" s="767">
        <v>-17152.900000000001</v>
      </c>
      <c r="I1341" s="768" t="s">
        <v>1594</v>
      </c>
    </row>
    <row r="1342" spans="1:9" x14ac:dyDescent="0.25">
      <c r="A1342" s="753"/>
      <c r="C1342" s="131" t="s">
        <v>1050</v>
      </c>
      <c r="D1342" s="131">
        <v>16</v>
      </c>
      <c r="E1342" s="131" t="s">
        <v>1050</v>
      </c>
      <c r="F1342" s="767">
        <v>4983.3999999999996</v>
      </c>
      <c r="G1342" s="767">
        <v>963.32</v>
      </c>
      <c r="H1342" s="767">
        <v>5946.72</v>
      </c>
      <c r="I1342" s="768" t="s">
        <v>1595</v>
      </c>
    </row>
    <row r="1343" spans="1:9" x14ac:dyDescent="0.25">
      <c r="A1343" s="753"/>
      <c r="C1343" s="131" t="s">
        <v>1050</v>
      </c>
      <c r="D1343" s="131">
        <v>16</v>
      </c>
      <c r="E1343" s="131" t="s">
        <v>1596</v>
      </c>
      <c r="F1343" s="767">
        <v>10361.23</v>
      </c>
      <c r="G1343" s="767">
        <v>843.5</v>
      </c>
      <c r="H1343" s="767">
        <v>11204.73</v>
      </c>
      <c r="I1343" s="768" t="s">
        <v>1597</v>
      </c>
    </row>
    <row r="1344" spans="1:9" x14ac:dyDescent="0.25">
      <c r="A1344" s="753"/>
      <c r="C1344" s="131" t="s">
        <v>8</v>
      </c>
      <c r="D1344" s="131">
        <v>16</v>
      </c>
      <c r="E1344" s="131" t="s">
        <v>8</v>
      </c>
      <c r="F1344" s="767">
        <v>-1771.96</v>
      </c>
      <c r="G1344" s="767">
        <v>-456.8</v>
      </c>
      <c r="H1344" s="767">
        <v>-2228.7600000000002</v>
      </c>
      <c r="I1344" s="768" t="s">
        <v>1600</v>
      </c>
    </row>
    <row r="1345" spans="1:9" x14ac:dyDescent="0.25">
      <c r="A1345" s="753"/>
      <c r="C1345" s="131" t="s">
        <v>8</v>
      </c>
      <c r="D1345" s="131">
        <v>16</v>
      </c>
      <c r="E1345" s="131" t="s">
        <v>1091</v>
      </c>
      <c r="F1345" s="767">
        <v>-92340.07</v>
      </c>
      <c r="G1345" s="767">
        <v>-17325.650000000001</v>
      </c>
      <c r="H1345" s="767">
        <v>-109665.72</v>
      </c>
      <c r="I1345" s="768" t="s">
        <v>1601</v>
      </c>
    </row>
    <row r="1346" spans="1:9" x14ac:dyDescent="0.25">
      <c r="A1346" s="753"/>
      <c r="C1346" s="131" t="s">
        <v>1054</v>
      </c>
      <c r="D1346" s="131">
        <v>16</v>
      </c>
      <c r="E1346" s="131" t="s">
        <v>1054</v>
      </c>
      <c r="F1346" s="767">
        <v>0.8</v>
      </c>
      <c r="G1346" s="767">
        <v>6.27</v>
      </c>
      <c r="H1346" s="767">
        <v>7.07</v>
      </c>
      <c r="I1346" s="768" t="s">
        <v>1602</v>
      </c>
    </row>
    <row r="1347" spans="1:9" x14ac:dyDescent="0.25">
      <c r="A1347" s="753"/>
      <c r="C1347" s="131" t="s">
        <v>1054</v>
      </c>
      <c r="D1347" s="131">
        <v>16</v>
      </c>
      <c r="E1347" s="131" t="s">
        <v>1092</v>
      </c>
      <c r="F1347" s="767">
        <v>58543.32</v>
      </c>
      <c r="G1347" s="767">
        <v>11708.3</v>
      </c>
      <c r="H1347" s="767">
        <v>70251.62</v>
      </c>
      <c r="I1347" s="768" t="s">
        <v>1603</v>
      </c>
    </row>
    <row r="1348" spans="1:9" x14ac:dyDescent="0.25">
      <c r="A1348" s="753"/>
      <c r="C1348" s="131" t="s">
        <v>4</v>
      </c>
      <c r="D1348" s="131">
        <v>16</v>
      </c>
      <c r="E1348" s="131" t="s">
        <v>4</v>
      </c>
      <c r="F1348" s="767">
        <v>14739.28</v>
      </c>
      <c r="G1348" s="767">
        <v>1447.15</v>
      </c>
      <c r="H1348" s="767">
        <v>16186.43</v>
      </c>
      <c r="I1348" s="768" t="s">
        <v>1604</v>
      </c>
    </row>
    <row r="1349" spans="1:9" x14ac:dyDescent="0.25">
      <c r="A1349" s="753"/>
      <c r="C1349" s="131" t="s">
        <v>5</v>
      </c>
      <c r="D1349" s="131">
        <v>16</v>
      </c>
      <c r="E1349" s="131" t="s">
        <v>5</v>
      </c>
      <c r="F1349" s="767">
        <v>9826.17</v>
      </c>
      <c r="G1349" s="767">
        <v>964.76</v>
      </c>
      <c r="H1349" s="767">
        <v>10790.93</v>
      </c>
      <c r="I1349" s="768" t="s">
        <v>1605</v>
      </c>
    </row>
    <row r="1350" spans="1:9" x14ac:dyDescent="0.25">
      <c r="A1350" s="753">
        <v>804018</v>
      </c>
      <c r="B1350" s="130">
        <v>689</v>
      </c>
      <c r="E1350" s="131"/>
    </row>
    <row r="1351" spans="1:9" x14ac:dyDescent="0.25">
      <c r="A1351" s="753">
        <v>804022</v>
      </c>
      <c r="B1351" s="130">
        <v>5811</v>
      </c>
      <c r="E1351" s="131"/>
    </row>
    <row r="1352" spans="1:9" x14ac:dyDescent="0.25">
      <c r="A1352" s="753">
        <v>804024</v>
      </c>
      <c r="B1352" s="130">
        <v>1383737</v>
      </c>
      <c r="E1352" s="131"/>
    </row>
    <row r="1353" spans="1:9" x14ac:dyDescent="0.25">
      <c r="A1353" s="753">
        <v>804026</v>
      </c>
      <c r="B1353" s="130">
        <v>894172</v>
      </c>
      <c r="C1353" s="131" t="s">
        <v>180</v>
      </c>
      <c r="D1353" s="131">
        <v>16</v>
      </c>
      <c r="E1353" s="131" t="s">
        <v>180</v>
      </c>
      <c r="F1353" s="767">
        <v>-223158.6</v>
      </c>
      <c r="G1353" s="767">
        <v>-30673.15</v>
      </c>
      <c r="H1353" s="767">
        <v>-253831.75</v>
      </c>
      <c r="I1353" s="768" t="s">
        <v>1539</v>
      </c>
    </row>
    <row r="1354" spans="1:9" x14ac:dyDescent="0.25">
      <c r="A1354" s="753"/>
      <c r="C1354" s="131" t="s">
        <v>1022</v>
      </c>
      <c r="D1354" s="131">
        <v>16</v>
      </c>
      <c r="E1354" s="131" t="s">
        <v>1022</v>
      </c>
      <c r="F1354" s="767">
        <v>47986.87</v>
      </c>
      <c r="G1354" s="767">
        <v>6673.84</v>
      </c>
      <c r="H1354" s="767">
        <v>54660.71</v>
      </c>
      <c r="I1354" s="768" t="s">
        <v>1540</v>
      </c>
    </row>
    <row r="1355" spans="1:9" x14ac:dyDescent="0.25">
      <c r="A1355" s="753"/>
      <c r="C1355" s="131" t="s">
        <v>181</v>
      </c>
      <c r="D1355" s="131">
        <v>16</v>
      </c>
      <c r="E1355" s="131" t="s">
        <v>181</v>
      </c>
      <c r="F1355" s="767">
        <v>-249129.49</v>
      </c>
      <c r="G1355" s="767">
        <v>-49974.2</v>
      </c>
      <c r="H1355" s="767">
        <v>-299103.69</v>
      </c>
      <c r="I1355" s="768" t="s">
        <v>1542</v>
      </c>
    </row>
    <row r="1356" spans="1:9" x14ac:dyDescent="0.25">
      <c r="A1356" s="753"/>
      <c r="C1356" s="131" t="s">
        <v>1024</v>
      </c>
      <c r="D1356" s="131">
        <v>16</v>
      </c>
      <c r="E1356" s="131" t="s">
        <v>1024</v>
      </c>
      <c r="F1356" s="767">
        <v>51261.2</v>
      </c>
      <c r="G1356" s="767">
        <v>9755.92</v>
      </c>
      <c r="H1356" s="767">
        <v>61017.120000000003</v>
      </c>
      <c r="I1356" s="768" t="s">
        <v>1543</v>
      </c>
    </row>
    <row r="1357" spans="1:9" x14ac:dyDescent="0.25">
      <c r="A1357" s="753"/>
      <c r="C1357" s="131" t="s">
        <v>240</v>
      </c>
      <c r="D1357" s="131">
        <v>16</v>
      </c>
      <c r="E1357" s="131" t="s">
        <v>240</v>
      </c>
      <c r="F1357" s="767">
        <v>-24001.56</v>
      </c>
      <c r="G1357" s="767">
        <v>-8925.3700000000008</v>
      </c>
      <c r="H1357" s="767">
        <v>-32926.93</v>
      </c>
      <c r="I1357" s="768" t="s">
        <v>1545</v>
      </c>
    </row>
    <row r="1358" spans="1:9" x14ac:dyDescent="0.25">
      <c r="A1358" s="753"/>
      <c r="C1358" s="131" t="s">
        <v>1026</v>
      </c>
      <c r="D1358" s="131">
        <v>16</v>
      </c>
      <c r="E1358" s="131" t="s">
        <v>1026</v>
      </c>
      <c r="F1358" s="767">
        <v>4685.3999999999996</v>
      </c>
      <c r="G1358" s="767">
        <v>1665.67</v>
      </c>
      <c r="H1358" s="767">
        <v>6351.07</v>
      </c>
      <c r="I1358" s="768" t="s">
        <v>1546</v>
      </c>
    </row>
    <row r="1359" spans="1:9" x14ac:dyDescent="0.25">
      <c r="A1359" s="753"/>
      <c r="C1359" s="131" t="s">
        <v>184</v>
      </c>
      <c r="D1359" s="131">
        <v>16</v>
      </c>
      <c r="E1359" s="131" t="s">
        <v>184</v>
      </c>
      <c r="F1359" s="767">
        <v>-27656.76</v>
      </c>
      <c r="G1359" s="767">
        <v>-3470.04</v>
      </c>
      <c r="H1359" s="767">
        <v>-31126.799999999999</v>
      </c>
      <c r="I1359" s="768" t="s">
        <v>1548</v>
      </c>
    </row>
    <row r="1360" spans="1:9" x14ac:dyDescent="0.25">
      <c r="A1360" s="753"/>
      <c r="C1360" s="131" t="s">
        <v>1028</v>
      </c>
      <c r="D1360" s="131">
        <v>16</v>
      </c>
      <c r="E1360" s="131" t="s">
        <v>1028</v>
      </c>
      <c r="F1360" s="767">
        <v>8604.49</v>
      </c>
      <c r="G1360" s="767">
        <v>1078.93</v>
      </c>
      <c r="H1360" s="767">
        <v>9683.42</v>
      </c>
      <c r="I1360" s="768" t="s">
        <v>1549</v>
      </c>
    </row>
    <row r="1361" spans="1:9" x14ac:dyDescent="0.25">
      <c r="A1361" s="753"/>
      <c r="C1361" s="131" t="s">
        <v>185</v>
      </c>
      <c r="D1361" s="131">
        <v>16</v>
      </c>
      <c r="E1361" s="131" t="s">
        <v>185</v>
      </c>
      <c r="F1361" s="767">
        <v>-55793.89</v>
      </c>
      <c r="G1361" s="767">
        <v>-7683.68</v>
      </c>
      <c r="H1361" s="767">
        <v>-63477.57</v>
      </c>
      <c r="I1361" s="768" t="s">
        <v>1551</v>
      </c>
    </row>
    <row r="1362" spans="1:9" x14ac:dyDescent="0.25">
      <c r="A1362" s="753"/>
      <c r="C1362" s="131" t="s">
        <v>1030</v>
      </c>
      <c r="D1362" s="131">
        <v>16</v>
      </c>
      <c r="E1362" s="131" t="s">
        <v>1030</v>
      </c>
      <c r="F1362" s="767">
        <v>15652.1</v>
      </c>
      <c r="G1362" s="767">
        <v>2150.73</v>
      </c>
      <c r="H1362" s="767">
        <v>17802.830000000002</v>
      </c>
      <c r="I1362" s="768" t="s">
        <v>1552</v>
      </c>
    </row>
    <row r="1363" spans="1:9" x14ac:dyDescent="0.25">
      <c r="A1363" s="753"/>
      <c r="C1363" s="131" t="s">
        <v>241</v>
      </c>
      <c r="D1363" s="131">
        <v>16</v>
      </c>
      <c r="E1363" s="131" t="s">
        <v>241</v>
      </c>
      <c r="F1363" s="767">
        <v>-3684.22</v>
      </c>
      <c r="G1363" s="767">
        <v>-1872.72</v>
      </c>
      <c r="H1363" s="767">
        <v>-5556.94</v>
      </c>
      <c r="I1363" s="768" t="s">
        <v>1554</v>
      </c>
    </row>
    <row r="1364" spans="1:9" x14ac:dyDescent="0.25">
      <c r="A1364" s="753"/>
      <c r="C1364" s="131" t="s">
        <v>1032</v>
      </c>
      <c r="D1364" s="131">
        <v>16</v>
      </c>
      <c r="E1364" s="131" t="s">
        <v>1032</v>
      </c>
      <c r="F1364" s="767">
        <v>935.2</v>
      </c>
      <c r="G1364" s="767">
        <v>545.98</v>
      </c>
      <c r="H1364" s="767">
        <v>1481.18</v>
      </c>
      <c r="I1364" s="768" t="s">
        <v>1555</v>
      </c>
    </row>
    <row r="1365" spans="1:9" x14ac:dyDescent="0.25">
      <c r="A1365" s="753"/>
      <c r="C1365" s="131" t="s">
        <v>187</v>
      </c>
      <c r="D1365" s="131">
        <v>16</v>
      </c>
      <c r="E1365" s="131" t="s">
        <v>187</v>
      </c>
      <c r="F1365" s="767">
        <v>-13870.67</v>
      </c>
      <c r="G1365" s="767">
        <v>-120</v>
      </c>
      <c r="H1365" s="767">
        <v>-13990.67</v>
      </c>
      <c r="I1365" s="768" t="s">
        <v>1557</v>
      </c>
    </row>
    <row r="1366" spans="1:9" x14ac:dyDescent="0.25">
      <c r="A1366" s="753"/>
      <c r="C1366" s="131" t="s">
        <v>1034</v>
      </c>
      <c r="D1366" s="131">
        <v>16</v>
      </c>
      <c r="E1366" s="131" t="s">
        <v>1034</v>
      </c>
      <c r="F1366" s="767">
        <v>12869.93</v>
      </c>
      <c r="G1366" s="767">
        <v>120</v>
      </c>
      <c r="H1366" s="767">
        <v>12989.93</v>
      </c>
      <c r="I1366" s="768" t="s">
        <v>1558</v>
      </c>
    </row>
    <row r="1367" spans="1:9" x14ac:dyDescent="0.25">
      <c r="A1367" s="753"/>
      <c r="C1367" s="131" t="s">
        <v>188</v>
      </c>
      <c r="D1367" s="131">
        <v>16</v>
      </c>
      <c r="E1367" s="131" t="s">
        <v>188</v>
      </c>
      <c r="F1367" s="767">
        <v>-18862.04</v>
      </c>
      <c r="G1367" s="767">
        <v>-679.95</v>
      </c>
      <c r="H1367" s="767">
        <v>-19541.990000000002</v>
      </c>
      <c r="I1367" s="768" t="s">
        <v>1560</v>
      </c>
    </row>
    <row r="1368" spans="1:9" x14ac:dyDescent="0.25">
      <c r="A1368" s="753"/>
      <c r="C1368" s="131" t="s">
        <v>1036</v>
      </c>
      <c r="D1368" s="131">
        <v>16</v>
      </c>
      <c r="E1368" s="131" t="s">
        <v>1036</v>
      </c>
      <c r="F1368" s="767">
        <v>17651.16</v>
      </c>
      <c r="G1368" s="767">
        <v>605</v>
      </c>
      <c r="H1368" s="767">
        <v>18256.16</v>
      </c>
      <c r="I1368" s="768" t="s">
        <v>1561</v>
      </c>
    </row>
    <row r="1369" spans="1:9" x14ac:dyDescent="0.25">
      <c r="A1369" s="753"/>
      <c r="C1369" s="131" t="s">
        <v>242</v>
      </c>
      <c r="D1369" s="131">
        <v>16</v>
      </c>
      <c r="E1369" s="131" t="s">
        <v>242</v>
      </c>
      <c r="F1369" s="767">
        <v>-4675</v>
      </c>
      <c r="G1369" s="767">
        <v>0</v>
      </c>
      <c r="H1369" s="767">
        <v>-4675</v>
      </c>
      <c r="I1369" s="768" t="s">
        <v>1563</v>
      </c>
    </row>
    <row r="1370" spans="1:9" x14ac:dyDescent="0.25">
      <c r="A1370" s="753"/>
      <c r="C1370" s="131" t="s">
        <v>1038</v>
      </c>
      <c r="D1370" s="131">
        <v>16</v>
      </c>
      <c r="E1370" s="131" t="s">
        <v>1038</v>
      </c>
      <c r="F1370" s="767">
        <v>4609</v>
      </c>
      <c r="G1370" s="767">
        <v>0</v>
      </c>
      <c r="H1370" s="767">
        <v>4609</v>
      </c>
      <c r="I1370" s="768" t="s">
        <v>1564</v>
      </c>
    </row>
    <row r="1371" spans="1:9" x14ac:dyDescent="0.25">
      <c r="A1371" s="753"/>
      <c r="C1371" s="131" t="s">
        <v>191</v>
      </c>
      <c r="D1371" s="131">
        <v>16</v>
      </c>
      <c r="E1371" s="131" t="s">
        <v>191</v>
      </c>
      <c r="F1371" s="767">
        <v>-40374.730000000003</v>
      </c>
      <c r="G1371" s="767">
        <v>-4808.7</v>
      </c>
      <c r="H1371" s="767">
        <v>-45183.43</v>
      </c>
      <c r="I1371" s="768" t="s">
        <v>1566</v>
      </c>
    </row>
    <row r="1372" spans="1:9" x14ac:dyDescent="0.25">
      <c r="A1372" s="753"/>
      <c r="C1372" s="131" t="s">
        <v>1040</v>
      </c>
      <c r="D1372" s="131">
        <v>16</v>
      </c>
      <c r="E1372" s="131" t="s">
        <v>1040</v>
      </c>
      <c r="F1372" s="767">
        <v>13595.03</v>
      </c>
      <c r="G1372" s="767">
        <v>1629.14</v>
      </c>
      <c r="H1372" s="767">
        <v>15224.17</v>
      </c>
      <c r="I1372" s="768" t="s">
        <v>1567</v>
      </c>
    </row>
    <row r="1373" spans="1:9" x14ac:dyDescent="0.25">
      <c r="A1373" s="753"/>
      <c r="C1373" s="131" t="s">
        <v>192</v>
      </c>
      <c r="D1373" s="131">
        <v>16</v>
      </c>
      <c r="E1373" s="131" t="s">
        <v>192</v>
      </c>
      <c r="F1373" s="767">
        <v>-74036.63</v>
      </c>
      <c r="G1373" s="767">
        <v>-12430.06</v>
      </c>
      <c r="H1373" s="767">
        <v>-86466.69</v>
      </c>
      <c r="I1373" s="768" t="s">
        <v>1569</v>
      </c>
    </row>
    <row r="1374" spans="1:9" x14ac:dyDescent="0.25">
      <c r="A1374" s="753"/>
      <c r="C1374" s="131" t="s">
        <v>1042</v>
      </c>
      <c r="D1374" s="131">
        <v>16</v>
      </c>
      <c r="E1374" s="131" t="s">
        <v>1042</v>
      </c>
      <c r="F1374" s="767">
        <v>27428.22</v>
      </c>
      <c r="G1374" s="767">
        <v>4080.65</v>
      </c>
      <c r="H1374" s="767">
        <v>31508.87</v>
      </c>
      <c r="I1374" s="768" t="s">
        <v>1570</v>
      </c>
    </row>
    <row r="1375" spans="1:9" x14ac:dyDescent="0.25">
      <c r="A1375" s="753"/>
      <c r="C1375" s="131" t="s">
        <v>243</v>
      </c>
      <c r="D1375" s="131">
        <v>16</v>
      </c>
      <c r="E1375" s="131" t="s">
        <v>243</v>
      </c>
      <c r="F1375" s="767">
        <v>-19970.28</v>
      </c>
      <c r="G1375" s="767">
        <v>-1766.7</v>
      </c>
      <c r="H1375" s="767">
        <v>-21736.98</v>
      </c>
      <c r="I1375" s="768" t="s">
        <v>1572</v>
      </c>
    </row>
    <row r="1376" spans="1:9" x14ac:dyDescent="0.25">
      <c r="A1376" s="753"/>
      <c r="C1376" s="131" t="s">
        <v>1044</v>
      </c>
      <c r="D1376" s="131">
        <v>16</v>
      </c>
      <c r="E1376" s="131" t="s">
        <v>1044</v>
      </c>
      <c r="F1376" s="767">
        <v>6460.85</v>
      </c>
      <c r="G1376" s="767">
        <v>538.25</v>
      </c>
      <c r="H1376" s="767">
        <v>6999.1</v>
      </c>
      <c r="I1376" s="768" t="s">
        <v>1573</v>
      </c>
    </row>
    <row r="1377" spans="1:9" x14ac:dyDescent="0.25">
      <c r="A1377" s="753"/>
      <c r="C1377" s="131" t="s">
        <v>195</v>
      </c>
      <c r="D1377" s="131">
        <v>16</v>
      </c>
      <c r="E1377" s="131" t="s">
        <v>195</v>
      </c>
      <c r="F1377" s="767">
        <v>-68222.350000000006</v>
      </c>
      <c r="G1377" s="767">
        <v>-8204.73</v>
      </c>
      <c r="H1377" s="767">
        <v>-76427.08</v>
      </c>
      <c r="I1377" s="768" t="s">
        <v>1577</v>
      </c>
    </row>
    <row r="1378" spans="1:9" x14ac:dyDescent="0.25">
      <c r="A1378" s="753"/>
      <c r="C1378" s="131" t="s">
        <v>195</v>
      </c>
      <c r="D1378" s="131">
        <v>16</v>
      </c>
      <c r="E1378" s="131" t="s">
        <v>1578</v>
      </c>
      <c r="F1378" s="767">
        <v>-63422.27</v>
      </c>
      <c r="G1378" s="767">
        <v>-5236.8500000000004</v>
      </c>
      <c r="H1378" s="767">
        <v>-68659.12</v>
      </c>
      <c r="I1378" s="768" t="s">
        <v>1579</v>
      </c>
    </row>
    <row r="1379" spans="1:9" x14ac:dyDescent="0.25">
      <c r="A1379" s="753"/>
      <c r="C1379" s="131" t="s">
        <v>1046</v>
      </c>
      <c r="D1379" s="131">
        <v>16</v>
      </c>
      <c r="E1379" s="131" t="s">
        <v>1046</v>
      </c>
      <c r="F1379" s="767">
        <v>17018.05</v>
      </c>
      <c r="G1379" s="767">
        <v>1951.39</v>
      </c>
      <c r="H1379" s="767">
        <v>18969.439999999999</v>
      </c>
      <c r="I1379" s="768" t="s">
        <v>1580</v>
      </c>
    </row>
    <row r="1380" spans="1:9" x14ac:dyDescent="0.25">
      <c r="A1380" s="753"/>
      <c r="C1380" s="131" t="s">
        <v>1046</v>
      </c>
      <c r="D1380" s="131">
        <v>16</v>
      </c>
      <c r="E1380" s="131" t="s">
        <v>1581</v>
      </c>
      <c r="F1380" s="767">
        <v>43286.97</v>
      </c>
      <c r="G1380" s="767">
        <v>3504.8</v>
      </c>
      <c r="H1380" s="767">
        <v>46791.77</v>
      </c>
      <c r="I1380" s="768" t="s">
        <v>1582</v>
      </c>
    </row>
    <row r="1381" spans="1:9" x14ac:dyDescent="0.25">
      <c r="A1381" s="753"/>
      <c r="C1381" s="131" t="s">
        <v>223</v>
      </c>
      <c r="D1381" s="131">
        <v>16</v>
      </c>
      <c r="E1381" s="131" t="s">
        <v>223</v>
      </c>
      <c r="F1381" s="767">
        <v>-107161.95</v>
      </c>
      <c r="G1381" s="767">
        <v>-18030.36</v>
      </c>
      <c r="H1381" s="767">
        <v>-125192.31</v>
      </c>
      <c r="I1381" s="768" t="s">
        <v>1585</v>
      </c>
    </row>
    <row r="1382" spans="1:9" x14ac:dyDescent="0.25">
      <c r="A1382" s="753"/>
      <c r="C1382" s="131" t="s">
        <v>223</v>
      </c>
      <c r="D1382" s="131">
        <v>16</v>
      </c>
      <c r="E1382" s="131" t="s">
        <v>2</v>
      </c>
      <c r="F1382" s="767">
        <v>-58469.59</v>
      </c>
      <c r="G1382" s="767">
        <v>-6399.5</v>
      </c>
      <c r="H1382" s="767">
        <v>-64869.09</v>
      </c>
      <c r="I1382" s="768" t="s">
        <v>1586</v>
      </c>
    </row>
    <row r="1383" spans="1:9" x14ac:dyDescent="0.25">
      <c r="A1383" s="753"/>
      <c r="C1383" s="131" t="s">
        <v>1048</v>
      </c>
      <c r="D1383" s="131">
        <v>16</v>
      </c>
      <c r="E1383" s="131" t="s">
        <v>1048</v>
      </c>
      <c r="F1383" s="767">
        <v>22432.58</v>
      </c>
      <c r="G1383" s="767">
        <v>3475.07</v>
      </c>
      <c r="H1383" s="767">
        <v>25907.65</v>
      </c>
      <c r="I1383" s="768" t="s">
        <v>1587</v>
      </c>
    </row>
    <row r="1384" spans="1:9" x14ac:dyDescent="0.25">
      <c r="A1384" s="753"/>
      <c r="C1384" s="131" t="s">
        <v>1048</v>
      </c>
      <c r="D1384" s="131">
        <v>16</v>
      </c>
      <c r="E1384" s="131" t="s">
        <v>1052</v>
      </c>
      <c r="F1384" s="767">
        <v>38716.980000000003</v>
      </c>
      <c r="G1384" s="767">
        <v>4209</v>
      </c>
      <c r="H1384" s="767">
        <v>42925.98</v>
      </c>
      <c r="I1384" s="768" t="s">
        <v>1588</v>
      </c>
    </row>
    <row r="1385" spans="1:9" x14ac:dyDescent="0.25">
      <c r="A1385" s="753"/>
      <c r="C1385" s="131" t="s">
        <v>244</v>
      </c>
      <c r="D1385" s="131">
        <v>16</v>
      </c>
      <c r="E1385" s="131" t="s">
        <v>244</v>
      </c>
      <c r="F1385" s="767">
        <v>-35052.92</v>
      </c>
      <c r="G1385" s="767">
        <v>-6870.44</v>
      </c>
      <c r="H1385" s="767">
        <v>-41923.360000000001</v>
      </c>
      <c r="I1385" s="768" t="s">
        <v>1592</v>
      </c>
    </row>
    <row r="1386" spans="1:9" x14ac:dyDescent="0.25">
      <c r="A1386" s="753"/>
      <c r="C1386" s="131" t="s">
        <v>244</v>
      </c>
      <c r="D1386" s="131">
        <v>16</v>
      </c>
      <c r="E1386" s="131" t="s">
        <v>1593</v>
      </c>
      <c r="F1386" s="767">
        <v>-15694.35</v>
      </c>
      <c r="G1386" s="767">
        <v>-1458.55</v>
      </c>
      <c r="H1386" s="767">
        <v>-17152.900000000001</v>
      </c>
      <c r="I1386" s="768" t="s">
        <v>1594</v>
      </c>
    </row>
    <row r="1387" spans="1:9" x14ac:dyDescent="0.25">
      <c r="A1387" s="753"/>
      <c r="C1387" s="131" t="s">
        <v>1050</v>
      </c>
      <c r="D1387" s="131">
        <v>16</v>
      </c>
      <c r="E1387" s="131" t="s">
        <v>1050</v>
      </c>
      <c r="F1387" s="767">
        <v>4983.3999999999996</v>
      </c>
      <c r="G1387" s="767">
        <v>963.32</v>
      </c>
      <c r="H1387" s="767">
        <v>5946.72</v>
      </c>
      <c r="I1387" s="768" t="s">
        <v>1595</v>
      </c>
    </row>
    <row r="1388" spans="1:9" x14ac:dyDescent="0.25">
      <c r="A1388" s="753"/>
      <c r="C1388" s="131" t="s">
        <v>1050</v>
      </c>
      <c r="D1388" s="131">
        <v>16</v>
      </c>
      <c r="E1388" s="131" t="s">
        <v>1596</v>
      </c>
      <c r="F1388" s="767">
        <v>10361.23</v>
      </c>
      <c r="G1388" s="767">
        <v>843.5</v>
      </c>
      <c r="H1388" s="767">
        <v>11204.73</v>
      </c>
      <c r="I1388" s="768" t="s">
        <v>1597</v>
      </c>
    </row>
    <row r="1389" spans="1:9" x14ac:dyDescent="0.25">
      <c r="A1389" s="753"/>
      <c r="C1389" s="131" t="s">
        <v>4</v>
      </c>
      <c r="D1389" s="131">
        <v>16</v>
      </c>
      <c r="E1389" s="131" t="s">
        <v>4</v>
      </c>
      <c r="F1389" s="767">
        <v>14739.28</v>
      </c>
      <c r="G1389" s="767">
        <v>1447.15</v>
      </c>
      <c r="H1389" s="767">
        <v>16186.43</v>
      </c>
      <c r="I1389" s="768" t="s">
        <v>1604</v>
      </c>
    </row>
    <row r="1390" spans="1:9" x14ac:dyDescent="0.25">
      <c r="A1390" s="753"/>
      <c r="C1390" s="131" t="s">
        <v>5</v>
      </c>
      <c r="D1390" s="131">
        <v>16</v>
      </c>
      <c r="E1390" s="131" t="s">
        <v>5</v>
      </c>
      <c r="F1390" s="767">
        <v>9826.17</v>
      </c>
      <c r="G1390" s="767">
        <v>964.76</v>
      </c>
      <c r="H1390" s="767">
        <v>10790.93</v>
      </c>
      <c r="I1390" s="768" t="s">
        <v>1605</v>
      </c>
    </row>
    <row r="1391" spans="1:9" x14ac:dyDescent="0.25">
      <c r="A1391" s="753"/>
      <c r="C1391" s="131" t="s">
        <v>8</v>
      </c>
      <c r="D1391" s="131">
        <v>16</v>
      </c>
      <c r="E1391" s="131" t="s">
        <v>8</v>
      </c>
      <c r="F1391" s="767">
        <v>-1771.96</v>
      </c>
      <c r="G1391" s="767">
        <v>-456.8</v>
      </c>
      <c r="H1391" s="767">
        <v>-2228.7600000000002</v>
      </c>
      <c r="I1391" s="768" t="s">
        <v>1600</v>
      </c>
    </row>
    <row r="1392" spans="1:9" x14ac:dyDescent="0.25">
      <c r="A1392" s="753"/>
      <c r="C1392" s="131" t="s">
        <v>8</v>
      </c>
      <c r="D1392" s="131">
        <v>16</v>
      </c>
      <c r="E1392" s="131" t="s">
        <v>1091</v>
      </c>
      <c r="F1392" s="767">
        <v>-92340.07</v>
      </c>
      <c r="G1392" s="767">
        <v>-17325.650000000001</v>
      </c>
      <c r="H1392" s="767">
        <v>-109665.72</v>
      </c>
      <c r="I1392" s="768" t="s">
        <v>1601</v>
      </c>
    </row>
    <row r="1393" spans="1:9" x14ac:dyDescent="0.25">
      <c r="A1393" s="753"/>
      <c r="C1393" s="131" t="s">
        <v>1054</v>
      </c>
      <c r="D1393" s="131">
        <v>16</v>
      </c>
      <c r="E1393" s="131" t="s">
        <v>1054</v>
      </c>
      <c r="F1393" s="767">
        <v>0.8</v>
      </c>
      <c r="G1393" s="767">
        <v>6.27</v>
      </c>
      <c r="H1393" s="767">
        <v>7.07</v>
      </c>
      <c r="I1393" s="768" t="s">
        <v>1602</v>
      </c>
    </row>
    <row r="1394" spans="1:9" x14ac:dyDescent="0.25">
      <c r="A1394" s="753"/>
      <c r="C1394" s="131" t="s">
        <v>1054</v>
      </c>
      <c r="D1394" s="131">
        <v>16</v>
      </c>
      <c r="E1394" s="131" t="s">
        <v>1092</v>
      </c>
      <c r="F1394" s="767">
        <v>58543.32</v>
      </c>
      <c r="G1394" s="767">
        <v>11708.3</v>
      </c>
      <c r="H1394" s="767">
        <v>70251.62</v>
      </c>
      <c r="I1394" s="768" t="s">
        <v>1603</v>
      </c>
    </row>
    <row r="1395" spans="1:9" x14ac:dyDescent="0.25">
      <c r="A1395" s="753">
        <v>804028</v>
      </c>
      <c r="B1395" s="130">
        <v>646</v>
      </c>
      <c r="E1395" s="131"/>
    </row>
    <row r="1396" spans="1:9" x14ac:dyDescent="0.25">
      <c r="A1396" s="753">
        <v>804212</v>
      </c>
      <c r="B1396" s="130">
        <v>340</v>
      </c>
      <c r="E1396" s="131"/>
    </row>
    <row r="1397" spans="1:9" x14ac:dyDescent="0.25">
      <c r="A1397" s="753">
        <v>804214</v>
      </c>
      <c r="B1397" s="130">
        <v>70296</v>
      </c>
      <c r="E1397" s="131"/>
    </row>
    <row r="1398" spans="1:9" x14ac:dyDescent="0.25">
      <c r="A1398" s="753">
        <v>804216</v>
      </c>
      <c r="B1398" s="130">
        <v>42176</v>
      </c>
      <c r="C1398" s="131" t="s">
        <v>180</v>
      </c>
      <c r="D1398" s="131">
        <v>16</v>
      </c>
      <c r="E1398" s="131" t="s">
        <v>180</v>
      </c>
      <c r="F1398" s="767">
        <v>-223158.6</v>
      </c>
      <c r="G1398" s="767">
        <v>-30673.15</v>
      </c>
      <c r="H1398" s="767">
        <v>-253831.75</v>
      </c>
      <c r="I1398" s="768" t="s">
        <v>1539</v>
      </c>
    </row>
    <row r="1399" spans="1:9" x14ac:dyDescent="0.25">
      <c r="A1399" s="753"/>
      <c r="C1399" s="131" t="s">
        <v>1022</v>
      </c>
      <c r="D1399" s="131">
        <v>16</v>
      </c>
      <c r="E1399" s="131" t="s">
        <v>1022</v>
      </c>
      <c r="F1399" s="767">
        <v>47986.87</v>
      </c>
      <c r="G1399" s="767">
        <v>6673.84</v>
      </c>
      <c r="H1399" s="767">
        <v>54660.71</v>
      </c>
      <c r="I1399" s="768" t="s">
        <v>1540</v>
      </c>
    </row>
    <row r="1400" spans="1:9" x14ac:dyDescent="0.25">
      <c r="A1400" s="753"/>
      <c r="C1400" s="131" t="s">
        <v>184</v>
      </c>
      <c r="D1400" s="131">
        <v>16</v>
      </c>
      <c r="E1400" s="131" t="s">
        <v>184</v>
      </c>
      <c r="F1400" s="767">
        <v>-27656.76</v>
      </c>
      <c r="G1400" s="767">
        <v>-3470.04</v>
      </c>
      <c r="H1400" s="767">
        <v>-31126.799999999999</v>
      </c>
      <c r="I1400" s="768" t="s">
        <v>1548</v>
      </c>
    </row>
    <row r="1401" spans="1:9" x14ac:dyDescent="0.25">
      <c r="A1401" s="753"/>
      <c r="C1401" s="131" t="s">
        <v>1028</v>
      </c>
      <c r="D1401" s="131">
        <v>16</v>
      </c>
      <c r="E1401" s="131" t="s">
        <v>1028</v>
      </c>
      <c r="F1401" s="767">
        <v>8604.49</v>
      </c>
      <c r="G1401" s="767">
        <v>1078.93</v>
      </c>
      <c r="H1401" s="767">
        <v>9683.42</v>
      </c>
      <c r="I1401" s="768" t="s">
        <v>1549</v>
      </c>
    </row>
    <row r="1402" spans="1:9" x14ac:dyDescent="0.25">
      <c r="A1402" s="753"/>
      <c r="C1402" s="131" t="s">
        <v>187</v>
      </c>
      <c r="D1402" s="131">
        <v>16</v>
      </c>
      <c r="E1402" s="131" t="s">
        <v>187</v>
      </c>
      <c r="F1402" s="767">
        <v>-13870.67</v>
      </c>
      <c r="G1402" s="767">
        <v>-120</v>
      </c>
      <c r="H1402" s="767">
        <v>-13990.67</v>
      </c>
      <c r="I1402" s="768" t="s">
        <v>1557</v>
      </c>
    </row>
    <row r="1403" spans="1:9" x14ac:dyDescent="0.25">
      <c r="A1403" s="753"/>
      <c r="C1403" s="131" t="s">
        <v>1034</v>
      </c>
      <c r="D1403" s="131">
        <v>16</v>
      </c>
      <c r="E1403" s="131" t="s">
        <v>1034</v>
      </c>
      <c r="F1403" s="767">
        <v>12869.93</v>
      </c>
      <c r="G1403" s="767">
        <v>120</v>
      </c>
      <c r="H1403" s="767">
        <v>12989.93</v>
      </c>
      <c r="I1403" s="768" t="s">
        <v>1558</v>
      </c>
    </row>
    <row r="1404" spans="1:9" x14ac:dyDescent="0.25">
      <c r="A1404" s="753"/>
      <c r="C1404" s="131" t="s">
        <v>191</v>
      </c>
      <c r="D1404" s="131">
        <v>16</v>
      </c>
      <c r="E1404" s="131" t="s">
        <v>191</v>
      </c>
      <c r="F1404" s="767">
        <v>-40374.730000000003</v>
      </c>
      <c r="G1404" s="767">
        <v>-4808.7</v>
      </c>
      <c r="H1404" s="767">
        <v>-45183.43</v>
      </c>
      <c r="I1404" s="768" t="s">
        <v>1566</v>
      </c>
    </row>
    <row r="1405" spans="1:9" x14ac:dyDescent="0.25">
      <c r="A1405" s="753"/>
      <c r="C1405" s="131" t="s">
        <v>1040</v>
      </c>
      <c r="D1405" s="131">
        <v>16</v>
      </c>
      <c r="E1405" s="131" t="s">
        <v>1040</v>
      </c>
      <c r="F1405" s="767">
        <v>13595.03</v>
      </c>
      <c r="G1405" s="767">
        <v>1629.14</v>
      </c>
      <c r="H1405" s="767">
        <v>15224.17</v>
      </c>
      <c r="I1405" s="768" t="s">
        <v>1567</v>
      </c>
    </row>
    <row r="1406" spans="1:9" x14ac:dyDescent="0.25">
      <c r="A1406" s="753"/>
      <c r="C1406" s="131" t="s">
        <v>195</v>
      </c>
      <c r="D1406" s="131">
        <v>16</v>
      </c>
      <c r="E1406" s="131" t="s">
        <v>195</v>
      </c>
      <c r="F1406" s="767">
        <v>-68222.350000000006</v>
      </c>
      <c r="G1406" s="767">
        <v>-8204.73</v>
      </c>
      <c r="H1406" s="767">
        <v>-76427.08</v>
      </c>
      <c r="I1406" s="768" t="s">
        <v>1577</v>
      </c>
    </row>
    <row r="1407" spans="1:9" x14ac:dyDescent="0.25">
      <c r="A1407" s="753"/>
      <c r="C1407" s="131" t="s">
        <v>195</v>
      </c>
      <c r="D1407" s="131">
        <v>16</v>
      </c>
      <c r="E1407" s="131" t="s">
        <v>1578</v>
      </c>
      <c r="F1407" s="767">
        <v>-63422.27</v>
      </c>
      <c r="G1407" s="767">
        <v>-5236.8500000000004</v>
      </c>
      <c r="H1407" s="767">
        <v>-68659.12</v>
      </c>
      <c r="I1407" s="768" t="s">
        <v>1579</v>
      </c>
    </row>
    <row r="1408" spans="1:9" x14ac:dyDescent="0.25">
      <c r="A1408" s="753"/>
      <c r="C1408" s="131" t="s">
        <v>1046</v>
      </c>
      <c r="D1408" s="131">
        <v>16</v>
      </c>
      <c r="E1408" s="131" t="s">
        <v>1046</v>
      </c>
      <c r="F1408" s="767">
        <v>17018.05</v>
      </c>
      <c r="G1408" s="767">
        <v>1951.39</v>
      </c>
      <c r="H1408" s="767">
        <v>18969.439999999999</v>
      </c>
      <c r="I1408" s="768" t="s">
        <v>1580</v>
      </c>
    </row>
    <row r="1409" spans="1:9" x14ac:dyDescent="0.25">
      <c r="A1409" s="753"/>
      <c r="C1409" s="131" t="s">
        <v>1046</v>
      </c>
      <c r="D1409" s="131">
        <v>16</v>
      </c>
      <c r="E1409" s="131" t="s">
        <v>1581</v>
      </c>
      <c r="F1409" s="767">
        <v>43286.97</v>
      </c>
      <c r="G1409" s="767">
        <v>3504.8</v>
      </c>
      <c r="H1409" s="767">
        <v>46791.77</v>
      </c>
      <c r="I1409" s="768" t="s">
        <v>1582</v>
      </c>
    </row>
    <row r="1410" spans="1:9" x14ac:dyDescent="0.25">
      <c r="A1410" s="753"/>
      <c r="C1410" s="131" t="s">
        <v>4</v>
      </c>
      <c r="D1410" s="131">
        <v>16</v>
      </c>
      <c r="E1410" s="131" t="s">
        <v>4</v>
      </c>
      <c r="F1410" s="767">
        <v>14739.28</v>
      </c>
      <c r="G1410" s="767">
        <v>1447.15</v>
      </c>
      <c r="H1410" s="767">
        <v>16186.43</v>
      </c>
      <c r="I1410" s="768" t="s">
        <v>1604</v>
      </c>
    </row>
    <row r="1411" spans="1:9" x14ac:dyDescent="0.25">
      <c r="A1411" s="753"/>
      <c r="C1411" s="131" t="s">
        <v>8</v>
      </c>
      <c r="D1411" s="131">
        <v>16</v>
      </c>
      <c r="E1411" s="131" t="s">
        <v>8</v>
      </c>
      <c r="F1411" s="767">
        <v>-1771.96</v>
      </c>
      <c r="G1411" s="767">
        <v>-456.8</v>
      </c>
      <c r="H1411" s="767">
        <v>-2228.7600000000002</v>
      </c>
      <c r="I1411" s="768" t="s">
        <v>1600</v>
      </c>
    </row>
    <row r="1412" spans="1:9" x14ac:dyDescent="0.25">
      <c r="A1412" s="753"/>
      <c r="C1412" s="131" t="s">
        <v>8</v>
      </c>
      <c r="D1412" s="131">
        <v>16</v>
      </c>
      <c r="E1412" s="131" t="s">
        <v>1091</v>
      </c>
      <c r="F1412" s="767">
        <v>-92340.07</v>
      </c>
      <c r="G1412" s="767">
        <v>-17325.650000000001</v>
      </c>
      <c r="H1412" s="767">
        <v>-109665.72</v>
      </c>
      <c r="I1412" s="768" t="s">
        <v>1601</v>
      </c>
    </row>
    <row r="1413" spans="1:9" x14ac:dyDescent="0.25">
      <c r="A1413" s="753"/>
      <c r="C1413" s="131" t="s">
        <v>1054</v>
      </c>
      <c r="D1413" s="131">
        <v>16</v>
      </c>
      <c r="E1413" s="131" t="s">
        <v>1054</v>
      </c>
      <c r="F1413" s="767">
        <v>0.8</v>
      </c>
      <c r="G1413" s="767">
        <v>6.27</v>
      </c>
      <c r="H1413" s="767">
        <v>7.07</v>
      </c>
      <c r="I1413" s="768" t="s">
        <v>1602</v>
      </c>
    </row>
    <row r="1414" spans="1:9" x14ac:dyDescent="0.25">
      <c r="A1414" s="753"/>
      <c r="C1414" s="131" t="s">
        <v>1054</v>
      </c>
      <c r="D1414" s="131">
        <v>16</v>
      </c>
      <c r="E1414" s="131" t="s">
        <v>1092</v>
      </c>
      <c r="F1414" s="767">
        <v>58543.32</v>
      </c>
      <c r="G1414" s="767">
        <v>11708.3</v>
      </c>
      <c r="H1414" s="767">
        <v>70251.62</v>
      </c>
      <c r="I1414" s="768" t="s">
        <v>1603</v>
      </c>
    </row>
    <row r="1415" spans="1:9" x14ac:dyDescent="0.25">
      <c r="A1415" s="753">
        <v>804218</v>
      </c>
      <c r="B1415" s="130">
        <v>600</v>
      </c>
      <c r="E1415" s="131"/>
    </row>
    <row r="1416" spans="1:9" x14ac:dyDescent="0.25">
      <c r="A1416" s="753">
        <v>804222</v>
      </c>
      <c r="B1416" s="130">
        <v>2610</v>
      </c>
      <c r="E1416" s="131"/>
    </row>
    <row r="1417" spans="1:9" x14ac:dyDescent="0.25">
      <c r="A1417" s="753">
        <v>804224</v>
      </c>
      <c r="B1417" s="130">
        <v>601113</v>
      </c>
      <c r="E1417" s="131"/>
    </row>
    <row r="1418" spans="1:9" x14ac:dyDescent="0.25">
      <c r="A1418" s="753">
        <v>804226</v>
      </c>
      <c r="B1418" s="130">
        <v>356349</v>
      </c>
      <c r="C1418" s="131" t="s">
        <v>180</v>
      </c>
      <c r="D1418" s="131">
        <v>16</v>
      </c>
      <c r="E1418" s="131" t="s">
        <v>180</v>
      </c>
      <c r="F1418" s="767">
        <v>-223158.6</v>
      </c>
      <c r="G1418" s="767">
        <v>-30673.15</v>
      </c>
      <c r="H1418" s="767">
        <v>-253831.75</v>
      </c>
      <c r="I1418" s="768" t="s">
        <v>1539</v>
      </c>
    </row>
    <row r="1419" spans="1:9" x14ac:dyDescent="0.25">
      <c r="A1419" s="753"/>
      <c r="C1419" s="131" t="s">
        <v>1022</v>
      </c>
      <c r="D1419" s="131">
        <v>16</v>
      </c>
      <c r="E1419" s="131" t="s">
        <v>1022</v>
      </c>
      <c r="F1419" s="767">
        <v>47986.87</v>
      </c>
      <c r="G1419" s="767">
        <v>6673.84</v>
      </c>
      <c r="H1419" s="767">
        <v>54660.71</v>
      </c>
      <c r="I1419" s="768" t="s">
        <v>1540</v>
      </c>
    </row>
    <row r="1420" spans="1:9" x14ac:dyDescent="0.25">
      <c r="A1420" s="753"/>
      <c r="C1420" s="131" t="s">
        <v>184</v>
      </c>
      <c r="D1420" s="131">
        <v>16</v>
      </c>
      <c r="E1420" s="131" t="s">
        <v>184</v>
      </c>
      <c r="F1420" s="767">
        <v>-27656.76</v>
      </c>
      <c r="G1420" s="767">
        <v>-3470.04</v>
      </c>
      <c r="H1420" s="767">
        <v>-31126.799999999999</v>
      </c>
      <c r="I1420" s="768" t="s">
        <v>1548</v>
      </c>
    </row>
    <row r="1421" spans="1:9" x14ac:dyDescent="0.25">
      <c r="A1421" s="753"/>
      <c r="C1421" s="131" t="s">
        <v>1028</v>
      </c>
      <c r="D1421" s="131">
        <v>16</v>
      </c>
      <c r="E1421" s="131" t="s">
        <v>1028</v>
      </c>
      <c r="F1421" s="767">
        <v>8604.49</v>
      </c>
      <c r="G1421" s="767">
        <v>1078.93</v>
      </c>
      <c r="H1421" s="767">
        <v>9683.42</v>
      </c>
      <c r="I1421" s="768" t="s">
        <v>1549</v>
      </c>
    </row>
    <row r="1422" spans="1:9" x14ac:dyDescent="0.25">
      <c r="A1422" s="753"/>
      <c r="C1422" s="131" t="s">
        <v>187</v>
      </c>
      <c r="D1422" s="131">
        <v>16</v>
      </c>
      <c r="E1422" s="131" t="s">
        <v>187</v>
      </c>
      <c r="F1422" s="767">
        <v>-13870.67</v>
      </c>
      <c r="G1422" s="767">
        <v>-120</v>
      </c>
      <c r="H1422" s="767">
        <v>-13990.67</v>
      </c>
      <c r="I1422" s="768" t="s">
        <v>1557</v>
      </c>
    </row>
    <row r="1423" spans="1:9" x14ac:dyDescent="0.25">
      <c r="A1423" s="753"/>
      <c r="C1423" s="131" t="s">
        <v>1034</v>
      </c>
      <c r="D1423" s="131">
        <v>16</v>
      </c>
      <c r="E1423" s="131" t="s">
        <v>1034</v>
      </c>
      <c r="F1423" s="767">
        <v>12869.93</v>
      </c>
      <c r="G1423" s="767">
        <v>120</v>
      </c>
      <c r="H1423" s="767">
        <v>12989.93</v>
      </c>
      <c r="I1423" s="768" t="s">
        <v>1558</v>
      </c>
    </row>
    <row r="1424" spans="1:9" x14ac:dyDescent="0.25">
      <c r="A1424" s="753"/>
      <c r="C1424" s="131" t="s">
        <v>191</v>
      </c>
      <c r="D1424" s="131">
        <v>16</v>
      </c>
      <c r="E1424" s="131" t="s">
        <v>191</v>
      </c>
      <c r="F1424" s="767">
        <v>-40374.730000000003</v>
      </c>
      <c r="G1424" s="767">
        <v>-4808.7</v>
      </c>
      <c r="H1424" s="767">
        <v>-45183.43</v>
      </c>
      <c r="I1424" s="768" t="s">
        <v>1566</v>
      </c>
    </row>
    <row r="1425" spans="1:9" x14ac:dyDescent="0.25">
      <c r="A1425" s="753"/>
      <c r="C1425" s="131" t="s">
        <v>1040</v>
      </c>
      <c r="D1425" s="131">
        <v>16</v>
      </c>
      <c r="E1425" s="131" t="s">
        <v>1040</v>
      </c>
      <c r="F1425" s="767">
        <v>13595.03</v>
      </c>
      <c r="G1425" s="767">
        <v>1629.14</v>
      </c>
      <c r="H1425" s="767">
        <v>15224.17</v>
      </c>
      <c r="I1425" s="768" t="s">
        <v>1567</v>
      </c>
    </row>
    <row r="1426" spans="1:9" x14ac:dyDescent="0.25">
      <c r="A1426" s="753"/>
      <c r="C1426" s="131" t="s">
        <v>195</v>
      </c>
      <c r="D1426" s="131">
        <v>16</v>
      </c>
      <c r="E1426" s="131" t="s">
        <v>195</v>
      </c>
      <c r="F1426" s="767">
        <v>-68222.350000000006</v>
      </c>
      <c r="G1426" s="767">
        <v>-8204.73</v>
      </c>
      <c r="H1426" s="767">
        <v>-76427.08</v>
      </c>
      <c r="I1426" s="768" t="s">
        <v>1577</v>
      </c>
    </row>
    <row r="1427" spans="1:9" x14ac:dyDescent="0.25">
      <c r="A1427" s="753"/>
      <c r="C1427" s="131" t="s">
        <v>195</v>
      </c>
      <c r="D1427" s="131">
        <v>16</v>
      </c>
      <c r="E1427" s="131" t="s">
        <v>1578</v>
      </c>
      <c r="F1427" s="767">
        <v>-63422.27</v>
      </c>
      <c r="G1427" s="767">
        <v>-5236.8500000000004</v>
      </c>
      <c r="H1427" s="767">
        <v>-68659.12</v>
      </c>
      <c r="I1427" s="768" t="s">
        <v>1579</v>
      </c>
    </row>
    <row r="1428" spans="1:9" x14ac:dyDescent="0.25">
      <c r="A1428" s="753"/>
      <c r="C1428" s="131" t="s">
        <v>1046</v>
      </c>
      <c r="D1428" s="131">
        <v>16</v>
      </c>
      <c r="E1428" s="131" t="s">
        <v>1046</v>
      </c>
      <c r="F1428" s="767">
        <v>17018.05</v>
      </c>
      <c r="G1428" s="767">
        <v>1951.39</v>
      </c>
      <c r="H1428" s="767">
        <v>18969.439999999999</v>
      </c>
      <c r="I1428" s="768" t="s">
        <v>1580</v>
      </c>
    </row>
    <row r="1429" spans="1:9" x14ac:dyDescent="0.25">
      <c r="A1429" s="753"/>
      <c r="C1429" s="131" t="s">
        <v>1046</v>
      </c>
      <c r="D1429" s="131">
        <v>16</v>
      </c>
      <c r="E1429" s="131" t="s">
        <v>1581</v>
      </c>
      <c r="F1429" s="767">
        <v>43286.97</v>
      </c>
      <c r="G1429" s="767">
        <v>3504.8</v>
      </c>
      <c r="H1429" s="767">
        <v>46791.77</v>
      </c>
      <c r="I1429" s="768" t="s">
        <v>1582</v>
      </c>
    </row>
    <row r="1430" spans="1:9" x14ac:dyDescent="0.25">
      <c r="A1430" s="753"/>
      <c r="C1430" s="131" t="s">
        <v>4</v>
      </c>
      <c r="D1430" s="131">
        <v>16</v>
      </c>
      <c r="E1430" s="131" t="s">
        <v>4</v>
      </c>
      <c r="F1430" s="767">
        <v>14739.28</v>
      </c>
      <c r="G1430" s="767">
        <v>1447.15</v>
      </c>
      <c r="H1430" s="767">
        <v>16186.43</v>
      </c>
      <c r="I1430" s="768" t="s">
        <v>1604</v>
      </c>
    </row>
    <row r="1431" spans="1:9" x14ac:dyDescent="0.25">
      <c r="A1431" s="753"/>
      <c r="C1431" s="131" t="s">
        <v>8</v>
      </c>
      <c r="D1431" s="131">
        <v>16</v>
      </c>
      <c r="E1431" s="131" t="s">
        <v>8</v>
      </c>
      <c r="F1431" s="767">
        <v>-1771.96</v>
      </c>
      <c r="G1431" s="767">
        <v>-456.8</v>
      </c>
      <c r="H1431" s="767">
        <v>-2228.7600000000002</v>
      </c>
      <c r="I1431" s="768" t="s">
        <v>1600</v>
      </c>
    </row>
    <row r="1432" spans="1:9" x14ac:dyDescent="0.25">
      <c r="A1432" s="753"/>
      <c r="C1432" s="131" t="s">
        <v>8</v>
      </c>
      <c r="D1432" s="131">
        <v>16</v>
      </c>
      <c r="E1432" s="131" t="s">
        <v>1091</v>
      </c>
      <c r="F1432" s="767">
        <v>-92340.07</v>
      </c>
      <c r="G1432" s="767">
        <v>-17325.650000000001</v>
      </c>
      <c r="H1432" s="767">
        <v>-109665.72</v>
      </c>
      <c r="I1432" s="768" t="s">
        <v>1601</v>
      </c>
    </row>
    <row r="1433" spans="1:9" x14ac:dyDescent="0.25">
      <c r="A1433" s="753"/>
      <c r="C1433" s="131" t="s">
        <v>1054</v>
      </c>
      <c r="D1433" s="131">
        <v>16</v>
      </c>
      <c r="E1433" s="131" t="s">
        <v>1054</v>
      </c>
      <c r="F1433" s="767">
        <v>0.8</v>
      </c>
      <c r="G1433" s="767">
        <v>6.27</v>
      </c>
      <c r="H1433" s="767">
        <v>7.07</v>
      </c>
      <c r="I1433" s="768" t="s">
        <v>1602</v>
      </c>
    </row>
    <row r="1434" spans="1:9" x14ac:dyDescent="0.25">
      <c r="A1434" s="753"/>
      <c r="C1434" s="131" t="s">
        <v>1054</v>
      </c>
      <c r="D1434" s="131">
        <v>16</v>
      </c>
      <c r="E1434" s="131" t="s">
        <v>1092</v>
      </c>
      <c r="F1434" s="767">
        <v>58543.32</v>
      </c>
      <c r="G1434" s="767">
        <v>11708.3</v>
      </c>
      <c r="H1434" s="767">
        <v>70251.62</v>
      </c>
      <c r="I1434" s="768" t="s">
        <v>1603</v>
      </c>
    </row>
    <row r="1435" spans="1:9" x14ac:dyDescent="0.25">
      <c r="A1435" s="753">
        <v>804228</v>
      </c>
      <c r="B1435" s="130">
        <v>593</v>
      </c>
      <c r="E1435" s="131"/>
    </row>
    <row r="1436" spans="1:9" x14ac:dyDescent="0.25">
      <c r="A1436" s="753">
        <v>804312</v>
      </c>
      <c r="B1436" s="130">
        <v>376</v>
      </c>
      <c r="E1436" s="131"/>
    </row>
    <row r="1437" spans="1:9" x14ac:dyDescent="0.25">
      <c r="A1437" s="753">
        <v>804314</v>
      </c>
      <c r="B1437" s="130">
        <v>95198</v>
      </c>
      <c r="E1437" s="131"/>
    </row>
    <row r="1438" spans="1:9" x14ac:dyDescent="0.25">
      <c r="A1438" s="753">
        <v>804316</v>
      </c>
      <c r="B1438" s="130">
        <v>69956</v>
      </c>
      <c r="C1438" s="131" t="s">
        <v>181</v>
      </c>
      <c r="D1438" s="131">
        <v>16</v>
      </c>
      <c r="E1438" s="131" t="s">
        <v>181</v>
      </c>
      <c r="F1438" s="767">
        <v>-249129.49</v>
      </c>
      <c r="G1438" s="767">
        <v>-49974.2</v>
      </c>
      <c r="H1438" s="767">
        <v>-299103.69</v>
      </c>
      <c r="I1438" s="768" t="s">
        <v>1542</v>
      </c>
    </row>
    <row r="1439" spans="1:9" x14ac:dyDescent="0.25">
      <c r="A1439" s="753"/>
      <c r="C1439" s="131" t="s">
        <v>1024</v>
      </c>
      <c r="D1439" s="131">
        <v>16</v>
      </c>
      <c r="E1439" s="131" t="s">
        <v>1024</v>
      </c>
      <c r="F1439" s="767">
        <v>51261.2</v>
      </c>
      <c r="G1439" s="767">
        <v>9755.92</v>
      </c>
      <c r="H1439" s="767">
        <v>61017.120000000003</v>
      </c>
      <c r="I1439" s="768" t="s">
        <v>1543</v>
      </c>
    </row>
    <row r="1440" spans="1:9" x14ac:dyDescent="0.25">
      <c r="A1440" s="753"/>
      <c r="C1440" s="131" t="s">
        <v>185</v>
      </c>
      <c r="D1440" s="131">
        <v>16</v>
      </c>
      <c r="E1440" s="131" t="s">
        <v>185</v>
      </c>
      <c r="F1440" s="767">
        <v>-55793.89</v>
      </c>
      <c r="G1440" s="767">
        <v>-7683.68</v>
      </c>
      <c r="H1440" s="767">
        <v>-63477.57</v>
      </c>
      <c r="I1440" s="768" t="s">
        <v>1551</v>
      </c>
    </row>
    <row r="1441" spans="1:9" x14ac:dyDescent="0.25">
      <c r="A1441" s="753"/>
      <c r="C1441" s="131" t="s">
        <v>1030</v>
      </c>
      <c r="D1441" s="131">
        <v>16</v>
      </c>
      <c r="E1441" s="131" t="s">
        <v>1030</v>
      </c>
      <c r="F1441" s="767">
        <v>15652.1</v>
      </c>
      <c r="G1441" s="767">
        <v>2150.73</v>
      </c>
      <c r="H1441" s="767">
        <v>17802.830000000002</v>
      </c>
      <c r="I1441" s="768" t="s">
        <v>1552</v>
      </c>
    </row>
    <row r="1442" spans="1:9" x14ac:dyDescent="0.25">
      <c r="A1442" s="753"/>
      <c r="C1442" s="131" t="s">
        <v>188</v>
      </c>
      <c r="D1442" s="131">
        <v>16</v>
      </c>
      <c r="E1442" s="131" t="s">
        <v>188</v>
      </c>
      <c r="F1442" s="767">
        <v>-18862.04</v>
      </c>
      <c r="G1442" s="767">
        <v>-679.95</v>
      </c>
      <c r="H1442" s="767">
        <v>-19541.990000000002</v>
      </c>
      <c r="I1442" s="768" t="s">
        <v>1560</v>
      </c>
    </row>
    <row r="1443" spans="1:9" x14ac:dyDescent="0.25">
      <c r="A1443" s="753"/>
      <c r="C1443" s="131" t="s">
        <v>1036</v>
      </c>
      <c r="D1443" s="131">
        <v>16</v>
      </c>
      <c r="E1443" s="131" t="s">
        <v>1036</v>
      </c>
      <c r="F1443" s="767">
        <v>17651.16</v>
      </c>
      <c r="G1443" s="767">
        <v>605</v>
      </c>
      <c r="H1443" s="767">
        <v>18256.16</v>
      </c>
      <c r="I1443" s="768" t="s">
        <v>1561</v>
      </c>
    </row>
    <row r="1444" spans="1:9" x14ac:dyDescent="0.25">
      <c r="A1444" s="753"/>
      <c r="C1444" s="131" t="s">
        <v>192</v>
      </c>
      <c r="D1444" s="131">
        <v>16</v>
      </c>
      <c r="E1444" s="131" t="s">
        <v>192</v>
      </c>
      <c r="F1444" s="767">
        <v>-74036.63</v>
      </c>
      <c r="G1444" s="767">
        <v>-12430.06</v>
      </c>
      <c r="H1444" s="767">
        <v>-86466.69</v>
      </c>
      <c r="I1444" s="768" t="s">
        <v>1569</v>
      </c>
    </row>
    <row r="1445" spans="1:9" x14ac:dyDescent="0.25">
      <c r="A1445" s="753"/>
      <c r="C1445" s="131" t="s">
        <v>1042</v>
      </c>
      <c r="D1445" s="131">
        <v>16</v>
      </c>
      <c r="E1445" s="131" t="s">
        <v>1042</v>
      </c>
      <c r="F1445" s="767">
        <v>27428.22</v>
      </c>
      <c r="G1445" s="767">
        <v>4080.65</v>
      </c>
      <c r="H1445" s="767">
        <v>31508.87</v>
      </c>
      <c r="I1445" s="768" t="s">
        <v>1570</v>
      </c>
    </row>
    <row r="1446" spans="1:9" x14ac:dyDescent="0.25">
      <c r="A1446" s="753"/>
      <c r="C1446" s="131" t="s">
        <v>223</v>
      </c>
      <c r="D1446" s="131">
        <v>16</v>
      </c>
      <c r="E1446" s="131" t="s">
        <v>223</v>
      </c>
      <c r="F1446" s="767">
        <v>-107161.95</v>
      </c>
      <c r="G1446" s="767">
        <v>-18030.36</v>
      </c>
      <c r="H1446" s="767">
        <v>-125192.31</v>
      </c>
      <c r="I1446" s="768" t="s">
        <v>1585</v>
      </c>
    </row>
    <row r="1447" spans="1:9" x14ac:dyDescent="0.25">
      <c r="A1447" s="753"/>
      <c r="C1447" s="131" t="s">
        <v>223</v>
      </c>
      <c r="D1447" s="131">
        <v>16</v>
      </c>
      <c r="E1447" s="131" t="s">
        <v>2</v>
      </c>
      <c r="F1447" s="767">
        <v>-58469.59</v>
      </c>
      <c r="G1447" s="767">
        <v>-6399.5</v>
      </c>
      <c r="H1447" s="767">
        <v>-64869.09</v>
      </c>
      <c r="I1447" s="768" t="s">
        <v>1586</v>
      </c>
    </row>
    <row r="1448" spans="1:9" x14ac:dyDescent="0.25">
      <c r="A1448" s="753"/>
      <c r="C1448" s="131" t="s">
        <v>1048</v>
      </c>
      <c r="D1448" s="131">
        <v>16</v>
      </c>
      <c r="E1448" s="131" t="s">
        <v>1048</v>
      </c>
      <c r="F1448" s="767">
        <v>22432.58</v>
      </c>
      <c r="G1448" s="767">
        <v>3475.07</v>
      </c>
      <c r="H1448" s="767">
        <v>25907.65</v>
      </c>
      <c r="I1448" s="768" t="s">
        <v>1587</v>
      </c>
    </row>
    <row r="1449" spans="1:9" x14ac:dyDescent="0.25">
      <c r="A1449" s="753"/>
      <c r="C1449" s="131" t="s">
        <v>1048</v>
      </c>
      <c r="D1449" s="131">
        <v>16</v>
      </c>
      <c r="E1449" s="131" t="s">
        <v>1052</v>
      </c>
      <c r="F1449" s="767">
        <v>38716.980000000003</v>
      </c>
      <c r="G1449" s="767">
        <v>4209</v>
      </c>
      <c r="H1449" s="767">
        <v>42925.98</v>
      </c>
      <c r="I1449" s="768" t="s">
        <v>1588</v>
      </c>
    </row>
    <row r="1450" spans="1:9" x14ac:dyDescent="0.25">
      <c r="A1450" s="753"/>
      <c r="C1450" s="131" t="s">
        <v>5</v>
      </c>
      <c r="D1450" s="131">
        <v>16</v>
      </c>
      <c r="E1450" s="131" t="s">
        <v>5</v>
      </c>
      <c r="F1450" s="767">
        <v>9826.17</v>
      </c>
      <c r="G1450" s="767">
        <v>964.76</v>
      </c>
      <c r="H1450" s="767">
        <v>10790.93</v>
      </c>
      <c r="I1450" s="768" t="s">
        <v>1605</v>
      </c>
    </row>
    <row r="1451" spans="1:9" x14ac:dyDescent="0.25">
      <c r="A1451" s="753">
        <v>804318</v>
      </c>
      <c r="B1451" s="130">
        <v>735</v>
      </c>
      <c r="E1451" s="131"/>
    </row>
    <row r="1452" spans="1:9" x14ac:dyDescent="0.25">
      <c r="A1452" s="753">
        <v>804322</v>
      </c>
      <c r="B1452" s="130">
        <v>2740</v>
      </c>
      <c r="E1452" s="131"/>
    </row>
    <row r="1453" spans="1:9" x14ac:dyDescent="0.25">
      <c r="A1453" s="753">
        <v>804324</v>
      </c>
      <c r="B1453" s="130">
        <v>658652</v>
      </c>
      <c r="E1453" s="131"/>
    </row>
    <row r="1454" spans="1:9" x14ac:dyDescent="0.25">
      <c r="A1454" s="753">
        <v>804326</v>
      </c>
      <c r="B1454" s="130">
        <v>450442</v>
      </c>
      <c r="C1454" s="131" t="s">
        <v>181</v>
      </c>
      <c r="D1454" s="131">
        <v>16</v>
      </c>
      <c r="E1454" s="131" t="s">
        <v>181</v>
      </c>
      <c r="F1454" s="767">
        <v>-249129.49</v>
      </c>
      <c r="G1454" s="767">
        <v>-49974.2</v>
      </c>
      <c r="H1454" s="767">
        <v>-299103.69</v>
      </c>
      <c r="I1454" s="768" t="s">
        <v>1542</v>
      </c>
    </row>
    <row r="1455" spans="1:9" x14ac:dyDescent="0.25">
      <c r="A1455" s="753"/>
      <c r="C1455" s="131" t="s">
        <v>1024</v>
      </c>
      <c r="D1455" s="131">
        <v>16</v>
      </c>
      <c r="E1455" s="131" t="s">
        <v>1024</v>
      </c>
      <c r="F1455" s="767">
        <v>51261.2</v>
      </c>
      <c r="G1455" s="767">
        <v>9755.92</v>
      </c>
      <c r="H1455" s="767">
        <v>61017.120000000003</v>
      </c>
      <c r="I1455" s="768" t="s">
        <v>1543</v>
      </c>
    </row>
    <row r="1456" spans="1:9" x14ac:dyDescent="0.25">
      <c r="A1456" s="753"/>
      <c r="C1456" s="131" t="s">
        <v>185</v>
      </c>
      <c r="D1456" s="131">
        <v>16</v>
      </c>
      <c r="E1456" s="131" t="s">
        <v>185</v>
      </c>
      <c r="F1456" s="767">
        <v>-55793.89</v>
      </c>
      <c r="G1456" s="767">
        <v>-7683.68</v>
      </c>
      <c r="H1456" s="767">
        <v>-63477.57</v>
      </c>
      <c r="I1456" s="768" t="s">
        <v>1551</v>
      </c>
    </row>
    <row r="1457" spans="1:9" x14ac:dyDescent="0.25">
      <c r="A1457" s="753"/>
      <c r="C1457" s="131" t="s">
        <v>1030</v>
      </c>
      <c r="D1457" s="131">
        <v>16</v>
      </c>
      <c r="E1457" s="131" t="s">
        <v>1030</v>
      </c>
      <c r="F1457" s="767">
        <v>15652.1</v>
      </c>
      <c r="G1457" s="767">
        <v>2150.73</v>
      </c>
      <c r="H1457" s="767">
        <v>17802.830000000002</v>
      </c>
      <c r="I1457" s="768" t="s">
        <v>1552</v>
      </c>
    </row>
    <row r="1458" spans="1:9" x14ac:dyDescent="0.25">
      <c r="A1458" s="753"/>
      <c r="C1458" s="131" t="s">
        <v>188</v>
      </c>
      <c r="D1458" s="131">
        <v>16</v>
      </c>
      <c r="E1458" s="131" t="s">
        <v>188</v>
      </c>
      <c r="F1458" s="767">
        <v>-18862.04</v>
      </c>
      <c r="G1458" s="767">
        <v>-679.95</v>
      </c>
      <c r="H1458" s="767">
        <v>-19541.990000000002</v>
      </c>
      <c r="I1458" s="768" t="s">
        <v>1560</v>
      </c>
    </row>
    <row r="1459" spans="1:9" x14ac:dyDescent="0.25">
      <c r="A1459" s="753"/>
      <c r="C1459" s="131" t="s">
        <v>1036</v>
      </c>
      <c r="D1459" s="131">
        <v>16</v>
      </c>
      <c r="E1459" s="131" t="s">
        <v>1036</v>
      </c>
      <c r="F1459" s="767">
        <v>17651.16</v>
      </c>
      <c r="G1459" s="767">
        <v>605</v>
      </c>
      <c r="H1459" s="767">
        <v>18256.16</v>
      </c>
      <c r="I1459" s="768" t="s">
        <v>1561</v>
      </c>
    </row>
    <row r="1460" spans="1:9" x14ac:dyDescent="0.25">
      <c r="A1460" s="753"/>
      <c r="C1460" s="131" t="s">
        <v>192</v>
      </c>
      <c r="D1460" s="131">
        <v>16</v>
      </c>
      <c r="E1460" s="131" t="s">
        <v>192</v>
      </c>
      <c r="F1460" s="767">
        <v>-74036.63</v>
      </c>
      <c r="G1460" s="767">
        <v>-12430.06</v>
      </c>
      <c r="H1460" s="767">
        <v>-86466.69</v>
      </c>
      <c r="I1460" s="768" t="s">
        <v>1569</v>
      </c>
    </row>
    <row r="1461" spans="1:9" x14ac:dyDescent="0.25">
      <c r="A1461" s="753"/>
      <c r="C1461" s="131" t="s">
        <v>1042</v>
      </c>
      <c r="D1461" s="131">
        <v>16</v>
      </c>
      <c r="E1461" s="131" t="s">
        <v>1042</v>
      </c>
      <c r="F1461" s="767">
        <v>27428.22</v>
      </c>
      <c r="G1461" s="767">
        <v>4080.65</v>
      </c>
      <c r="H1461" s="767">
        <v>31508.87</v>
      </c>
      <c r="I1461" s="768" t="s">
        <v>1570</v>
      </c>
    </row>
    <row r="1462" spans="1:9" x14ac:dyDescent="0.25">
      <c r="A1462" s="753"/>
      <c r="C1462" s="131" t="s">
        <v>223</v>
      </c>
      <c r="D1462" s="131">
        <v>16</v>
      </c>
      <c r="E1462" s="131" t="s">
        <v>223</v>
      </c>
      <c r="F1462" s="767">
        <v>-107161.95</v>
      </c>
      <c r="G1462" s="767">
        <v>-18030.36</v>
      </c>
      <c r="H1462" s="767">
        <v>-125192.31</v>
      </c>
      <c r="I1462" s="768" t="s">
        <v>1585</v>
      </c>
    </row>
    <row r="1463" spans="1:9" x14ac:dyDescent="0.25">
      <c r="A1463" s="753"/>
      <c r="C1463" s="131" t="s">
        <v>223</v>
      </c>
      <c r="D1463" s="131">
        <v>16</v>
      </c>
      <c r="E1463" s="131" t="s">
        <v>2</v>
      </c>
      <c r="F1463" s="767">
        <v>-58469.59</v>
      </c>
      <c r="G1463" s="767">
        <v>-6399.5</v>
      </c>
      <c r="H1463" s="767">
        <v>-64869.09</v>
      </c>
      <c r="I1463" s="768" t="s">
        <v>1586</v>
      </c>
    </row>
    <row r="1464" spans="1:9" x14ac:dyDescent="0.25">
      <c r="A1464" s="753"/>
      <c r="C1464" s="131" t="s">
        <v>1048</v>
      </c>
      <c r="D1464" s="131">
        <v>16</v>
      </c>
      <c r="E1464" s="131" t="s">
        <v>1048</v>
      </c>
      <c r="F1464" s="767">
        <v>22432.58</v>
      </c>
      <c r="G1464" s="767">
        <v>3475.07</v>
      </c>
      <c r="H1464" s="767">
        <v>25907.65</v>
      </c>
      <c r="I1464" s="768" t="s">
        <v>1587</v>
      </c>
    </row>
    <row r="1465" spans="1:9" x14ac:dyDescent="0.25">
      <c r="A1465" s="753"/>
      <c r="C1465" s="131" t="s">
        <v>1048</v>
      </c>
      <c r="D1465" s="131">
        <v>16</v>
      </c>
      <c r="E1465" s="131" t="s">
        <v>1052</v>
      </c>
      <c r="F1465" s="767">
        <v>38716.980000000003</v>
      </c>
      <c r="G1465" s="767">
        <v>4209</v>
      </c>
      <c r="H1465" s="767">
        <v>42925.98</v>
      </c>
      <c r="I1465" s="768" t="s">
        <v>1588</v>
      </c>
    </row>
    <row r="1466" spans="1:9" x14ac:dyDescent="0.25">
      <c r="A1466" s="753"/>
      <c r="C1466" s="131" t="s">
        <v>5</v>
      </c>
      <c r="D1466" s="131">
        <v>16</v>
      </c>
      <c r="E1466" s="131" t="s">
        <v>5</v>
      </c>
      <c r="F1466" s="767">
        <v>9826.17</v>
      </c>
      <c r="G1466" s="767">
        <v>964.76</v>
      </c>
      <c r="H1466" s="767">
        <v>10790.93</v>
      </c>
      <c r="I1466" s="768" t="s">
        <v>1605</v>
      </c>
    </row>
    <row r="1467" spans="1:9" x14ac:dyDescent="0.25">
      <c r="A1467" s="753">
        <v>804328</v>
      </c>
      <c r="B1467" s="130">
        <v>684</v>
      </c>
      <c r="E1467" s="131"/>
    </row>
    <row r="1468" spans="1:9" x14ac:dyDescent="0.25">
      <c r="A1468" s="753">
        <v>804412</v>
      </c>
      <c r="B1468" s="130">
        <v>83</v>
      </c>
      <c r="E1468" s="131"/>
    </row>
    <row r="1469" spans="1:9" x14ac:dyDescent="0.25">
      <c r="A1469" s="753">
        <v>804414</v>
      </c>
      <c r="B1469" s="130">
        <v>20894</v>
      </c>
      <c r="E1469" s="131"/>
    </row>
    <row r="1470" spans="1:9" x14ac:dyDescent="0.25">
      <c r="A1470" s="753">
        <v>804416</v>
      </c>
      <c r="B1470" s="130">
        <v>16337</v>
      </c>
      <c r="C1470" s="131" t="s">
        <v>240</v>
      </c>
      <c r="D1470" s="131">
        <v>16</v>
      </c>
      <c r="E1470" s="131" t="s">
        <v>240</v>
      </c>
      <c r="F1470" s="767">
        <v>-24001.56</v>
      </c>
      <c r="G1470" s="767">
        <v>-8925.3700000000008</v>
      </c>
      <c r="H1470" s="767">
        <v>-32926.93</v>
      </c>
      <c r="I1470" s="768" t="s">
        <v>1545</v>
      </c>
    </row>
    <row r="1471" spans="1:9" x14ac:dyDescent="0.25">
      <c r="A1471" s="753"/>
      <c r="C1471" s="131" t="s">
        <v>1026</v>
      </c>
      <c r="D1471" s="131">
        <v>16</v>
      </c>
      <c r="E1471" s="131" t="s">
        <v>1026</v>
      </c>
      <c r="F1471" s="767">
        <v>4685.3999999999996</v>
      </c>
      <c r="G1471" s="767">
        <v>1665.67</v>
      </c>
      <c r="H1471" s="767">
        <v>6351.07</v>
      </c>
      <c r="I1471" s="768" t="s">
        <v>1546</v>
      </c>
    </row>
    <row r="1472" spans="1:9" x14ac:dyDescent="0.25">
      <c r="A1472" s="753"/>
      <c r="C1472" s="131" t="s">
        <v>241</v>
      </c>
      <c r="D1472" s="131">
        <v>16</v>
      </c>
      <c r="E1472" s="131" t="s">
        <v>241</v>
      </c>
      <c r="F1472" s="767">
        <v>-3684.22</v>
      </c>
      <c r="G1472" s="767">
        <v>-1872.72</v>
      </c>
      <c r="H1472" s="767">
        <v>-5556.94</v>
      </c>
      <c r="I1472" s="768" t="s">
        <v>1554</v>
      </c>
    </row>
    <row r="1473" spans="1:9" x14ac:dyDescent="0.25">
      <c r="A1473" s="753"/>
      <c r="C1473" s="131" t="s">
        <v>1032</v>
      </c>
      <c r="D1473" s="131">
        <v>16</v>
      </c>
      <c r="E1473" s="131" t="s">
        <v>1032</v>
      </c>
      <c r="F1473" s="767">
        <v>935.2</v>
      </c>
      <c r="G1473" s="767">
        <v>545.98</v>
      </c>
      <c r="H1473" s="767">
        <v>1481.18</v>
      </c>
      <c r="I1473" s="768" t="s">
        <v>1555</v>
      </c>
    </row>
    <row r="1474" spans="1:9" x14ac:dyDescent="0.25">
      <c r="A1474" s="753"/>
      <c r="C1474" s="131" t="s">
        <v>242</v>
      </c>
      <c r="D1474" s="131">
        <v>16</v>
      </c>
      <c r="E1474" s="131" t="s">
        <v>242</v>
      </c>
      <c r="F1474" s="767">
        <v>-4675</v>
      </c>
      <c r="G1474" s="767">
        <v>0</v>
      </c>
      <c r="H1474" s="767">
        <v>-4675</v>
      </c>
      <c r="I1474" s="768" t="s">
        <v>1563</v>
      </c>
    </row>
    <row r="1475" spans="1:9" x14ac:dyDescent="0.25">
      <c r="A1475" s="753"/>
      <c r="C1475" s="131" t="s">
        <v>1038</v>
      </c>
      <c r="D1475" s="131">
        <v>16</v>
      </c>
      <c r="E1475" s="131" t="s">
        <v>1038</v>
      </c>
      <c r="F1475" s="767">
        <v>4609</v>
      </c>
      <c r="G1475" s="767">
        <v>0</v>
      </c>
      <c r="H1475" s="767">
        <v>4609</v>
      </c>
      <c r="I1475" s="768" t="s">
        <v>1564</v>
      </c>
    </row>
    <row r="1476" spans="1:9" x14ac:dyDescent="0.25">
      <c r="A1476" s="753"/>
      <c r="C1476" s="131" t="s">
        <v>243</v>
      </c>
      <c r="D1476" s="131">
        <v>16</v>
      </c>
      <c r="E1476" s="131" t="s">
        <v>243</v>
      </c>
      <c r="F1476" s="767">
        <v>-19970.28</v>
      </c>
      <c r="G1476" s="767">
        <v>-1766.7</v>
      </c>
      <c r="H1476" s="767">
        <v>-21736.98</v>
      </c>
      <c r="I1476" s="768" t="s">
        <v>1572</v>
      </c>
    </row>
    <row r="1477" spans="1:9" x14ac:dyDescent="0.25">
      <c r="A1477" s="753"/>
      <c r="C1477" s="131" t="s">
        <v>1044</v>
      </c>
      <c r="D1477" s="131">
        <v>16</v>
      </c>
      <c r="E1477" s="131" t="s">
        <v>1044</v>
      </c>
      <c r="F1477" s="767">
        <v>6460.85</v>
      </c>
      <c r="G1477" s="767">
        <v>538.25</v>
      </c>
      <c r="H1477" s="767">
        <v>6999.1</v>
      </c>
      <c r="I1477" s="768" t="s">
        <v>1573</v>
      </c>
    </row>
    <row r="1478" spans="1:9" x14ac:dyDescent="0.25">
      <c r="A1478" s="753"/>
      <c r="C1478" s="131" t="s">
        <v>244</v>
      </c>
      <c r="D1478" s="131">
        <v>16</v>
      </c>
      <c r="E1478" s="131" t="s">
        <v>244</v>
      </c>
      <c r="F1478" s="767">
        <v>-35052.92</v>
      </c>
      <c r="G1478" s="767">
        <v>-6870.44</v>
      </c>
      <c r="H1478" s="767">
        <v>-41923.360000000001</v>
      </c>
      <c r="I1478" s="768" t="s">
        <v>1592</v>
      </c>
    </row>
    <row r="1479" spans="1:9" x14ac:dyDescent="0.25">
      <c r="A1479" s="753"/>
      <c r="C1479" s="131" t="s">
        <v>244</v>
      </c>
      <c r="D1479" s="131">
        <v>16</v>
      </c>
      <c r="E1479" s="131" t="s">
        <v>1593</v>
      </c>
      <c r="F1479" s="767">
        <v>-15694.35</v>
      </c>
      <c r="G1479" s="767">
        <v>-1458.55</v>
      </c>
      <c r="H1479" s="767">
        <v>-17152.900000000001</v>
      </c>
      <c r="I1479" s="768" t="s">
        <v>1594</v>
      </c>
    </row>
    <row r="1480" spans="1:9" x14ac:dyDescent="0.25">
      <c r="A1480" s="753"/>
      <c r="C1480" s="131" t="s">
        <v>1050</v>
      </c>
      <c r="D1480" s="131">
        <v>16</v>
      </c>
      <c r="E1480" s="131" t="s">
        <v>1050</v>
      </c>
      <c r="F1480" s="767">
        <v>4983.3999999999996</v>
      </c>
      <c r="G1480" s="767">
        <v>963.32</v>
      </c>
      <c r="H1480" s="767">
        <v>5946.72</v>
      </c>
      <c r="I1480" s="768" t="s">
        <v>1595</v>
      </c>
    </row>
    <row r="1481" spans="1:9" x14ac:dyDescent="0.25">
      <c r="A1481" s="753"/>
      <c r="C1481" s="131" t="s">
        <v>1050</v>
      </c>
      <c r="D1481" s="131">
        <v>16</v>
      </c>
      <c r="E1481" s="131" t="s">
        <v>1596</v>
      </c>
      <c r="F1481" s="767">
        <v>10361.23</v>
      </c>
      <c r="G1481" s="767">
        <v>843.5</v>
      </c>
      <c r="H1481" s="767">
        <v>11204.73</v>
      </c>
      <c r="I1481" s="768" t="s">
        <v>1597</v>
      </c>
    </row>
    <row r="1482" spans="1:9" x14ac:dyDescent="0.25">
      <c r="A1482" s="753">
        <v>804418</v>
      </c>
      <c r="B1482" s="130">
        <v>782</v>
      </c>
      <c r="E1482" s="131"/>
    </row>
    <row r="1483" spans="1:9" x14ac:dyDescent="0.25">
      <c r="A1483" s="753">
        <v>804422</v>
      </c>
      <c r="B1483" s="130">
        <v>461</v>
      </c>
      <c r="E1483" s="131"/>
    </row>
    <row r="1484" spans="1:9" x14ac:dyDescent="0.25">
      <c r="A1484" s="753">
        <v>804424</v>
      </c>
      <c r="B1484" s="130">
        <v>123972</v>
      </c>
      <c r="E1484" s="131"/>
    </row>
    <row r="1485" spans="1:9" x14ac:dyDescent="0.25">
      <c r="A1485" s="753">
        <v>804426</v>
      </c>
      <c r="B1485" s="130">
        <v>87381</v>
      </c>
      <c r="C1485" s="131" t="s">
        <v>240</v>
      </c>
      <c r="D1485" s="131">
        <v>16</v>
      </c>
      <c r="E1485" s="131" t="s">
        <v>240</v>
      </c>
      <c r="F1485" s="767">
        <v>-24001.56</v>
      </c>
      <c r="G1485" s="767">
        <v>-8925.3700000000008</v>
      </c>
      <c r="H1485" s="767">
        <v>-32926.93</v>
      </c>
      <c r="I1485" s="768" t="s">
        <v>1545</v>
      </c>
    </row>
    <row r="1486" spans="1:9" x14ac:dyDescent="0.25">
      <c r="A1486" s="753"/>
      <c r="C1486" s="131" t="s">
        <v>1026</v>
      </c>
      <c r="D1486" s="131">
        <v>16</v>
      </c>
      <c r="E1486" s="131" t="s">
        <v>1026</v>
      </c>
      <c r="F1486" s="767">
        <v>4685.3999999999996</v>
      </c>
      <c r="G1486" s="767">
        <v>1665.67</v>
      </c>
      <c r="H1486" s="767">
        <v>6351.07</v>
      </c>
      <c r="I1486" s="768" t="s">
        <v>1546</v>
      </c>
    </row>
    <row r="1487" spans="1:9" x14ac:dyDescent="0.25">
      <c r="A1487" s="753"/>
      <c r="C1487" s="131" t="s">
        <v>241</v>
      </c>
      <c r="D1487" s="131">
        <v>16</v>
      </c>
      <c r="E1487" s="131" t="s">
        <v>241</v>
      </c>
      <c r="F1487" s="767">
        <v>-3684.22</v>
      </c>
      <c r="G1487" s="767">
        <v>-1872.72</v>
      </c>
      <c r="H1487" s="767">
        <v>-5556.94</v>
      </c>
      <c r="I1487" s="768" t="s">
        <v>1554</v>
      </c>
    </row>
    <row r="1488" spans="1:9" x14ac:dyDescent="0.25">
      <c r="A1488" s="753"/>
      <c r="C1488" s="131" t="s">
        <v>1032</v>
      </c>
      <c r="D1488" s="131">
        <v>16</v>
      </c>
      <c r="E1488" s="131" t="s">
        <v>1032</v>
      </c>
      <c r="F1488" s="767">
        <v>935.2</v>
      </c>
      <c r="G1488" s="767">
        <v>545.98</v>
      </c>
      <c r="H1488" s="767">
        <v>1481.18</v>
      </c>
      <c r="I1488" s="768" t="s">
        <v>1555</v>
      </c>
    </row>
    <row r="1489" spans="1:9" x14ac:dyDescent="0.25">
      <c r="A1489" s="753"/>
      <c r="C1489" s="131" t="s">
        <v>242</v>
      </c>
      <c r="D1489" s="131">
        <v>16</v>
      </c>
      <c r="E1489" s="131" t="s">
        <v>242</v>
      </c>
      <c r="F1489" s="767">
        <v>-4675</v>
      </c>
      <c r="G1489" s="767">
        <v>0</v>
      </c>
      <c r="H1489" s="767">
        <v>-4675</v>
      </c>
      <c r="I1489" s="768" t="s">
        <v>1563</v>
      </c>
    </row>
    <row r="1490" spans="1:9" x14ac:dyDescent="0.25">
      <c r="A1490" s="753"/>
      <c r="C1490" s="131" t="s">
        <v>1038</v>
      </c>
      <c r="D1490" s="131">
        <v>16</v>
      </c>
      <c r="E1490" s="131" t="s">
        <v>1038</v>
      </c>
      <c r="F1490" s="767">
        <v>4609</v>
      </c>
      <c r="G1490" s="767">
        <v>0</v>
      </c>
      <c r="H1490" s="767">
        <v>4609</v>
      </c>
      <c r="I1490" s="768" t="s">
        <v>1564</v>
      </c>
    </row>
    <row r="1491" spans="1:9" x14ac:dyDescent="0.25">
      <c r="A1491" s="753"/>
      <c r="C1491" s="131" t="s">
        <v>243</v>
      </c>
      <c r="D1491" s="131">
        <v>16</v>
      </c>
      <c r="E1491" s="131" t="s">
        <v>243</v>
      </c>
      <c r="F1491" s="767">
        <v>-19970.28</v>
      </c>
      <c r="G1491" s="767">
        <v>-1766.7</v>
      </c>
      <c r="H1491" s="767">
        <v>-21736.98</v>
      </c>
      <c r="I1491" s="768" t="s">
        <v>1572</v>
      </c>
    </row>
    <row r="1492" spans="1:9" x14ac:dyDescent="0.25">
      <c r="A1492" s="753"/>
      <c r="C1492" s="131" t="s">
        <v>1044</v>
      </c>
      <c r="D1492" s="131">
        <v>16</v>
      </c>
      <c r="E1492" s="131" t="s">
        <v>1044</v>
      </c>
      <c r="F1492" s="767">
        <v>6460.85</v>
      </c>
      <c r="G1492" s="767">
        <v>538.25</v>
      </c>
      <c r="H1492" s="767">
        <v>6999.1</v>
      </c>
      <c r="I1492" s="768" t="s">
        <v>1573</v>
      </c>
    </row>
    <row r="1493" spans="1:9" x14ac:dyDescent="0.25">
      <c r="A1493" s="753"/>
      <c r="C1493" s="131" t="s">
        <v>244</v>
      </c>
      <c r="D1493" s="131">
        <v>16</v>
      </c>
      <c r="E1493" s="131" t="s">
        <v>244</v>
      </c>
      <c r="F1493" s="767">
        <v>-35052.92</v>
      </c>
      <c r="G1493" s="767">
        <v>-6870.44</v>
      </c>
      <c r="H1493" s="767">
        <v>-41923.360000000001</v>
      </c>
      <c r="I1493" s="768" t="s">
        <v>1592</v>
      </c>
    </row>
    <row r="1494" spans="1:9" x14ac:dyDescent="0.25">
      <c r="A1494" s="753"/>
      <c r="C1494" s="131" t="s">
        <v>244</v>
      </c>
      <c r="D1494" s="131">
        <v>16</v>
      </c>
      <c r="E1494" s="131" t="s">
        <v>1593</v>
      </c>
      <c r="F1494" s="767">
        <v>-15694.35</v>
      </c>
      <c r="G1494" s="767">
        <v>-1458.55</v>
      </c>
      <c r="H1494" s="767">
        <v>-17152.900000000001</v>
      </c>
      <c r="I1494" s="768" t="s">
        <v>1594</v>
      </c>
    </row>
    <row r="1495" spans="1:9" x14ac:dyDescent="0.25">
      <c r="A1495" s="753"/>
      <c r="C1495" s="131" t="s">
        <v>1050</v>
      </c>
      <c r="D1495" s="131">
        <v>16</v>
      </c>
      <c r="E1495" s="131" t="s">
        <v>1050</v>
      </c>
      <c r="F1495" s="767">
        <v>4983.3999999999996</v>
      </c>
      <c r="G1495" s="767">
        <v>963.32</v>
      </c>
      <c r="H1495" s="767">
        <v>5946.72</v>
      </c>
      <c r="I1495" s="768" t="s">
        <v>1595</v>
      </c>
    </row>
    <row r="1496" spans="1:9" x14ac:dyDescent="0.25">
      <c r="A1496" s="753"/>
      <c r="C1496" s="131" t="s">
        <v>1050</v>
      </c>
      <c r="D1496" s="131">
        <v>16</v>
      </c>
      <c r="E1496" s="131" t="s">
        <v>1596</v>
      </c>
      <c r="F1496" s="767">
        <v>10361.23</v>
      </c>
      <c r="G1496" s="767">
        <v>843.5</v>
      </c>
      <c r="H1496" s="767">
        <v>11204.73</v>
      </c>
      <c r="I1496" s="768" t="s">
        <v>1597</v>
      </c>
    </row>
    <row r="1497" spans="1:9" x14ac:dyDescent="0.25">
      <c r="A1497" s="753">
        <v>804428</v>
      </c>
      <c r="B1497" s="130">
        <v>705</v>
      </c>
      <c r="E1497" s="131"/>
    </row>
    <row r="1498" spans="1:9" x14ac:dyDescent="0.25">
      <c r="A1498" s="753">
        <v>804512</v>
      </c>
      <c r="B1498" s="130">
        <v>0</v>
      </c>
      <c r="E1498" s="131"/>
    </row>
    <row r="1499" spans="1:9" x14ac:dyDescent="0.25">
      <c r="A1499" s="753">
        <v>804514</v>
      </c>
      <c r="B1499" s="130">
        <v>0</v>
      </c>
      <c r="E1499" s="131"/>
    </row>
    <row r="1500" spans="1:9" x14ac:dyDescent="0.25">
      <c r="A1500" s="753">
        <v>804516</v>
      </c>
      <c r="B1500" s="130">
        <v>0</v>
      </c>
      <c r="E1500" s="131"/>
    </row>
    <row r="1501" spans="1:9" x14ac:dyDescent="0.25">
      <c r="A1501" s="753">
        <v>804518</v>
      </c>
      <c r="B1501" s="130">
        <v>0</v>
      </c>
      <c r="E1501" s="131"/>
    </row>
    <row r="1502" spans="1:9" x14ac:dyDescent="0.25">
      <c r="A1502" s="753">
        <v>804522</v>
      </c>
      <c r="B1502" s="130">
        <v>0</v>
      </c>
      <c r="E1502" s="131"/>
    </row>
    <row r="1503" spans="1:9" x14ac:dyDescent="0.25">
      <c r="A1503" s="753">
        <v>804524</v>
      </c>
      <c r="B1503" s="130">
        <v>0</v>
      </c>
      <c r="E1503" s="131"/>
    </row>
    <row r="1504" spans="1:9" x14ac:dyDescent="0.25">
      <c r="A1504" s="753">
        <v>804526</v>
      </c>
      <c r="B1504" s="130">
        <v>0</v>
      </c>
      <c r="E1504" s="131"/>
    </row>
    <row r="1505" spans="1:5" x14ac:dyDescent="0.25">
      <c r="A1505" s="753">
        <v>804528</v>
      </c>
      <c r="B1505" s="130">
        <v>0</v>
      </c>
      <c r="E1505" s="131"/>
    </row>
    <row r="1506" spans="1:5" x14ac:dyDescent="0.25">
      <c r="A1506" s="753">
        <v>804612</v>
      </c>
      <c r="B1506" s="130">
        <v>0</v>
      </c>
      <c r="E1506" s="131"/>
    </row>
    <row r="1507" spans="1:5" x14ac:dyDescent="0.25">
      <c r="A1507" s="753">
        <v>804614</v>
      </c>
      <c r="B1507" s="130">
        <v>0</v>
      </c>
      <c r="E1507" s="131"/>
    </row>
    <row r="1508" spans="1:5" x14ac:dyDescent="0.25">
      <c r="A1508" s="753">
        <v>804616</v>
      </c>
      <c r="B1508" s="130">
        <v>0</v>
      </c>
      <c r="E1508" s="131"/>
    </row>
    <row r="1509" spans="1:5" x14ac:dyDescent="0.25">
      <c r="A1509" s="753">
        <v>804618</v>
      </c>
      <c r="B1509" s="130">
        <v>0</v>
      </c>
      <c r="E1509" s="131"/>
    </row>
    <row r="1510" spans="1:5" x14ac:dyDescent="0.25">
      <c r="A1510" s="753">
        <v>804622</v>
      </c>
      <c r="B1510" s="130">
        <v>0</v>
      </c>
      <c r="E1510" s="131"/>
    </row>
    <row r="1511" spans="1:5" x14ac:dyDescent="0.25">
      <c r="A1511" s="753">
        <v>804624</v>
      </c>
      <c r="B1511" s="130">
        <v>0</v>
      </c>
      <c r="E1511" s="131"/>
    </row>
    <row r="1512" spans="1:5" x14ac:dyDescent="0.25">
      <c r="A1512" s="753">
        <v>804626</v>
      </c>
      <c r="B1512" s="130">
        <v>0</v>
      </c>
      <c r="E1512" s="131"/>
    </row>
    <row r="1513" spans="1:5" x14ac:dyDescent="0.25">
      <c r="A1513" s="753">
        <v>804628</v>
      </c>
      <c r="B1513" s="130">
        <v>0</v>
      </c>
      <c r="E1513" s="131"/>
    </row>
    <row r="1514" spans="1:5" x14ac:dyDescent="0.25">
      <c r="A1514" s="753">
        <v>700112</v>
      </c>
      <c r="B1514" s="130">
        <v>0</v>
      </c>
      <c r="E1514" s="131"/>
    </row>
    <row r="1515" spans="1:5" x14ac:dyDescent="0.25">
      <c r="A1515" s="753">
        <v>700114</v>
      </c>
      <c r="B1515" s="130">
        <v>0</v>
      </c>
      <c r="E1515" s="131"/>
    </row>
    <row r="1516" spans="1:5" x14ac:dyDescent="0.25">
      <c r="A1516" s="753">
        <v>700116</v>
      </c>
      <c r="B1516" s="130">
        <v>0</v>
      </c>
      <c r="E1516" s="131"/>
    </row>
    <row r="1517" spans="1:5" x14ac:dyDescent="0.25">
      <c r="A1517" s="753">
        <v>700118</v>
      </c>
      <c r="B1517" s="130">
        <v>0</v>
      </c>
      <c r="E1517" s="131"/>
    </row>
    <row r="1518" spans="1:5" x14ac:dyDescent="0.25">
      <c r="A1518" s="753">
        <v>700122</v>
      </c>
      <c r="B1518" s="130">
        <v>0</v>
      </c>
      <c r="E1518" s="131"/>
    </row>
    <row r="1519" spans="1:5" x14ac:dyDescent="0.25">
      <c r="A1519" s="753">
        <v>700124</v>
      </c>
      <c r="B1519" s="130">
        <v>0</v>
      </c>
      <c r="E1519" s="131"/>
    </row>
    <row r="1520" spans="1:5" x14ac:dyDescent="0.25">
      <c r="A1520" s="753">
        <v>700126</v>
      </c>
      <c r="B1520" s="130">
        <v>0</v>
      </c>
      <c r="E1520" s="131"/>
    </row>
    <row r="1521" spans="1:5" x14ac:dyDescent="0.25">
      <c r="A1521" s="753">
        <v>700128</v>
      </c>
      <c r="B1521" s="130">
        <v>0</v>
      </c>
      <c r="E1521" s="131"/>
    </row>
    <row r="1522" spans="1:5" x14ac:dyDescent="0.25">
      <c r="A1522" s="753">
        <v>700212</v>
      </c>
      <c r="B1522" s="130">
        <v>0</v>
      </c>
      <c r="E1522" s="131"/>
    </row>
    <row r="1523" spans="1:5" x14ac:dyDescent="0.25">
      <c r="A1523" s="753">
        <v>700214</v>
      </c>
      <c r="B1523" s="130">
        <v>0</v>
      </c>
      <c r="E1523" s="131"/>
    </row>
    <row r="1524" spans="1:5" x14ac:dyDescent="0.25">
      <c r="A1524" s="753">
        <v>700216</v>
      </c>
      <c r="B1524" s="130">
        <v>0</v>
      </c>
      <c r="E1524" s="131"/>
    </row>
    <row r="1525" spans="1:5" x14ac:dyDescent="0.25">
      <c r="A1525" s="753">
        <v>700218</v>
      </c>
      <c r="B1525" s="130">
        <v>0</v>
      </c>
      <c r="E1525" s="131"/>
    </row>
    <row r="1526" spans="1:5" x14ac:dyDescent="0.25">
      <c r="A1526" s="753">
        <v>700222</v>
      </c>
      <c r="B1526" s="130">
        <v>0</v>
      </c>
      <c r="E1526" s="131"/>
    </row>
    <row r="1527" spans="1:5" x14ac:dyDescent="0.25">
      <c r="A1527" s="753">
        <v>700224</v>
      </c>
      <c r="B1527" s="130">
        <v>0</v>
      </c>
      <c r="E1527" s="131"/>
    </row>
    <row r="1528" spans="1:5" x14ac:dyDescent="0.25">
      <c r="A1528" s="753">
        <v>700226</v>
      </c>
      <c r="B1528" s="130">
        <v>0</v>
      </c>
      <c r="E1528" s="131"/>
    </row>
    <row r="1529" spans="1:5" x14ac:dyDescent="0.25">
      <c r="A1529" s="753">
        <v>700228</v>
      </c>
      <c r="B1529" s="130">
        <v>0</v>
      </c>
      <c r="E1529" s="131"/>
    </row>
    <row r="1530" spans="1:5" x14ac:dyDescent="0.25">
      <c r="A1530" s="753">
        <v>700312</v>
      </c>
      <c r="B1530" s="130">
        <v>0</v>
      </c>
      <c r="E1530" s="131"/>
    </row>
    <row r="1531" spans="1:5" x14ac:dyDescent="0.25">
      <c r="A1531" s="753">
        <v>700314</v>
      </c>
      <c r="B1531" s="130">
        <v>0</v>
      </c>
      <c r="E1531" s="131"/>
    </row>
    <row r="1532" spans="1:5" x14ac:dyDescent="0.25">
      <c r="A1532" s="753">
        <v>700316</v>
      </c>
      <c r="B1532" s="130">
        <v>0</v>
      </c>
      <c r="E1532" s="131"/>
    </row>
    <row r="1533" spans="1:5" x14ac:dyDescent="0.25">
      <c r="A1533" s="753">
        <v>700318</v>
      </c>
      <c r="B1533" s="130">
        <v>0</v>
      </c>
      <c r="E1533" s="131"/>
    </row>
    <row r="1534" spans="1:5" x14ac:dyDescent="0.25">
      <c r="A1534" s="753">
        <v>700322</v>
      </c>
      <c r="B1534" s="130">
        <v>0</v>
      </c>
      <c r="E1534" s="131"/>
    </row>
    <row r="1535" spans="1:5" x14ac:dyDescent="0.25">
      <c r="A1535" s="753">
        <v>700324</v>
      </c>
      <c r="B1535" s="130">
        <v>0</v>
      </c>
      <c r="E1535" s="131"/>
    </row>
    <row r="1536" spans="1:5" x14ac:dyDescent="0.25">
      <c r="A1536" s="753">
        <v>700326</v>
      </c>
      <c r="B1536" s="130">
        <v>0</v>
      </c>
      <c r="E1536" s="131"/>
    </row>
    <row r="1537" spans="1:5" x14ac:dyDescent="0.25">
      <c r="A1537" s="753">
        <v>700328</v>
      </c>
      <c r="B1537" s="130">
        <v>0</v>
      </c>
      <c r="E1537" s="131"/>
    </row>
    <row r="1538" spans="1:5" x14ac:dyDescent="0.25">
      <c r="A1538" s="753">
        <v>700412</v>
      </c>
      <c r="B1538" s="130">
        <v>0</v>
      </c>
      <c r="E1538" s="131"/>
    </row>
    <row r="1539" spans="1:5" x14ac:dyDescent="0.25">
      <c r="A1539" s="753">
        <v>700414</v>
      </c>
      <c r="B1539" s="130">
        <v>0</v>
      </c>
      <c r="E1539" s="131"/>
    </row>
    <row r="1540" spans="1:5" x14ac:dyDescent="0.25">
      <c r="A1540" s="753">
        <v>700416</v>
      </c>
      <c r="B1540" s="130">
        <v>0</v>
      </c>
      <c r="E1540" s="131"/>
    </row>
    <row r="1541" spans="1:5" x14ac:dyDescent="0.25">
      <c r="A1541" s="753">
        <v>700418</v>
      </c>
      <c r="B1541" s="130">
        <v>0</v>
      </c>
      <c r="E1541" s="131"/>
    </row>
    <row r="1542" spans="1:5" x14ac:dyDescent="0.25">
      <c r="A1542" s="753">
        <v>700422</v>
      </c>
      <c r="B1542" s="130">
        <v>0</v>
      </c>
      <c r="E1542" s="131"/>
    </row>
    <row r="1543" spans="1:5" x14ac:dyDescent="0.25">
      <c r="A1543" s="753">
        <v>700424</v>
      </c>
      <c r="B1543" s="130">
        <v>0</v>
      </c>
      <c r="E1543" s="131"/>
    </row>
    <row r="1544" spans="1:5" x14ac:dyDescent="0.25">
      <c r="A1544" s="753">
        <v>700426</v>
      </c>
      <c r="B1544" s="130">
        <v>0</v>
      </c>
      <c r="E1544" s="131"/>
    </row>
    <row r="1545" spans="1:5" x14ac:dyDescent="0.25">
      <c r="A1545" s="753">
        <v>700428</v>
      </c>
      <c r="B1545" s="130">
        <v>0</v>
      </c>
      <c r="E1545" s="131"/>
    </row>
    <row r="1546" spans="1:5" x14ac:dyDescent="0.25">
      <c r="A1546" s="753">
        <v>700512</v>
      </c>
      <c r="B1546" s="130">
        <v>0</v>
      </c>
      <c r="E1546" s="131"/>
    </row>
    <row r="1547" spans="1:5" x14ac:dyDescent="0.25">
      <c r="A1547" s="753">
        <v>700514</v>
      </c>
      <c r="B1547" s="130">
        <v>0</v>
      </c>
      <c r="E1547" s="131"/>
    </row>
    <row r="1548" spans="1:5" x14ac:dyDescent="0.25">
      <c r="A1548" s="753">
        <v>700516</v>
      </c>
      <c r="B1548" s="130">
        <v>0</v>
      </c>
      <c r="E1548" s="131"/>
    </row>
    <row r="1549" spans="1:5" x14ac:dyDescent="0.25">
      <c r="A1549" s="753">
        <v>700518</v>
      </c>
      <c r="B1549" s="130">
        <v>0</v>
      </c>
      <c r="E1549" s="131"/>
    </row>
    <row r="1550" spans="1:5" x14ac:dyDescent="0.25">
      <c r="A1550" s="753">
        <v>700522</v>
      </c>
      <c r="B1550" s="130">
        <v>0</v>
      </c>
      <c r="E1550" s="131"/>
    </row>
    <row r="1551" spans="1:5" x14ac:dyDescent="0.25">
      <c r="A1551" s="753">
        <v>700524</v>
      </c>
      <c r="B1551" s="130">
        <v>0</v>
      </c>
      <c r="E1551" s="131"/>
    </row>
    <row r="1552" spans="1:5" x14ac:dyDescent="0.25">
      <c r="A1552" s="753">
        <v>700526</v>
      </c>
      <c r="B1552" s="130">
        <v>0</v>
      </c>
      <c r="E1552" s="131"/>
    </row>
    <row r="1553" spans="1:5" x14ac:dyDescent="0.25">
      <c r="A1553" s="753">
        <v>700528</v>
      </c>
      <c r="B1553" s="130">
        <v>0</v>
      </c>
      <c r="E1553" s="131"/>
    </row>
    <row r="1554" spans="1:5" x14ac:dyDescent="0.25">
      <c r="A1554" s="753">
        <v>700612</v>
      </c>
      <c r="B1554" s="130">
        <v>0</v>
      </c>
      <c r="E1554" s="131"/>
    </row>
    <row r="1555" spans="1:5" x14ac:dyDescent="0.25">
      <c r="A1555" s="753">
        <v>700614</v>
      </c>
      <c r="B1555" s="130">
        <v>0</v>
      </c>
      <c r="E1555" s="131"/>
    </row>
    <row r="1556" spans="1:5" x14ac:dyDescent="0.25">
      <c r="A1556" s="753">
        <v>700616</v>
      </c>
      <c r="B1556" s="130">
        <v>0</v>
      </c>
      <c r="E1556" s="131"/>
    </row>
    <row r="1557" spans="1:5" x14ac:dyDescent="0.25">
      <c r="A1557" s="753">
        <v>700618</v>
      </c>
      <c r="B1557" s="130">
        <v>0</v>
      </c>
      <c r="E1557" s="131"/>
    </row>
    <row r="1558" spans="1:5" x14ac:dyDescent="0.25">
      <c r="A1558" s="753">
        <v>700622</v>
      </c>
      <c r="B1558" s="130">
        <v>0</v>
      </c>
      <c r="E1558" s="131"/>
    </row>
    <row r="1559" spans="1:5" x14ac:dyDescent="0.25">
      <c r="A1559" s="753">
        <v>700624</v>
      </c>
      <c r="B1559" s="130">
        <v>0</v>
      </c>
      <c r="E1559" s="131"/>
    </row>
    <row r="1560" spans="1:5" x14ac:dyDescent="0.25">
      <c r="A1560" s="753">
        <v>700626</v>
      </c>
      <c r="B1560" s="130">
        <v>0</v>
      </c>
      <c r="E1560" s="131"/>
    </row>
    <row r="1561" spans="1:5" x14ac:dyDescent="0.25">
      <c r="A1561" s="753">
        <v>700628</v>
      </c>
      <c r="B1561" s="130">
        <v>0</v>
      </c>
      <c r="E1561" s="131"/>
    </row>
    <row r="1562" spans="1:5" x14ac:dyDescent="0.25">
      <c r="A1562" s="753">
        <v>700712</v>
      </c>
      <c r="B1562" s="130">
        <v>0</v>
      </c>
      <c r="E1562" s="131"/>
    </row>
    <row r="1563" spans="1:5" x14ac:dyDescent="0.25">
      <c r="A1563" s="753">
        <v>700714</v>
      </c>
      <c r="B1563" s="130">
        <v>0</v>
      </c>
      <c r="E1563" s="131"/>
    </row>
    <row r="1564" spans="1:5" x14ac:dyDescent="0.25">
      <c r="A1564" s="753">
        <v>700716</v>
      </c>
      <c r="B1564" s="130">
        <v>0</v>
      </c>
      <c r="E1564" s="131"/>
    </row>
    <row r="1565" spans="1:5" x14ac:dyDescent="0.25">
      <c r="A1565" s="753">
        <v>700718</v>
      </c>
      <c r="B1565" s="130">
        <v>0</v>
      </c>
      <c r="E1565" s="131"/>
    </row>
    <row r="1566" spans="1:5" x14ac:dyDescent="0.25">
      <c r="A1566" s="753">
        <v>700722</v>
      </c>
      <c r="B1566" s="130">
        <v>0</v>
      </c>
      <c r="E1566" s="131"/>
    </row>
    <row r="1567" spans="1:5" x14ac:dyDescent="0.25">
      <c r="A1567" s="753">
        <v>700724</v>
      </c>
      <c r="B1567" s="130">
        <v>0</v>
      </c>
      <c r="E1567" s="131"/>
    </row>
    <row r="1568" spans="1:5" x14ac:dyDescent="0.25">
      <c r="A1568" s="753">
        <v>700726</v>
      </c>
      <c r="B1568" s="130">
        <v>0</v>
      </c>
      <c r="E1568" s="131"/>
    </row>
    <row r="1569" spans="1:5" x14ac:dyDescent="0.25">
      <c r="A1569" s="753">
        <v>700728</v>
      </c>
      <c r="B1569" s="130">
        <v>0</v>
      </c>
      <c r="E1569" s="131"/>
    </row>
    <row r="1570" spans="1:5" x14ac:dyDescent="0.25">
      <c r="A1570" s="753">
        <v>700812</v>
      </c>
      <c r="B1570" s="130">
        <v>0</v>
      </c>
      <c r="E1570" s="131"/>
    </row>
    <row r="1571" spans="1:5" x14ac:dyDescent="0.25">
      <c r="A1571" s="753">
        <v>700814</v>
      </c>
      <c r="B1571" s="130">
        <v>0</v>
      </c>
      <c r="E1571" s="131"/>
    </row>
    <row r="1572" spans="1:5" x14ac:dyDescent="0.25">
      <c r="A1572" s="753">
        <v>700816</v>
      </c>
      <c r="B1572" s="130">
        <v>0</v>
      </c>
      <c r="E1572" s="131"/>
    </row>
    <row r="1573" spans="1:5" x14ac:dyDescent="0.25">
      <c r="A1573" s="753">
        <v>700818</v>
      </c>
      <c r="B1573" s="130">
        <v>0</v>
      </c>
      <c r="E1573" s="131"/>
    </row>
    <row r="1574" spans="1:5" x14ac:dyDescent="0.25">
      <c r="A1574" s="753">
        <v>700822</v>
      </c>
      <c r="B1574" s="130">
        <v>0</v>
      </c>
      <c r="E1574" s="131"/>
    </row>
    <row r="1575" spans="1:5" x14ac:dyDescent="0.25">
      <c r="A1575" s="753">
        <v>700824</v>
      </c>
      <c r="B1575" s="130">
        <v>0</v>
      </c>
      <c r="E1575" s="131"/>
    </row>
    <row r="1576" spans="1:5" x14ac:dyDescent="0.25">
      <c r="A1576" s="753">
        <v>700826</v>
      </c>
      <c r="B1576" s="130">
        <v>0</v>
      </c>
      <c r="E1576" s="131"/>
    </row>
    <row r="1577" spans="1:5" x14ac:dyDescent="0.25">
      <c r="A1577" s="753">
        <v>700828</v>
      </c>
      <c r="B1577" s="130">
        <v>0</v>
      </c>
      <c r="E1577" s="131"/>
    </row>
    <row r="1578" spans="1:5" x14ac:dyDescent="0.25">
      <c r="A1578" s="753">
        <v>700912</v>
      </c>
      <c r="B1578" s="130">
        <v>0</v>
      </c>
      <c r="E1578" s="131"/>
    </row>
    <row r="1579" spans="1:5" x14ac:dyDescent="0.25">
      <c r="A1579" s="753">
        <v>700914</v>
      </c>
      <c r="B1579" s="130">
        <v>0</v>
      </c>
      <c r="E1579" s="131"/>
    </row>
    <row r="1580" spans="1:5" x14ac:dyDescent="0.25">
      <c r="A1580" s="753">
        <v>700916</v>
      </c>
      <c r="B1580" s="130">
        <v>0</v>
      </c>
      <c r="E1580" s="131"/>
    </row>
    <row r="1581" spans="1:5" x14ac:dyDescent="0.25">
      <c r="A1581" s="753">
        <v>700918</v>
      </c>
      <c r="B1581" s="130">
        <v>0</v>
      </c>
      <c r="E1581" s="131"/>
    </row>
    <row r="1582" spans="1:5" x14ac:dyDescent="0.25">
      <c r="A1582" s="753">
        <v>700922</v>
      </c>
      <c r="B1582" s="130">
        <v>0</v>
      </c>
      <c r="E1582" s="131"/>
    </row>
    <row r="1583" spans="1:5" x14ac:dyDescent="0.25">
      <c r="A1583" s="753">
        <v>700924</v>
      </c>
      <c r="B1583" s="130">
        <v>0</v>
      </c>
      <c r="E1583" s="131"/>
    </row>
    <row r="1584" spans="1:5" x14ac:dyDescent="0.25">
      <c r="A1584" s="753">
        <v>700926</v>
      </c>
      <c r="B1584" s="130">
        <v>0</v>
      </c>
      <c r="E1584" s="131"/>
    </row>
    <row r="1585" spans="1:5" x14ac:dyDescent="0.25">
      <c r="A1585" s="753">
        <v>700928</v>
      </c>
      <c r="B1585" s="130">
        <v>0</v>
      </c>
      <c r="E1585" s="131"/>
    </row>
    <row r="1586" spans="1:5" x14ac:dyDescent="0.25">
      <c r="A1586" s="753">
        <v>701012</v>
      </c>
      <c r="B1586" s="130">
        <v>0</v>
      </c>
      <c r="E1586" s="131"/>
    </row>
    <row r="1587" spans="1:5" x14ac:dyDescent="0.25">
      <c r="A1587" s="753">
        <v>701014</v>
      </c>
      <c r="B1587" s="130">
        <v>0</v>
      </c>
      <c r="E1587" s="131"/>
    </row>
    <row r="1588" spans="1:5" x14ac:dyDescent="0.25">
      <c r="A1588" s="753">
        <v>701016</v>
      </c>
      <c r="B1588" s="130">
        <v>0</v>
      </c>
      <c r="E1588" s="131"/>
    </row>
    <row r="1589" spans="1:5" x14ac:dyDescent="0.25">
      <c r="A1589" s="753">
        <v>701018</v>
      </c>
      <c r="B1589" s="130">
        <v>0</v>
      </c>
      <c r="E1589" s="131"/>
    </row>
    <row r="1590" spans="1:5" x14ac:dyDescent="0.25">
      <c r="A1590" s="753">
        <v>701022</v>
      </c>
      <c r="B1590" s="130">
        <v>0</v>
      </c>
      <c r="E1590" s="131"/>
    </row>
    <row r="1591" spans="1:5" x14ac:dyDescent="0.25">
      <c r="A1591" s="753">
        <v>701024</v>
      </c>
      <c r="B1591" s="130">
        <v>0</v>
      </c>
      <c r="E1591" s="131"/>
    </row>
    <row r="1592" spans="1:5" x14ac:dyDescent="0.25">
      <c r="A1592" s="753">
        <v>701026</v>
      </c>
      <c r="B1592" s="130">
        <v>0</v>
      </c>
      <c r="E1592" s="131"/>
    </row>
    <row r="1593" spans="1:5" x14ac:dyDescent="0.25">
      <c r="A1593" s="753">
        <v>701028</v>
      </c>
      <c r="B1593" s="130">
        <v>0</v>
      </c>
      <c r="E1593" s="131"/>
    </row>
    <row r="1594" spans="1:5" x14ac:dyDescent="0.25">
      <c r="A1594" s="753">
        <v>701112</v>
      </c>
      <c r="B1594" s="130">
        <v>0</v>
      </c>
      <c r="E1594" s="131"/>
    </row>
    <row r="1595" spans="1:5" x14ac:dyDescent="0.25">
      <c r="A1595" s="753">
        <v>701114</v>
      </c>
      <c r="B1595" s="130">
        <v>0</v>
      </c>
      <c r="E1595" s="131"/>
    </row>
    <row r="1596" spans="1:5" x14ac:dyDescent="0.25">
      <c r="A1596" s="753">
        <v>701116</v>
      </c>
      <c r="B1596" s="130">
        <v>0</v>
      </c>
      <c r="E1596" s="131"/>
    </row>
    <row r="1597" spans="1:5" x14ac:dyDescent="0.25">
      <c r="A1597" s="753">
        <v>701118</v>
      </c>
      <c r="B1597" s="130">
        <v>0</v>
      </c>
      <c r="E1597" s="131"/>
    </row>
    <row r="1598" spans="1:5" x14ac:dyDescent="0.25">
      <c r="A1598" s="753">
        <v>701122</v>
      </c>
      <c r="B1598" s="130">
        <v>0</v>
      </c>
      <c r="E1598" s="131"/>
    </row>
    <row r="1599" spans="1:5" x14ac:dyDescent="0.25">
      <c r="A1599" s="753">
        <v>701124</v>
      </c>
      <c r="B1599" s="130">
        <v>0</v>
      </c>
      <c r="E1599" s="131"/>
    </row>
    <row r="1600" spans="1:5" x14ac:dyDescent="0.25">
      <c r="A1600" s="753">
        <v>701126</v>
      </c>
      <c r="B1600" s="130">
        <v>0</v>
      </c>
      <c r="E1600" s="131"/>
    </row>
    <row r="1601" spans="1:5" x14ac:dyDescent="0.25">
      <c r="A1601" s="753">
        <v>701128</v>
      </c>
      <c r="B1601" s="130">
        <v>0</v>
      </c>
      <c r="E1601" s="131"/>
    </row>
    <row r="1602" spans="1:5" x14ac:dyDescent="0.25">
      <c r="A1602" s="753">
        <v>701212</v>
      </c>
      <c r="B1602" s="130">
        <v>0</v>
      </c>
      <c r="E1602" s="131"/>
    </row>
    <row r="1603" spans="1:5" x14ac:dyDescent="0.25">
      <c r="A1603" s="753">
        <v>701214</v>
      </c>
      <c r="B1603" s="130">
        <v>0</v>
      </c>
      <c r="E1603" s="131"/>
    </row>
    <row r="1604" spans="1:5" x14ac:dyDescent="0.25">
      <c r="A1604" s="753">
        <v>701216</v>
      </c>
      <c r="B1604" s="130">
        <v>0</v>
      </c>
      <c r="E1604" s="131"/>
    </row>
    <row r="1605" spans="1:5" x14ac:dyDescent="0.25">
      <c r="A1605" s="753">
        <v>701218</v>
      </c>
      <c r="B1605" s="130">
        <v>0</v>
      </c>
      <c r="E1605" s="131"/>
    </row>
    <row r="1606" spans="1:5" x14ac:dyDescent="0.25">
      <c r="A1606" s="753">
        <v>701222</v>
      </c>
      <c r="B1606" s="130">
        <v>0</v>
      </c>
      <c r="E1606" s="131"/>
    </row>
    <row r="1607" spans="1:5" x14ac:dyDescent="0.25">
      <c r="A1607" s="753">
        <v>701224</v>
      </c>
      <c r="B1607" s="130">
        <v>0</v>
      </c>
      <c r="E1607" s="131"/>
    </row>
    <row r="1608" spans="1:5" x14ac:dyDescent="0.25">
      <c r="A1608" s="753">
        <v>701226</v>
      </c>
      <c r="B1608" s="130">
        <v>0</v>
      </c>
      <c r="E1608" s="131"/>
    </row>
    <row r="1609" spans="1:5" x14ac:dyDescent="0.25">
      <c r="A1609" s="753">
        <v>701228</v>
      </c>
      <c r="B1609" s="130">
        <v>0</v>
      </c>
      <c r="E1609" s="131"/>
    </row>
    <row r="1610" spans="1:5" x14ac:dyDescent="0.25">
      <c r="A1610" s="753">
        <v>701312</v>
      </c>
      <c r="B1610" s="130">
        <v>0</v>
      </c>
      <c r="E1610" s="131"/>
    </row>
    <row r="1611" spans="1:5" x14ac:dyDescent="0.25">
      <c r="A1611" s="753">
        <v>701314</v>
      </c>
      <c r="B1611" s="130">
        <v>0</v>
      </c>
      <c r="E1611" s="131"/>
    </row>
    <row r="1612" spans="1:5" x14ac:dyDescent="0.25">
      <c r="A1612" s="753">
        <v>701316</v>
      </c>
      <c r="B1612" s="130">
        <v>0</v>
      </c>
      <c r="E1612" s="131"/>
    </row>
    <row r="1613" spans="1:5" x14ac:dyDescent="0.25">
      <c r="A1613" s="753">
        <v>701318</v>
      </c>
      <c r="B1613" s="130">
        <v>0</v>
      </c>
      <c r="E1613" s="131"/>
    </row>
    <row r="1614" spans="1:5" x14ac:dyDescent="0.25">
      <c r="A1614" s="753">
        <v>701322</v>
      </c>
      <c r="B1614" s="130">
        <v>0</v>
      </c>
      <c r="E1614" s="131"/>
    </row>
    <row r="1615" spans="1:5" x14ac:dyDescent="0.25">
      <c r="A1615" s="753">
        <v>701324</v>
      </c>
      <c r="B1615" s="130">
        <v>0</v>
      </c>
      <c r="E1615" s="131"/>
    </row>
    <row r="1616" spans="1:5" x14ac:dyDescent="0.25">
      <c r="A1616" s="753">
        <v>701326</v>
      </c>
      <c r="B1616" s="130">
        <v>0</v>
      </c>
      <c r="E1616" s="131"/>
    </row>
    <row r="1617" spans="1:5" x14ac:dyDescent="0.25">
      <c r="A1617" s="753">
        <v>701328</v>
      </c>
      <c r="B1617" s="130">
        <v>0</v>
      </c>
      <c r="E1617" s="131"/>
    </row>
    <row r="1618" spans="1:5" x14ac:dyDescent="0.25">
      <c r="A1618" s="753">
        <v>701412</v>
      </c>
      <c r="B1618" s="130">
        <v>0</v>
      </c>
      <c r="E1618" s="131"/>
    </row>
    <row r="1619" spans="1:5" x14ac:dyDescent="0.25">
      <c r="A1619" s="753">
        <v>701414</v>
      </c>
      <c r="B1619" s="130">
        <v>0</v>
      </c>
      <c r="E1619" s="131"/>
    </row>
    <row r="1620" spans="1:5" x14ac:dyDescent="0.25">
      <c r="A1620" s="753">
        <v>701416</v>
      </c>
      <c r="B1620" s="130">
        <v>0</v>
      </c>
      <c r="E1620" s="131"/>
    </row>
    <row r="1621" spans="1:5" x14ac:dyDescent="0.25">
      <c r="A1621" s="753">
        <v>701418</v>
      </c>
      <c r="B1621" s="130">
        <v>0</v>
      </c>
      <c r="E1621" s="131"/>
    </row>
    <row r="1622" spans="1:5" x14ac:dyDescent="0.25">
      <c r="A1622" s="753">
        <v>701422</v>
      </c>
      <c r="B1622" s="130">
        <v>0</v>
      </c>
      <c r="E1622" s="131"/>
    </row>
    <row r="1623" spans="1:5" x14ac:dyDescent="0.25">
      <c r="A1623" s="753">
        <v>701424</v>
      </c>
      <c r="B1623" s="130">
        <v>0</v>
      </c>
      <c r="E1623" s="131"/>
    </row>
    <row r="1624" spans="1:5" x14ac:dyDescent="0.25">
      <c r="A1624" s="753">
        <v>701426</v>
      </c>
      <c r="B1624" s="130">
        <v>0</v>
      </c>
      <c r="E1624" s="131"/>
    </row>
    <row r="1625" spans="1:5" x14ac:dyDescent="0.25">
      <c r="A1625" s="753">
        <v>701428</v>
      </c>
      <c r="B1625" s="130">
        <v>0</v>
      </c>
      <c r="E1625" s="131"/>
    </row>
    <row r="1626" spans="1:5" x14ac:dyDescent="0.25">
      <c r="A1626" s="753">
        <v>701512</v>
      </c>
      <c r="B1626" s="130">
        <v>0</v>
      </c>
      <c r="E1626" s="131"/>
    </row>
    <row r="1627" spans="1:5" x14ac:dyDescent="0.25">
      <c r="A1627" s="753">
        <v>701514</v>
      </c>
      <c r="B1627" s="130">
        <v>0</v>
      </c>
      <c r="E1627" s="131"/>
    </row>
    <row r="1628" spans="1:5" x14ac:dyDescent="0.25">
      <c r="A1628" s="753">
        <v>701516</v>
      </c>
      <c r="B1628" s="130">
        <v>0</v>
      </c>
      <c r="E1628" s="131"/>
    </row>
    <row r="1629" spans="1:5" x14ac:dyDescent="0.25">
      <c r="A1629" s="753">
        <v>701518</v>
      </c>
      <c r="B1629" s="130">
        <v>0</v>
      </c>
      <c r="E1629" s="131"/>
    </row>
    <row r="1630" spans="1:5" x14ac:dyDescent="0.25">
      <c r="A1630" s="753">
        <v>701522</v>
      </c>
      <c r="B1630" s="130">
        <v>0</v>
      </c>
      <c r="E1630" s="131"/>
    </row>
    <row r="1631" spans="1:5" x14ac:dyDescent="0.25">
      <c r="A1631" s="753">
        <v>701524</v>
      </c>
      <c r="B1631" s="130">
        <v>0</v>
      </c>
      <c r="E1631" s="131"/>
    </row>
    <row r="1632" spans="1:5" x14ac:dyDescent="0.25">
      <c r="A1632" s="753">
        <v>701526</v>
      </c>
      <c r="B1632" s="130">
        <v>0</v>
      </c>
      <c r="E1632" s="131"/>
    </row>
    <row r="1633" spans="1:5" x14ac:dyDescent="0.25">
      <c r="A1633" s="753">
        <v>701528</v>
      </c>
      <c r="B1633" s="130">
        <v>0</v>
      </c>
      <c r="E1633" s="131"/>
    </row>
    <row r="1634" spans="1:5" x14ac:dyDescent="0.25">
      <c r="A1634" s="753">
        <v>701612</v>
      </c>
      <c r="B1634" s="130">
        <v>0</v>
      </c>
      <c r="E1634" s="131"/>
    </row>
    <row r="1635" spans="1:5" x14ac:dyDescent="0.25">
      <c r="A1635" s="753">
        <v>701614</v>
      </c>
      <c r="B1635" s="130">
        <v>0</v>
      </c>
      <c r="E1635" s="131"/>
    </row>
    <row r="1636" spans="1:5" x14ac:dyDescent="0.25">
      <c r="A1636" s="753">
        <v>701616</v>
      </c>
      <c r="B1636" s="130">
        <v>0</v>
      </c>
      <c r="E1636" s="131"/>
    </row>
    <row r="1637" spans="1:5" x14ac:dyDescent="0.25">
      <c r="A1637" s="753">
        <v>701618</v>
      </c>
      <c r="B1637" s="130">
        <v>0</v>
      </c>
      <c r="E1637" s="131"/>
    </row>
    <row r="1638" spans="1:5" x14ac:dyDescent="0.25">
      <c r="A1638" s="753">
        <v>701622</v>
      </c>
      <c r="B1638" s="130">
        <v>0</v>
      </c>
      <c r="E1638" s="131"/>
    </row>
    <row r="1639" spans="1:5" x14ac:dyDescent="0.25">
      <c r="A1639" s="753">
        <v>701624</v>
      </c>
      <c r="B1639" s="130">
        <v>0</v>
      </c>
      <c r="E1639" s="131"/>
    </row>
    <row r="1640" spans="1:5" x14ac:dyDescent="0.25">
      <c r="A1640" s="753">
        <v>701626</v>
      </c>
      <c r="B1640" s="130">
        <v>0</v>
      </c>
      <c r="E1640" s="131"/>
    </row>
    <row r="1641" spans="1:5" x14ac:dyDescent="0.25">
      <c r="A1641" s="753">
        <v>701628</v>
      </c>
      <c r="B1641" s="130">
        <v>0</v>
      </c>
      <c r="E1641" s="131"/>
    </row>
    <row r="1642" spans="1:5" x14ac:dyDescent="0.25">
      <c r="A1642" s="753">
        <v>701716</v>
      </c>
      <c r="B1642" s="130">
        <v>0</v>
      </c>
      <c r="E1642" s="131"/>
    </row>
    <row r="1643" spans="1:5" x14ac:dyDescent="0.25">
      <c r="A1643" s="753">
        <v>701718</v>
      </c>
      <c r="B1643" s="130">
        <v>0</v>
      </c>
      <c r="E1643" s="131"/>
    </row>
    <row r="1644" spans="1:5" x14ac:dyDescent="0.25">
      <c r="A1644" s="753">
        <v>701726</v>
      </c>
      <c r="B1644" s="130">
        <v>0</v>
      </c>
      <c r="E1644" s="131"/>
    </row>
    <row r="1645" spans="1:5" x14ac:dyDescent="0.25">
      <c r="A1645" s="753">
        <v>701728</v>
      </c>
      <c r="B1645" s="130">
        <v>0</v>
      </c>
      <c r="E1645" s="131"/>
    </row>
    <row r="1646" spans="1:5" x14ac:dyDescent="0.25">
      <c r="A1646" s="753">
        <v>701812</v>
      </c>
      <c r="B1646" s="130">
        <v>0</v>
      </c>
      <c r="E1646" s="131"/>
    </row>
    <row r="1647" spans="1:5" x14ac:dyDescent="0.25">
      <c r="A1647" s="753">
        <v>701814</v>
      </c>
      <c r="B1647" s="130">
        <v>0</v>
      </c>
      <c r="E1647" s="131"/>
    </row>
    <row r="1648" spans="1:5" x14ac:dyDescent="0.25">
      <c r="A1648" s="753">
        <v>701816</v>
      </c>
      <c r="B1648" s="130">
        <v>0</v>
      </c>
      <c r="E1648" s="131"/>
    </row>
    <row r="1649" spans="1:5" x14ac:dyDescent="0.25">
      <c r="A1649" s="753">
        <v>701818</v>
      </c>
      <c r="B1649" s="130">
        <v>0</v>
      </c>
      <c r="E1649" s="131"/>
    </row>
    <row r="1650" spans="1:5" x14ac:dyDescent="0.25">
      <c r="A1650" s="753">
        <v>701822</v>
      </c>
      <c r="B1650" s="130">
        <v>0</v>
      </c>
      <c r="E1650" s="131"/>
    </row>
    <row r="1651" spans="1:5" x14ac:dyDescent="0.25">
      <c r="A1651" s="753">
        <v>701824</v>
      </c>
      <c r="B1651" s="130">
        <v>0</v>
      </c>
      <c r="E1651" s="131"/>
    </row>
    <row r="1652" spans="1:5" x14ac:dyDescent="0.25">
      <c r="A1652" s="753">
        <v>701826</v>
      </c>
      <c r="B1652" s="130">
        <v>0</v>
      </c>
      <c r="E1652" s="131"/>
    </row>
    <row r="1653" spans="1:5" x14ac:dyDescent="0.25">
      <c r="A1653" s="753">
        <v>701828</v>
      </c>
      <c r="B1653" s="130">
        <v>0</v>
      </c>
      <c r="E1653" s="131"/>
    </row>
    <row r="1654" spans="1:5" x14ac:dyDescent="0.25">
      <c r="A1654" s="753">
        <v>702112</v>
      </c>
      <c r="B1654" s="130">
        <v>0</v>
      </c>
      <c r="E1654" s="131"/>
    </row>
    <row r="1655" spans="1:5" x14ac:dyDescent="0.25">
      <c r="A1655" s="753">
        <v>702114</v>
      </c>
      <c r="B1655" s="130">
        <v>0</v>
      </c>
      <c r="E1655" s="131"/>
    </row>
    <row r="1656" spans="1:5" x14ac:dyDescent="0.25">
      <c r="A1656" s="753">
        <v>702116</v>
      </c>
      <c r="B1656" s="130">
        <v>0</v>
      </c>
      <c r="E1656" s="131"/>
    </row>
    <row r="1657" spans="1:5" x14ac:dyDescent="0.25">
      <c r="A1657" s="753">
        <v>702118</v>
      </c>
      <c r="B1657" s="130">
        <v>0</v>
      </c>
      <c r="E1657" s="131"/>
    </row>
    <row r="1658" spans="1:5" x14ac:dyDescent="0.25">
      <c r="A1658" s="753">
        <v>702122</v>
      </c>
      <c r="B1658" s="130">
        <v>0</v>
      </c>
      <c r="E1658" s="131"/>
    </row>
    <row r="1659" spans="1:5" x14ac:dyDescent="0.25">
      <c r="A1659" s="753">
        <v>702124</v>
      </c>
      <c r="B1659" s="130">
        <v>0</v>
      </c>
      <c r="E1659" s="131"/>
    </row>
    <row r="1660" spans="1:5" x14ac:dyDescent="0.25">
      <c r="A1660" s="753">
        <v>702126</v>
      </c>
      <c r="B1660" s="130">
        <v>0</v>
      </c>
      <c r="E1660" s="131"/>
    </row>
    <row r="1661" spans="1:5" x14ac:dyDescent="0.25">
      <c r="A1661" s="753">
        <v>702128</v>
      </c>
      <c r="B1661" s="130">
        <v>0</v>
      </c>
      <c r="E1661" s="131"/>
    </row>
    <row r="1662" spans="1:5" x14ac:dyDescent="0.25">
      <c r="A1662" s="753">
        <v>702212</v>
      </c>
      <c r="B1662" s="130">
        <v>0</v>
      </c>
      <c r="E1662" s="131"/>
    </row>
    <row r="1663" spans="1:5" x14ac:dyDescent="0.25">
      <c r="A1663" s="753">
        <v>702214</v>
      </c>
      <c r="B1663" s="130">
        <v>0</v>
      </c>
      <c r="E1663" s="131"/>
    </row>
    <row r="1664" spans="1:5" x14ac:dyDescent="0.25">
      <c r="A1664" s="753">
        <v>702216</v>
      </c>
      <c r="B1664" s="130">
        <v>0</v>
      </c>
      <c r="E1664" s="131"/>
    </row>
    <row r="1665" spans="1:5" x14ac:dyDescent="0.25">
      <c r="A1665" s="753">
        <v>702218</v>
      </c>
      <c r="B1665" s="130">
        <v>0</v>
      </c>
      <c r="E1665" s="131"/>
    </row>
    <row r="1666" spans="1:5" x14ac:dyDescent="0.25">
      <c r="A1666" s="753">
        <v>702222</v>
      </c>
      <c r="B1666" s="130">
        <v>0</v>
      </c>
      <c r="E1666" s="131"/>
    </row>
    <row r="1667" spans="1:5" x14ac:dyDescent="0.25">
      <c r="A1667" s="753">
        <v>702224</v>
      </c>
      <c r="B1667" s="130">
        <v>0</v>
      </c>
      <c r="E1667" s="131"/>
    </row>
    <row r="1668" spans="1:5" x14ac:dyDescent="0.25">
      <c r="A1668" s="753">
        <v>702226</v>
      </c>
      <c r="B1668" s="130">
        <v>0</v>
      </c>
      <c r="E1668" s="131"/>
    </row>
    <row r="1669" spans="1:5" x14ac:dyDescent="0.25">
      <c r="A1669" s="753">
        <v>702228</v>
      </c>
      <c r="B1669" s="130">
        <v>0</v>
      </c>
      <c r="E1669" s="131"/>
    </row>
    <row r="1670" spans="1:5" x14ac:dyDescent="0.25">
      <c r="A1670" s="753">
        <v>702312</v>
      </c>
      <c r="B1670" s="130">
        <v>0</v>
      </c>
      <c r="E1670" s="131"/>
    </row>
    <row r="1671" spans="1:5" x14ac:dyDescent="0.25">
      <c r="A1671" s="753">
        <v>702314</v>
      </c>
      <c r="B1671" s="130">
        <v>0</v>
      </c>
      <c r="E1671" s="131"/>
    </row>
    <row r="1672" spans="1:5" x14ac:dyDescent="0.25">
      <c r="A1672" s="753">
        <v>702316</v>
      </c>
      <c r="B1672" s="130">
        <v>0</v>
      </c>
      <c r="E1672" s="131"/>
    </row>
    <row r="1673" spans="1:5" x14ac:dyDescent="0.25">
      <c r="A1673" s="753">
        <v>702318</v>
      </c>
      <c r="B1673" s="130">
        <v>0</v>
      </c>
      <c r="E1673" s="131"/>
    </row>
    <row r="1674" spans="1:5" x14ac:dyDescent="0.25">
      <c r="A1674" s="753">
        <v>702322</v>
      </c>
      <c r="B1674" s="130">
        <v>0</v>
      </c>
      <c r="E1674" s="131"/>
    </row>
    <row r="1675" spans="1:5" x14ac:dyDescent="0.25">
      <c r="A1675" s="753">
        <v>702324</v>
      </c>
      <c r="B1675" s="130">
        <v>0</v>
      </c>
      <c r="E1675" s="131"/>
    </row>
    <row r="1676" spans="1:5" x14ac:dyDescent="0.25">
      <c r="A1676" s="753">
        <v>702326</v>
      </c>
      <c r="B1676" s="130">
        <v>0</v>
      </c>
      <c r="E1676" s="131"/>
    </row>
    <row r="1677" spans="1:5" x14ac:dyDescent="0.25">
      <c r="A1677" s="753">
        <v>702328</v>
      </c>
      <c r="B1677" s="130">
        <v>0</v>
      </c>
      <c r="E1677" s="131"/>
    </row>
    <row r="1678" spans="1:5" x14ac:dyDescent="0.25">
      <c r="A1678" s="753">
        <v>702412</v>
      </c>
      <c r="B1678" s="130">
        <v>0</v>
      </c>
      <c r="E1678" s="131"/>
    </row>
    <row r="1679" spans="1:5" x14ac:dyDescent="0.25">
      <c r="A1679" s="753">
        <v>702414</v>
      </c>
      <c r="B1679" s="130">
        <v>0</v>
      </c>
      <c r="E1679" s="131"/>
    </row>
    <row r="1680" spans="1:5" x14ac:dyDescent="0.25">
      <c r="A1680" s="753">
        <v>702416</v>
      </c>
      <c r="B1680" s="130">
        <v>0</v>
      </c>
      <c r="E1680" s="131"/>
    </row>
    <row r="1681" spans="1:5" x14ac:dyDescent="0.25">
      <c r="A1681" s="753">
        <v>702418</v>
      </c>
      <c r="B1681" s="130">
        <v>0</v>
      </c>
      <c r="E1681" s="131"/>
    </row>
    <row r="1682" spans="1:5" x14ac:dyDescent="0.25">
      <c r="A1682" s="753">
        <v>702422</v>
      </c>
      <c r="B1682" s="130">
        <v>0</v>
      </c>
      <c r="E1682" s="131"/>
    </row>
    <row r="1683" spans="1:5" x14ac:dyDescent="0.25">
      <c r="A1683" s="753">
        <v>702424</v>
      </c>
      <c r="B1683" s="130">
        <v>0</v>
      </c>
      <c r="E1683" s="131"/>
    </row>
    <row r="1684" spans="1:5" x14ac:dyDescent="0.25">
      <c r="A1684" s="753">
        <v>702426</v>
      </c>
      <c r="B1684" s="130">
        <v>0</v>
      </c>
      <c r="E1684" s="131"/>
    </row>
    <row r="1685" spans="1:5" x14ac:dyDescent="0.25">
      <c r="A1685" s="753">
        <v>702428</v>
      </c>
      <c r="B1685" s="130">
        <v>0</v>
      </c>
      <c r="E1685" s="131"/>
    </row>
    <row r="1686" spans="1:5" x14ac:dyDescent="0.25">
      <c r="A1686" s="753">
        <v>702712</v>
      </c>
      <c r="B1686" s="130">
        <v>0</v>
      </c>
      <c r="E1686" s="131"/>
    </row>
    <row r="1687" spans="1:5" x14ac:dyDescent="0.25">
      <c r="A1687" s="753">
        <v>702714</v>
      </c>
      <c r="B1687" s="130">
        <v>0</v>
      </c>
      <c r="E1687" s="131"/>
    </row>
    <row r="1688" spans="1:5" x14ac:dyDescent="0.25">
      <c r="A1688" s="753">
        <v>702716</v>
      </c>
      <c r="B1688" s="130">
        <v>0</v>
      </c>
      <c r="E1688" s="131"/>
    </row>
    <row r="1689" spans="1:5" x14ac:dyDescent="0.25">
      <c r="A1689" s="753">
        <v>702718</v>
      </c>
      <c r="B1689" s="130">
        <v>0</v>
      </c>
      <c r="E1689" s="131"/>
    </row>
    <row r="1690" spans="1:5" x14ac:dyDescent="0.25">
      <c r="A1690" s="753">
        <v>702722</v>
      </c>
      <c r="B1690" s="130">
        <v>0</v>
      </c>
      <c r="E1690" s="131"/>
    </row>
    <row r="1691" spans="1:5" x14ac:dyDescent="0.25">
      <c r="A1691" s="753">
        <v>702724</v>
      </c>
      <c r="B1691" s="130">
        <v>0</v>
      </c>
      <c r="E1691" s="131"/>
    </row>
    <row r="1692" spans="1:5" x14ac:dyDescent="0.25">
      <c r="A1692" s="753">
        <v>702726</v>
      </c>
      <c r="B1692" s="130">
        <v>0</v>
      </c>
      <c r="E1692" s="131"/>
    </row>
    <row r="1693" spans="1:5" x14ac:dyDescent="0.25">
      <c r="A1693" s="753">
        <v>702728</v>
      </c>
      <c r="B1693" s="130">
        <v>0</v>
      </c>
      <c r="E1693" s="131"/>
    </row>
    <row r="1694" spans="1:5" x14ac:dyDescent="0.25">
      <c r="A1694" s="753">
        <v>703012</v>
      </c>
      <c r="B1694" s="130">
        <v>0</v>
      </c>
      <c r="E1694" s="131"/>
    </row>
    <row r="1695" spans="1:5" x14ac:dyDescent="0.25">
      <c r="A1695" s="753">
        <v>703014</v>
      </c>
      <c r="B1695" s="130">
        <v>0</v>
      </c>
      <c r="E1695" s="131"/>
    </row>
    <row r="1696" spans="1:5" x14ac:dyDescent="0.25">
      <c r="A1696" s="753">
        <v>703016</v>
      </c>
      <c r="B1696" s="130">
        <v>0</v>
      </c>
      <c r="E1696" s="131"/>
    </row>
    <row r="1697" spans="1:5" x14ac:dyDescent="0.25">
      <c r="A1697" s="753">
        <v>703018</v>
      </c>
      <c r="B1697" s="130">
        <v>0</v>
      </c>
      <c r="E1697" s="131"/>
    </row>
    <row r="1698" spans="1:5" x14ac:dyDescent="0.25">
      <c r="A1698" s="753">
        <v>703022</v>
      </c>
      <c r="B1698" s="130">
        <v>0</v>
      </c>
      <c r="E1698" s="131"/>
    </row>
    <row r="1699" spans="1:5" x14ac:dyDescent="0.25">
      <c r="A1699" s="753">
        <v>703024</v>
      </c>
      <c r="B1699" s="130">
        <v>0</v>
      </c>
      <c r="E1699" s="131"/>
    </row>
    <row r="1700" spans="1:5" x14ac:dyDescent="0.25">
      <c r="A1700" s="753">
        <v>703026</v>
      </c>
      <c r="B1700" s="130">
        <v>0</v>
      </c>
      <c r="E1700" s="131"/>
    </row>
    <row r="1701" spans="1:5" x14ac:dyDescent="0.25">
      <c r="A1701" s="753">
        <v>703028</v>
      </c>
      <c r="B1701" s="130">
        <v>0</v>
      </c>
      <c r="E1701" s="131"/>
    </row>
    <row r="1702" spans="1:5" x14ac:dyDescent="0.25">
      <c r="A1702" s="753">
        <v>703112</v>
      </c>
      <c r="B1702" s="130">
        <v>0</v>
      </c>
      <c r="E1702" s="131"/>
    </row>
    <row r="1703" spans="1:5" x14ac:dyDescent="0.25">
      <c r="A1703" s="753">
        <v>703114</v>
      </c>
      <c r="B1703" s="130">
        <v>0</v>
      </c>
      <c r="E1703" s="131"/>
    </row>
    <row r="1704" spans="1:5" x14ac:dyDescent="0.25">
      <c r="A1704" s="753">
        <v>703116</v>
      </c>
      <c r="B1704" s="130">
        <v>0</v>
      </c>
      <c r="E1704" s="131"/>
    </row>
    <row r="1705" spans="1:5" x14ac:dyDescent="0.25">
      <c r="A1705" s="753">
        <v>703118</v>
      </c>
      <c r="B1705" s="130">
        <v>0</v>
      </c>
      <c r="E1705" s="131"/>
    </row>
    <row r="1706" spans="1:5" x14ac:dyDescent="0.25">
      <c r="A1706" s="753">
        <v>703122</v>
      </c>
      <c r="B1706" s="130">
        <v>0</v>
      </c>
      <c r="E1706" s="131"/>
    </row>
    <row r="1707" spans="1:5" x14ac:dyDescent="0.25">
      <c r="A1707" s="753">
        <v>703124</v>
      </c>
      <c r="B1707" s="130">
        <v>0</v>
      </c>
      <c r="E1707" s="131"/>
    </row>
    <row r="1708" spans="1:5" x14ac:dyDescent="0.25">
      <c r="A1708" s="753">
        <v>703126</v>
      </c>
      <c r="B1708" s="130">
        <v>0</v>
      </c>
      <c r="E1708" s="131"/>
    </row>
    <row r="1709" spans="1:5" x14ac:dyDescent="0.25">
      <c r="A1709" s="753">
        <v>703128</v>
      </c>
      <c r="B1709" s="130">
        <v>0</v>
      </c>
      <c r="E1709" s="131"/>
    </row>
    <row r="1710" spans="1:5" x14ac:dyDescent="0.25">
      <c r="A1710" s="753">
        <v>703212</v>
      </c>
      <c r="B1710" s="130">
        <v>0</v>
      </c>
      <c r="E1710" s="131"/>
    </row>
    <row r="1711" spans="1:5" x14ac:dyDescent="0.25">
      <c r="A1711" s="753">
        <v>703214</v>
      </c>
      <c r="B1711" s="130">
        <v>0</v>
      </c>
      <c r="E1711" s="131"/>
    </row>
    <row r="1712" spans="1:5" x14ac:dyDescent="0.25">
      <c r="A1712" s="753">
        <v>703216</v>
      </c>
      <c r="B1712" s="130">
        <v>0</v>
      </c>
      <c r="E1712" s="131"/>
    </row>
    <row r="1713" spans="1:9" x14ac:dyDescent="0.25">
      <c r="A1713" s="753">
        <v>703218</v>
      </c>
      <c r="B1713" s="130">
        <v>0</v>
      </c>
      <c r="E1713" s="131"/>
    </row>
    <row r="1714" spans="1:9" x14ac:dyDescent="0.25">
      <c r="A1714" s="753">
        <v>703222</v>
      </c>
      <c r="B1714" s="130">
        <v>0</v>
      </c>
      <c r="E1714" s="131"/>
    </row>
    <row r="1715" spans="1:9" x14ac:dyDescent="0.25">
      <c r="A1715" s="753">
        <v>703224</v>
      </c>
      <c r="B1715" s="130">
        <v>0</v>
      </c>
      <c r="E1715" s="131"/>
    </row>
    <row r="1716" spans="1:9" x14ac:dyDescent="0.25">
      <c r="A1716" s="753">
        <v>703226</v>
      </c>
      <c r="B1716" s="130">
        <v>0</v>
      </c>
      <c r="E1716" s="131"/>
    </row>
    <row r="1717" spans="1:9" x14ac:dyDescent="0.25">
      <c r="A1717" s="753">
        <v>703228</v>
      </c>
      <c r="B1717" s="130">
        <v>0</v>
      </c>
      <c r="E1717" s="131"/>
    </row>
    <row r="1718" spans="1:9" x14ac:dyDescent="0.25">
      <c r="A1718" s="753">
        <v>703512</v>
      </c>
      <c r="B1718" s="130">
        <v>5</v>
      </c>
      <c r="C1718" s="131" t="s">
        <v>1059</v>
      </c>
      <c r="D1718" s="131">
        <v>16</v>
      </c>
      <c r="E1718" s="131" t="s">
        <v>1059</v>
      </c>
      <c r="F1718" s="767">
        <v>-0.24</v>
      </c>
      <c r="G1718" s="767">
        <v>-0.01</v>
      </c>
      <c r="H1718" s="767">
        <v>-0.25</v>
      </c>
      <c r="I1718" s="768" t="s">
        <v>1606</v>
      </c>
    </row>
    <row r="1719" spans="1:9" x14ac:dyDescent="0.25">
      <c r="A1719" s="753"/>
      <c r="C1719" s="131" t="s">
        <v>1607</v>
      </c>
      <c r="D1719" s="131">
        <v>16</v>
      </c>
      <c r="E1719" s="131" t="s">
        <v>1607</v>
      </c>
      <c r="F1719" s="767">
        <v>-0.26</v>
      </c>
      <c r="G1719" s="767">
        <v>-0.04</v>
      </c>
      <c r="H1719" s="767">
        <v>-0.3</v>
      </c>
      <c r="I1719" s="768" t="s">
        <v>1608</v>
      </c>
    </row>
    <row r="1720" spans="1:9" x14ac:dyDescent="0.25">
      <c r="A1720" s="753">
        <v>703514</v>
      </c>
      <c r="B1720" s="130">
        <v>248803</v>
      </c>
      <c r="C1720" s="131" t="s">
        <v>1060</v>
      </c>
      <c r="D1720" s="131">
        <v>16</v>
      </c>
      <c r="E1720" s="131" t="s">
        <v>1060</v>
      </c>
      <c r="F1720" s="767">
        <v>-1460919</v>
      </c>
      <c r="G1720" s="767">
        <v>-53091</v>
      </c>
      <c r="H1720" s="767">
        <v>-1514010</v>
      </c>
      <c r="I1720" s="768" t="s">
        <v>1609</v>
      </c>
    </row>
    <row r="1721" spans="1:9" x14ac:dyDescent="0.25">
      <c r="A1721" s="753"/>
      <c r="C1721" s="131" t="s">
        <v>1061</v>
      </c>
      <c r="D1721" s="131">
        <v>16</v>
      </c>
      <c r="E1721" s="131" t="s">
        <v>1061</v>
      </c>
      <c r="F1721" s="767">
        <v>-1549824.14</v>
      </c>
      <c r="G1721" s="767">
        <v>-195712.38</v>
      </c>
      <c r="H1721" s="767">
        <v>-1745536.52</v>
      </c>
      <c r="I1721" s="768" t="s">
        <v>1610</v>
      </c>
    </row>
    <row r="1722" spans="1:9" x14ac:dyDescent="0.25">
      <c r="A1722" s="753">
        <v>703516</v>
      </c>
      <c r="B1722" s="130">
        <v>14243</v>
      </c>
      <c r="C1722" s="131" t="s">
        <v>1060</v>
      </c>
      <c r="D1722" s="131">
        <v>16</v>
      </c>
      <c r="E1722" s="131" t="s">
        <v>1060</v>
      </c>
      <c r="F1722" s="767">
        <v>-1460919</v>
      </c>
      <c r="G1722" s="767">
        <v>-53091</v>
      </c>
      <c r="H1722" s="767">
        <v>-1514010</v>
      </c>
      <c r="I1722" s="768" t="s">
        <v>1609</v>
      </c>
    </row>
    <row r="1723" spans="1:9" x14ac:dyDescent="0.25">
      <c r="A1723" s="753"/>
      <c r="C1723" s="131" t="s">
        <v>1061</v>
      </c>
      <c r="D1723" s="131">
        <v>16</v>
      </c>
      <c r="E1723" s="131" t="s">
        <v>1061</v>
      </c>
      <c r="F1723" s="767">
        <v>-1549824.14</v>
      </c>
      <c r="G1723" s="767">
        <v>-195712.38</v>
      </c>
      <c r="H1723" s="767">
        <v>-1745536.52</v>
      </c>
      <c r="I1723" s="768" t="s">
        <v>1610</v>
      </c>
    </row>
    <row r="1724" spans="1:9" x14ac:dyDescent="0.25">
      <c r="A1724" s="753"/>
      <c r="C1724" s="131" t="s">
        <v>1062</v>
      </c>
      <c r="D1724" s="131">
        <v>16</v>
      </c>
      <c r="E1724" s="131" t="s">
        <v>1062</v>
      </c>
      <c r="F1724" s="767">
        <v>1375160.23</v>
      </c>
      <c r="G1724" s="767">
        <v>47910.8</v>
      </c>
      <c r="H1724" s="767">
        <v>1423071.03</v>
      </c>
      <c r="I1724" s="768" t="s">
        <v>1611</v>
      </c>
    </row>
    <row r="1725" spans="1:9" x14ac:dyDescent="0.25">
      <c r="A1725" s="753"/>
      <c r="C1725" s="131" t="s">
        <v>1063</v>
      </c>
      <c r="D1725" s="131">
        <v>16</v>
      </c>
      <c r="E1725" s="131" t="s">
        <v>1063</v>
      </c>
      <c r="F1725" s="767">
        <v>1475708.6</v>
      </c>
      <c r="G1725" s="767">
        <v>186649.34</v>
      </c>
      <c r="H1725" s="767">
        <v>1662357.94</v>
      </c>
      <c r="I1725" s="768" t="s">
        <v>1612</v>
      </c>
    </row>
    <row r="1726" spans="1:9" x14ac:dyDescent="0.25">
      <c r="A1726" s="753">
        <v>703518</v>
      </c>
      <c r="B1726" s="130">
        <v>2849</v>
      </c>
      <c r="E1726" s="131"/>
    </row>
    <row r="1727" spans="1:9" x14ac:dyDescent="0.25">
      <c r="A1727" s="753">
        <v>703522</v>
      </c>
      <c r="B1727" s="130">
        <v>55</v>
      </c>
      <c r="C1727" s="131" t="s">
        <v>1059</v>
      </c>
      <c r="D1727" s="131">
        <v>16</v>
      </c>
      <c r="E1727" s="131" t="s">
        <v>1059</v>
      </c>
      <c r="F1727" s="767">
        <v>-0.24</v>
      </c>
      <c r="G1727" s="767">
        <v>-0.01</v>
      </c>
      <c r="H1727" s="767">
        <v>-0.25</v>
      </c>
      <c r="I1727" s="768" t="s">
        <v>1606</v>
      </c>
    </row>
    <row r="1728" spans="1:9" x14ac:dyDescent="0.25">
      <c r="A1728" s="753"/>
      <c r="C1728" s="131" t="s">
        <v>1607</v>
      </c>
      <c r="D1728" s="131">
        <v>16</v>
      </c>
      <c r="E1728" s="131" t="s">
        <v>1607</v>
      </c>
      <c r="F1728" s="767">
        <v>-0.26</v>
      </c>
      <c r="G1728" s="767">
        <v>-0.04</v>
      </c>
      <c r="H1728" s="767">
        <v>-0.3</v>
      </c>
      <c r="I1728" s="768" t="s">
        <v>1608</v>
      </c>
    </row>
    <row r="1729" spans="1:9" x14ac:dyDescent="0.25">
      <c r="A1729" s="753">
        <v>703524</v>
      </c>
      <c r="B1729" s="130">
        <v>3259547</v>
      </c>
      <c r="C1729" s="131" t="s">
        <v>1060</v>
      </c>
      <c r="D1729" s="131">
        <v>16</v>
      </c>
      <c r="E1729" s="131" t="s">
        <v>1060</v>
      </c>
      <c r="F1729" s="767">
        <v>-1460919</v>
      </c>
      <c r="G1729" s="767">
        <v>-53091</v>
      </c>
      <c r="H1729" s="767">
        <v>-1514010</v>
      </c>
      <c r="I1729" s="768" t="s">
        <v>1609</v>
      </c>
    </row>
    <row r="1730" spans="1:9" x14ac:dyDescent="0.25">
      <c r="A1730" s="753"/>
      <c r="C1730" s="131" t="s">
        <v>1061</v>
      </c>
      <c r="D1730" s="131">
        <v>16</v>
      </c>
      <c r="E1730" s="131" t="s">
        <v>1061</v>
      </c>
      <c r="F1730" s="767">
        <v>-1549824.14</v>
      </c>
      <c r="G1730" s="767">
        <v>-195712.38</v>
      </c>
      <c r="H1730" s="767">
        <v>-1745536.52</v>
      </c>
      <c r="I1730" s="768" t="s">
        <v>1610</v>
      </c>
    </row>
    <row r="1731" spans="1:9" x14ac:dyDescent="0.25">
      <c r="A1731" s="753">
        <v>703526</v>
      </c>
      <c r="B1731" s="130">
        <v>174118</v>
      </c>
      <c r="C1731" s="131" t="s">
        <v>1060</v>
      </c>
      <c r="D1731" s="131">
        <v>16</v>
      </c>
      <c r="E1731" s="131" t="s">
        <v>1060</v>
      </c>
      <c r="F1731" s="767">
        <v>-1460919</v>
      </c>
      <c r="G1731" s="767">
        <v>-53091</v>
      </c>
      <c r="H1731" s="767">
        <v>-1514010</v>
      </c>
      <c r="I1731" s="768" t="s">
        <v>1609</v>
      </c>
    </row>
    <row r="1732" spans="1:9" x14ac:dyDescent="0.25">
      <c r="A1732" s="753"/>
      <c r="C1732" s="131" t="s">
        <v>1061</v>
      </c>
      <c r="D1732" s="131">
        <v>16</v>
      </c>
      <c r="E1732" s="131" t="s">
        <v>1061</v>
      </c>
      <c r="F1732" s="767">
        <v>-1549824.14</v>
      </c>
      <c r="G1732" s="767">
        <v>-195712.38</v>
      </c>
      <c r="H1732" s="767">
        <v>-1745536.52</v>
      </c>
      <c r="I1732" s="768" t="s">
        <v>1610</v>
      </c>
    </row>
    <row r="1733" spans="1:9" x14ac:dyDescent="0.25">
      <c r="A1733" s="753"/>
      <c r="C1733" s="131" t="s">
        <v>1062</v>
      </c>
      <c r="D1733" s="131">
        <v>16</v>
      </c>
      <c r="E1733" s="131" t="s">
        <v>1062</v>
      </c>
      <c r="F1733" s="767">
        <v>1375160.23</v>
      </c>
      <c r="G1733" s="767">
        <v>47910.8</v>
      </c>
      <c r="H1733" s="767">
        <v>1423071.03</v>
      </c>
      <c r="I1733" s="768" t="s">
        <v>1611</v>
      </c>
    </row>
    <row r="1734" spans="1:9" x14ac:dyDescent="0.25">
      <c r="A1734" s="753"/>
      <c r="C1734" s="131" t="s">
        <v>1063</v>
      </c>
      <c r="D1734" s="131">
        <v>16</v>
      </c>
      <c r="E1734" s="131" t="s">
        <v>1063</v>
      </c>
      <c r="F1734" s="767">
        <v>1475708.6</v>
      </c>
      <c r="G1734" s="767">
        <v>186649.34</v>
      </c>
      <c r="H1734" s="767">
        <v>1662357.94</v>
      </c>
      <c r="I1734" s="768" t="s">
        <v>1612</v>
      </c>
    </row>
    <row r="1735" spans="1:9" x14ac:dyDescent="0.25">
      <c r="A1735" s="753">
        <v>703528</v>
      </c>
      <c r="B1735" s="130">
        <v>3166</v>
      </c>
      <c r="E1735" s="131"/>
    </row>
    <row r="1736" spans="1:9" x14ac:dyDescent="0.25">
      <c r="A1736" s="753">
        <v>703616</v>
      </c>
      <c r="B1736" s="130">
        <v>3536</v>
      </c>
      <c r="C1736" s="131" t="s">
        <v>1064</v>
      </c>
      <c r="D1736" s="131">
        <v>16</v>
      </c>
      <c r="E1736" s="131" t="s">
        <v>1064</v>
      </c>
      <c r="F1736" s="767">
        <v>21586.03</v>
      </c>
      <c r="G1736" s="767">
        <v>462.45</v>
      </c>
      <c r="H1736" s="767">
        <v>22048.48</v>
      </c>
      <c r="I1736" s="768" t="s">
        <v>1613</v>
      </c>
    </row>
    <row r="1737" spans="1:9" x14ac:dyDescent="0.25">
      <c r="A1737" s="753"/>
      <c r="C1737" s="131" t="s">
        <v>1065</v>
      </c>
      <c r="D1737" s="131">
        <v>16</v>
      </c>
      <c r="E1737" s="131" t="s">
        <v>1065</v>
      </c>
      <c r="F1737" s="767">
        <v>18995.09</v>
      </c>
      <c r="G1737" s="767">
        <v>3073.52</v>
      </c>
      <c r="H1737" s="767">
        <v>22068.61</v>
      </c>
      <c r="I1737" s="768" t="s">
        <v>1614</v>
      </c>
    </row>
    <row r="1738" spans="1:9" x14ac:dyDescent="0.25">
      <c r="A1738" s="753">
        <v>703618</v>
      </c>
      <c r="B1738" s="130">
        <v>707</v>
      </c>
      <c r="E1738" s="131"/>
    </row>
    <row r="1739" spans="1:9" x14ac:dyDescent="0.25">
      <c r="A1739" s="753">
        <v>703626</v>
      </c>
      <c r="B1739" s="130">
        <v>44117</v>
      </c>
      <c r="C1739" s="131" t="s">
        <v>1064</v>
      </c>
      <c r="D1739" s="131">
        <v>16</v>
      </c>
      <c r="E1739" s="131" t="s">
        <v>1064</v>
      </c>
      <c r="F1739" s="767">
        <v>21586.03</v>
      </c>
      <c r="G1739" s="767">
        <v>462.45</v>
      </c>
      <c r="H1739" s="767">
        <v>22048.48</v>
      </c>
      <c r="I1739" s="768" t="s">
        <v>1613</v>
      </c>
    </row>
    <row r="1740" spans="1:9" x14ac:dyDescent="0.25">
      <c r="A1740" s="753"/>
      <c r="C1740" s="131" t="s">
        <v>1065</v>
      </c>
      <c r="D1740" s="131">
        <v>16</v>
      </c>
      <c r="E1740" s="131" t="s">
        <v>1065</v>
      </c>
      <c r="F1740" s="767">
        <v>18995.09</v>
      </c>
      <c r="G1740" s="767">
        <v>3073.52</v>
      </c>
      <c r="H1740" s="767">
        <v>22068.61</v>
      </c>
      <c r="I1740" s="768" t="s">
        <v>1614</v>
      </c>
    </row>
    <row r="1741" spans="1:9" x14ac:dyDescent="0.25">
      <c r="A1741" s="753">
        <v>703628</v>
      </c>
      <c r="B1741" s="130">
        <v>802</v>
      </c>
      <c r="E1741" s="131"/>
    </row>
    <row r="1742" spans="1:9" x14ac:dyDescent="0.25">
      <c r="A1742" s="753">
        <v>703712</v>
      </c>
      <c r="B1742" s="130">
        <v>5</v>
      </c>
      <c r="C1742" s="131" t="s">
        <v>1066</v>
      </c>
      <c r="D1742" s="131">
        <v>16</v>
      </c>
      <c r="E1742" s="131" t="s">
        <v>1066</v>
      </c>
      <c r="F1742" s="767">
        <v>-0.28999999999999998</v>
      </c>
      <c r="G1742" s="767">
        <v>-0.03</v>
      </c>
      <c r="H1742" s="767">
        <v>-0.32</v>
      </c>
      <c r="I1742" s="768" t="s">
        <v>1615</v>
      </c>
    </row>
    <row r="1743" spans="1:9" x14ac:dyDescent="0.25">
      <c r="A1743" s="753"/>
      <c r="C1743" s="131" t="s">
        <v>1616</v>
      </c>
      <c r="D1743" s="131">
        <v>16</v>
      </c>
      <c r="E1743" s="131" t="s">
        <v>1616</v>
      </c>
      <c r="F1743" s="767">
        <v>-0.3</v>
      </c>
      <c r="G1743" s="767">
        <v>-0.02</v>
      </c>
      <c r="H1743" s="767">
        <v>-0.32</v>
      </c>
      <c r="I1743" s="768" t="s">
        <v>1617</v>
      </c>
    </row>
    <row r="1744" spans="1:9" x14ac:dyDescent="0.25">
      <c r="A1744" s="753">
        <v>703714</v>
      </c>
      <c r="B1744" s="130">
        <v>187503</v>
      </c>
      <c r="C1744" s="131" t="s">
        <v>1067</v>
      </c>
      <c r="D1744" s="131">
        <v>16</v>
      </c>
      <c r="E1744" s="131" t="s">
        <v>1067</v>
      </c>
      <c r="F1744" s="767">
        <v>-1130418.73</v>
      </c>
      <c r="G1744" s="767">
        <v>-109756</v>
      </c>
      <c r="H1744" s="767">
        <v>-1240174.73</v>
      </c>
      <c r="I1744" s="768" t="s">
        <v>1618</v>
      </c>
    </row>
    <row r="1745" spans="1:9" x14ac:dyDescent="0.25">
      <c r="A1745" s="753"/>
      <c r="C1745" s="131" t="s">
        <v>1068</v>
      </c>
      <c r="D1745" s="131">
        <v>16</v>
      </c>
      <c r="E1745" s="131" t="s">
        <v>1068</v>
      </c>
      <c r="F1745" s="767">
        <v>-1119790.01</v>
      </c>
      <c r="G1745" s="767">
        <v>-77747</v>
      </c>
      <c r="H1745" s="767">
        <v>-1197537.01</v>
      </c>
      <c r="I1745" s="768" t="s">
        <v>1619</v>
      </c>
    </row>
    <row r="1746" spans="1:9" x14ac:dyDescent="0.25">
      <c r="A1746" s="753">
        <v>703716</v>
      </c>
      <c r="B1746" s="130">
        <v>25558</v>
      </c>
      <c r="C1746" s="131" t="s">
        <v>1067</v>
      </c>
      <c r="D1746" s="131">
        <v>16</v>
      </c>
      <c r="E1746" s="131" t="s">
        <v>1067</v>
      </c>
      <c r="F1746" s="767">
        <v>-1130418.73</v>
      </c>
      <c r="G1746" s="767">
        <v>-109756</v>
      </c>
      <c r="H1746" s="767">
        <v>-1240174.73</v>
      </c>
      <c r="I1746" s="768" t="s">
        <v>1618</v>
      </c>
    </row>
    <row r="1747" spans="1:9" x14ac:dyDescent="0.25">
      <c r="A1747" s="753"/>
      <c r="C1747" s="131" t="s">
        <v>1068</v>
      </c>
      <c r="D1747" s="131">
        <v>16</v>
      </c>
      <c r="E1747" s="131" t="s">
        <v>1068</v>
      </c>
      <c r="F1747" s="767">
        <v>-1119790.01</v>
      </c>
      <c r="G1747" s="767">
        <v>-77747</v>
      </c>
      <c r="H1747" s="767">
        <v>-1197537.01</v>
      </c>
      <c r="I1747" s="768" t="s">
        <v>1619</v>
      </c>
    </row>
    <row r="1748" spans="1:9" x14ac:dyDescent="0.25">
      <c r="A1748" s="753"/>
      <c r="C1748" s="131" t="s">
        <v>1069</v>
      </c>
      <c r="D1748" s="131">
        <v>16</v>
      </c>
      <c r="E1748" s="131" t="s">
        <v>1069</v>
      </c>
      <c r="F1748" s="767">
        <v>1022346.95</v>
      </c>
      <c r="G1748" s="767">
        <v>96071.65</v>
      </c>
      <c r="H1748" s="767">
        <v>1118418.6000000001</v>
      </c>
      <c r="I1748" s="768" t="s">
        <v>1620</v>
      </c>
    </row>
    <row r="1749" spans="1:9" x14ac:dyDescent="0.25">
      <c r="A1749" s="753"/>
      <c r="C1749" s="131" t="s">
        <v>1621</v>
      </c>
      <c r="D1749" s="131">
        <v>16</v>
      </c>
      <c r="E1749" s="131" t="s">
        <v>1621</v>
      </c>
      <c r="F1749" s="767">
        <v>1010840.53</v>
      </c>
      <c r="G1749" s="767">
        <v>65873.399999999994</v>
      </c>
      <c r="H1749" s="767">
        <v>1076713.93</v>
      </c>
      <c r="I1749" s="768" t="s">
        <v>1622</v>
      </c>
    </row>
    <row r="1750" spans="1:9" x14ac:dyDescent="0.25">
      <c r="A1750" s="753">
        <v>703718</v>
      </c>
      <c r="B1750" s="130">
        <v>5112</v>
      </c>
      <c r="E1750" s="131"/>
    </row>
    <row r="1751" spans="1:9" x14ac:dyDescent="0.25">
      <c r="A1751" s="753">
        <v>703722</v>
      </c>
      <c r="B1751" s="130">
        <v>64</v>
      </c>
      <c r="C1751" s="131" t="s">
        <v>1066</v>
      </c>
      <c r="D1751" s="131">
        <v>16</v>
      </c>
      <c r="E1751" s="131" t="s">
        <v>1066</v>
      </c>
      <c r="F1751" s="767">
        <v>-0.28999999999999998</v>
      </c>
      <c r="G1751" s="767">
        <v>-0.03</v>
      </c>
      <c r="H1751" s="767">
        <v>-0.32</v>
      </c>
      <c r="I1751" s="768" t="s">
        <v>1615</v>
      </c>
    </row>
    <row r="1752" spans="1:9" x14ac:dyDescent="0.25">
      <c r="A1752" s="753"/>
      <c r="C1752" s="131" t="s">
        <v>1616</v>
      </c>
      <c r="D1752" s="131">
        <v>16</v>
      </c>
      <c r="E1752" s="131" t="s">
        <v>1616</v>
      </c>
      <c r="F1752" s="767">
        <v>-0.3</v>
      </c>
      <c r="G1752" s="767">
        <v>-0.02</v>
      </c>
      <c r="H1752" s="767">
        <v>-0.32</v>
      </c>
      <c r="I1752" s="768" t="s">
        <v>1617</v>
      </c>
    </row>
    <row r="1753" spans="1:9" x14ac:dyDescent="0.25">
      <c r="A1753" s="753">
        <v>703724</v>
      </c>
      <c r="B1753" s="130">
        <v>2437712</v>
      </c>
      <c r="C1753" s="131" t="s">
        <v>1067</v>
      </c>
      <c r="D1753" s="131">
        <v>16</v>
      </c>
      <c r="E1753" s="131" t="s">
        <v>1067</v>
      </c>
      <c r="F1753" s="767">
        <v>-1130418.73</v>
      </c>
      <c r="G1753" s="767">
        <v>-109756</v>
      </c>
      <c r="H1753" s="767">
        <v>-1240174.73</v>
      </c>
      <c r="I1753" s="768" t="s">
        <v>1618</v>
      </c>
    </row>
    <row r="1754" spans="1:9" x14ac:dyDescent="0.25">
      <c r="A1754" s="753"/>
      <c r="C1754" s="131" t="s">
        <v>1068</v>
      </c>
      <c r="D1754" s="131">
        <v>16</v>
      </c>
      <c r="E1754" s="131" t="s">
        <v>1068</v>
      </c>
      <c r="F1754" s="767">
        <v>-1119790.01</v>
      </c>
      <c r="G1754" s="767">
        <v>-77747</v>
      </c>
      <c r="H1754" s="767">
        <v>-1197537.01</v>
      </c>
      <c r="I1754" s="768" t="s">
        <v>1619</v>
      </c>
    </row>
    <row r="1755" spans="1:9" x14ac:dyDescent="0.25">
      <c r="A1755" s="753">
        <v>703726</v>
      </c>
      <c r="B1755" s="130">
        <v>242579</v>
      </c>
      <c r="C1755" s="131" t="s">
        <v>1067</v>
      </c>
      <c r="D1755" s="131">
        <v>16</v>
      </c>
      <c r="E1755" s="131" t="s">
        <v>1067</v>
      </c>
      <c r="F1755" s="767">
        <v>-1130418.73</v>
      </c>
      <c r="G1755" s="767">
        <v>-109756</v>
      </c>
      <c r="H1755" s="767">
        <v>-1240174.73</v>
      </c>
      <c r="I1755" s="768" t="s">
        <v>1618</v>
      </c>
    </row>
    <row r="1756" spans="1:9" x14ac:dyDescent="0.25">
      <c r="A1756" s="753"/>
      <c r="C1756" s="131" t="s">
        <v>1068</v>
      </c>
      <c r="D1756" s="131">
        <v>16</v>
      </c>
      <c r="E1756" s="131" t="s">
        <v>1068</v>
      </c>
      <c r="F1756" s="767">
        <v>-1119790.01</v>
      </c>
      <c r="G1756" s="767">
        <v>-77747</v>
      </c>
      <c r="H1756" s="767">
        <v>-1197537.01</v>
      </c>
      <c r="I1756" s="768" t="s">
        <v>1619</v>
      </c>
    </row>
    <row r="1757" spans="1:9" x14ac:dyDescent="0.25">
      <c r="A1757" s="753"/>
      <c r="C1757" s="131" t="s">
        <v>1069</v>
      </c>
      <c r="D1757" s="131">
        <v>16</v>
      </c>
      <c r="E1757" s="131" t="s">
        <v>1069</v>
      </c>
      <c r="F1757" s="767">
        <v>1022346.95</v>
      </c>
      <c r="G1757" s="767">
        <v>96071.65</v>
      </c>
      <c r="H1757" s="767">
        <v>1118418.6000000001</v>
      </c>
      <c r="I1757" s="768" t="s">
        <v>1620</v>
      </c>
    </row>
    <row r="1758" spans="1:9" x14ac:dyDescent="0.25">
      <c r="A1758" s="753"/>
      <c r="C1758" s="131" t="s">
        <v>1621</v>
      </c>
      <c r="D1758" s="131">
        <v>16</v>
      </c>
      <c r="E1758" s="131" t="s">
        <v>1621</v>
      </c>
      <c r="F1758" s="767">
        <v>1010840.53</v>
      </c>
      <c r="G1758" s="767">
        <v>65873.399999999994</v>
      </c>
      <c r="H1758" s="767">
        <v>1076713.93</v>
      </c>
      <c r="I1758" s="768" t="s">
        <v>1622</v>
      </c>
    </row>
    <row r="1759" spans="1:9" x14ac:dyDescent="0.25">
      <c r="A1759" s="753">
        <v>703728</v>
      </c>
      <c r="B1759" s="130">
        <v>3790</v>
      </c>
      <c r="E1759" s="131"/>
    </row>
    <row r="1760" spans="1:9" x14ac:dyDescent="0.25">
      <c r="A1760" s="753">
        <v>703816</v>
      </c>
      <c r="B1760" s="130">
        <v>3734</v>
      </c>
      <c r="C1760" s="131" t="s">
        <v>1070</v>
      </c>
      <c r="D1760" s="131">
        <v>16</v>
      </c>
      <c r="E1760" s="131" t="s">
        <v>1070</v>
      </c>
      <c r="F1760" s="767">
        <v>49886.239999999998</v>
      </c>
      <c r="G1760" s="767">
        <v>2176.36</v>
      </c>
      <c r="H1760" s="767">
        <v>52062.6</v>
      </c>
      <c r="I1760" s="768" t="s">
        <v>1623</v>
      </c>
    </row>
    <row r="1761" spans="1:9" x14ac:dyDescent="0.25">
      <c r="A1761" s="753"/>
      <c r="C1761" s="131" t="s">
        <v>1071</v>
      </c>
      <c r="D1761" s="131">
        <v>16</v>
      </c>
      <c r="E1761" s="131" t="s">
        <v>1071</v>
      </c>
      <c r="F1761" s="767">
        <v>58297.48</v>
      </c>
      <c r="G1761" s="767">
        <v>1557.59</v>
      </c>
      <c r="H1761" s="767">
        <v>59855.07</v>
      </c>
      <c r="I1761" s="768" t="s">
        <v>1624</v>
      </c>
    </row>
    <row r="1762" spans="1:9" x14ac:dyDescent="0.25">
      <c r="A1762" s="753">
        <v>703818</v>
      </c>
      <c r="B1762" s="130">
        <v>747</v>
      </c>
      <c r="E1762" s="131"/>
    </row>
    <row r="1763" spans="1:9" x14ac:dyDescent="0.25">
      <c r="A1763" s="753">
        <v>703826</v>
      </c>
      <c r="B1763" s="130">
        <v>111918</v>
      </c>
      <c r="C1763" s="131" t="s">
        <v>1070</v>
      </c>
      <c r="D1763" s="131">
        <v>16</v>
      </c>
      <c r="E1763" s="131" t="s">
        <v>1070</v>
      </c>
      <c r="F1763" s="767">
        <v>49886.239999999998</v>
      </c>
      <c r="G1763" s="767">
        <v>2176.36</v>
      </c>
      <c r="H1763" s="767">
        <v>52062.6</v>
      </c>
      <c r="I1763" s="768" t="s">
        <v>1623</v>
      </c>
    </row>
    <row r="1764" spans="1:9" x14ac:dyDescent="0.25">
      <c r="A1764" s="753"/>
      <c r="C1764" s="131" t="s">
        <v>1071</v>
      </c>
      <c r="D1764" s="131">
        <v>16</v>
      </c>
      <c r="E1764" s="131" t="s">
        <v>1071</v>
      </c>
      <c r="F1764" s="767">
        <v>58297.48</v>
      </c>
      <c r="G1764" s="767">
        <v>1557.59</v>
      </c>
      <c r="H1764" s="767">
        <v>59855.07</v>
      </c>
      <c r="I1764" s="768" t="s">
        <v>1624</v>
      </c>
    </row>
    <row r="1765" spans="1:9" x14ac:dyDescent="0.25">
      <c r="A1765" s="753">
        <v>703828</v>
      </c>
      <c r="B1765" s="130">
        <v>1749</v>
      </c>
      <c r="E1765" s="131"/>
    </row>
    <row r="1766" spans="1:9" x14ac:dyDescent="0.25">
      <c r="A1766" s="753">
        <v>703912</v>
      </c>
      <c r="B1766" s="130">
        <v>13</v>
      </c>
      <c r="C1766" s="131" t="s">
        <v>1072</v>
      </c>
      <c r="D1766" s="131">
        <v>16</v>
      </c>
      <c r="E1766" s="131" t="s">
        <v>1072</v>
      </c>
      <c r="F1766" s="767">
        <v>-0.31</v>
      </c>
      <c r="G1766" s="767">
        <v>-0.05</v>
      </c>
      <c r="H1766" s="767">
        <v>-0.36</v>
      </c>
      <c r="I1766" s="768" t="s">
        <v>1625</v>
      </c>
    </row>
    <row r="1767" spans="1:9" x14ac:dyDescent="0.25">
      <c r="A1767" s="753"/>
      <c r="C1767" s="131" t="s">
        <v>1626</v>
      </c>
      <c r="D1767" s="131">
        <v>16</v>
      </c>
      <c r="E1767" s="131" t="s">
        <v>1626</v>
      </c>
      <c r="F1767" s="767">
        <v>-0.41</v>
      </c>
      <c r="G1767" s="767">
        <v>-0.08</v>
      </c>
      <c r="H1767" s="767">
        <v>-0.49</v>
      </c>
      <c r="I1767" s="768" t="s">
        <v>1627</v>
      </c>
    </row>
    <row r="1768" spans="1:9" x14ac:dyDescent="0.25">
      <c r="A1768" s="753">
        <v>703914</v>
      </c>
      <c r="B1768" s="130">
        <v>675505</v>
      </c>
      <c r="C1768" s="131" t="s">
        <v>1073</v>
      </c>
      <c r="D1768" s="131">
        <v>16</v>
      </c>
      <c r="E1768" s="131" t="s">
        <v>1073</v>
      </c>
      <c r="F1768" s="767">
        <v>-965583</v>
      </c>
      <c r="G1768" s="767">
        <v>-284605</v>
      </c>
      <c r="H1768" s="767">
        <v>-1250188</v>
      </c>
      <c r="I1768" s="768" t="s">
        <v>1628</v>
      </c>
    </row>
    <row r="1769" spans="1:9" x14ac:dyDescent="0.25">
      <c r="A1769" s="753"/>
      <c r="C1769" s="131" t="s">
        <v>1074</v>
      </c>
      <c r="D1769" s="131">
        <v>16</v>
      </c>
      <c r="E1769" s="131" t="s">
        <v>1074</v>
      </c>
      <c r="F1769" s="767">
        <v>-1430324.1</v>
      </c>
      <c r="G1769" s="767">
        <v>-390900</v>
      </c>
      <c r="H1769" s="767">
        <v>-1821224.1</v>
      </c>
      <c r="I1769" s="768" t="s">
        <v>1629</v>
      </c>
    </row>
    <row r="1770" spans="1:9" x14ac:dyDescent="0.25">
      <c r="A1770" s="753">
        <v>703916</v>
      </c>
      <c r="B1770" s="130">
        <v>8057</v>
      </c>
      <c r="C1770" s="131" t="s">
        <v>1073</v>
      </c>
      <c r="D1770" s="131">
        <v>16</v>
      </c>
      <c r="E1770" s="131" t="s">
        <v>1073</v>
      </c>
      <c r="F1770" s="767">
        <v>-965583</v>
      </c>
      <c r="G1770" s="767">
        <v>-284605</v>
      </c>
      <c r="H1770" s="767">
        <v>-1250188</v>
      </c>
      <c r="I1770" s="768" t="s">
        <v>1628</v>
      </c>
    </row>
    <row r="1771" spans="1:9" x14ac:dyDescent="0.25">
      <c r="A1771" s="753"/>
      <c r="C1771" s="131" t="s">
        <v>1074</v>
      </c>
      <c r="D1771" s="131">
        <v>16</v>
      </c>
      <c r="E1771" s="131" t="s">
        <v>1074</v>
      </c>
      <c r="F1771" s="767">
        <v>-1430324.1</v>
      </c>
      <c r="G1771" s="767">
        <v>-390900</v>
      </c>
      <c r="H1771" s="767">
        <v>-1821224.1</v>
      </c>
      <c r="I1771" s="768" t="s">
        <v>1629</v>
      </c>
    </row>
    <row r="1772" spans="1:9" x14ac:dyDescent="0.25">
      <c r="A1772" s="753"/>
      <c r="C1772" s="131" t="s">
        <v>1075</v>
      </c>
      <c r="D1772" s="131">
        <v>16</v>
      </c>
      <c r="E1772" s="131" t="s">
        <v>1075</v>
      </c>
      <c r="F1772" s="767">
        <v>954358.14</v>
      </c>
      <c r="G1772" s="767">
        <v>291394.84000000003</v>
      </c>
      <c r="H1772" s="767">
        <v>1245752.98</v>
      </c>
      <c r="I1772" s="768" t="s">
        <v>1630</v>
      </c>
    </row>
    <row r="1773" spans="1:9" x14ac:dyDescent="0.25">
      <c r="A1773" s="753"/>
      <c r="C1773" s="131" t="s">
        <v>1076</v>
      </c>
      <c r="D1773" s="131">
        <v>16</v>
      </c>
      <c r="E1773" s="131" t="s">
        <v>1076</v>
      </c>
      <c r="F1773" s="767">
        <v>1420210.23</v>
      </c>
      <c r="G1773" s="767">
        <v>376052.95</v>
      </c>
      <c r="H1773" s="767">
        <v>1796263.18</v>
      </c>
      <c r="I1773" s="768" t="s">
        <v>1631</v>
      </c>
    </row>
    <row r="1774" spans="1:9" x14ac:dyDescent="0.25">
      <c r="A1774" s="753">
        <v>703918</v>
      </c>
      <c r="B1774" s="130">
        <v>620</v>
      </c>
      <c r="E1774" s="131"/>
    </row>
    <row r="1775" spans="1:9" x14ac:dyDescent="0.25">
      <c r="A1775" s="753">
        <v>703922</v>
      </c>
      <c r="B1775" s="130">
        <v>85</v>
      </c>
      <c r="C1775" s="131" t="s">
        <v>1072</v>
      </c>
      <c r="D1775" s="131">
        <v>16</v>
      </c>
      <c r="E1775" s="131" t="s">
        <v>1072</v>
      </c>
      <c r="F1775" s="767">
        <v>-0.31</v>
      </c>
      <c r="G1775" s="767">
        <v>-0.05</v>
      </c>
      <c r="H1775" s="767">
        <v>-0.36</v>
      </c>
      <c r="I1775" s="768" t="s">
        <v>1625</v>
      </c>
    </row>
    <row r="1776" spans="1:9" x14ac:dyDescent="0.25">
      <c r="A1776" s="753"/>
      <c r="C1776" s="131" t="s">
        <v>1626</v>
      </c>
      <c r="D1776" s="131">
        <v>16</v>
      </c>
      <c r="E1776" s="131" t="s">
        <v>1626</v>
      </c>
      <c r="F1776" s="767">
        <v>-0.41</v>
      </c>
      <c r="G1776" s="767">
        <v>-0.08</v>
      </c>
      <c r="H1776" s="767">
        <v>-0.49</v>
      </c>
      <c r="I1776" s="768" t="s">
        <v>1627</v>
      </c>
    </row>
    <row r="1777" spans="1:9" x14ac:dyDescent="0.25">
      <c r="A1777" s="753">
        <v>703924</v>
      </c>
      <c r="B1777" s="130">
        <v>3071412</v>
      </c>
      <c r="C1777" s="131" t="s">
        <v>1073</v>
      </c>
      <c r="D1777" s="131">
        <v>16</v>
      </c>
      <c r="E1777" s="131" t="s">
        <v>1073</v>
      </c>
      <c r="F1777" s="767">
        <v>-965583</v>
      </c>
      <c r="G1777" s="767">
        <v>-284605</v>
      </c>
      <c r="H1777" s="767">
        <v>-1250188</v>
      </c>
      <c r="I1777" s="768" t="s">
        <v>1628</v>
      </c>
    </row>
    <row r="1778" spans="1:9" x14ac:dyDescent="0.25">
      <c r="A1778" s="753"/>
      <c r="C1778" s="131" t="s">
        <v>1074</v>
      </c>
      <c r="D1778" s="131">
        <v>16</v>
      </c>
      <c r="E1778" s="131" t="s">
        <v>1074</v>
      </c>
      <c r="F1778" s="767">
        <v>-1430324.1</v>
      </c>
      <c r="G1778" s="767">
        <v>-390900</v>
      </c>
      <c r="H1778" s="767">
        <v>-1821224.1</v>
      </c>
      <c r="I1778" s="768" t="s">
        <v>1629</v>
      </c>
    </row>
    <row r="1779" spans="1:9" x14ac:dyDescent="0.25">
      <c r="A1779" s="753">
        <v>703926</v>
      </c>
      <c r="B1779" s="130">
        <v>29396</v>
      </c>
      <c r="C1779" s="131" t="s">
        <v>1073</v>
      </c>
      <c r="D1779" s="131">
        <v>16</v>
      </c>
      <c r="E1779" s="131" t="s">
        <v>1073</v>
      </c>
      <c r="F1779" s="767">
        <v>-965583</v>
      </c>
      <c r="G1779" s="767">
        <v>-284605</v>
      </c>
      <c r="H1779" s="767">
        <v>-1250188</v>
      </c>
      <c r="I1779" s="768" t="s">
        <v>1628</v>
      </c>
    </row>
    <row r="1780" spans="1:9" x14ac:dyDescent="0.25">
      <c r="A1780" s="753"/>
      <c r="C1780" s="131" t="s">
        <v>1074</v>
      </c>
      <c r="D1780" s="131">
        <v>16</v>
      </c>
      <c r="E1780" s="131" t="s">
        <v>1074</v>
      </c>
      <c r="F1780" s="767">
        <v>-1430324.1</v>
      </c>
      <c r="G1780" s="767">
        <v>-390900</v>
      </c>
      <c r="H1780" s="767">
        <v>-1821224.1</v>
      </c>
      <c r="I1780" s="768" t="s">
        <v>1629</v>
      </c>
    </row>
    <row r="1781" spans="1:9" x14ac:dyDescent="0.25">
      <c r="A1781" s="753"/>
      <c r="C1781" s="131" t="s">
        <v>1075</v>
      </c>
      <c r="D1781" s="131">
        <v>16</v>
      </c>
      <c r="E1781" s="131" t="s">
        <v>1075</v>
      </c>
      <c r="F1781" s="767">
        <v>954358.14</v>
      </c>
      <c r="G1781" s="767">
        <v>291394.84000000003</v>
      </c>
      <c r="H1781" s="767">
        <v>1245752.98</v>
      </c>
      <c r="I1781" s="768" t="s">
        <v>1630</v>
      </c>
    </row>
    <row r="1782" spans="1:9" x14ac:dyDescent="0.25">
      <c r="A1782" s="753"/>
      <c r="C1782" s="131" t="s">
        <v>1076</v>
      </c>
      <c r="D1782" s="131">
        <v>16</v>
      </c>
      <c r="E1782" s="131" t="s">
        <v>1076</v>
      </c>
      <c r="F1782" s="767">
        <v>1420210.23</v>
      </c>
      <c r="G1782" s="767">
        <v>376052.95</v>
      </c>
      <c r="H1782" s="767">
        <v>1796263.18</v>
      </c>
      <c r="I1782" s="768" t="s">
        <v>1631</v>
      </c>
    </row>
    <row r="1783" spans="1:9" x14ac:dyDescent="0.25">
      <c r="A1783" s="753">
        <v>703928</v>
      </c>
      <c r="B1783" s="130">
        <v>346</v>
      </c>
      <c r="E1783" s="131"/>
    </row>
    <row r="1784" spans="1:9" x14ac:dyDescent="0.25">
      <c r="A1784" s="753">
        <v>704012</v>
      </c>
      <c r="B1784" s="130">
        <v>4</v>
      </c>
      <c r="C1784" s="131" t="s">
        <v>1077</v>
      </c>
      <c r="D1784" s="131">
        <v>16</v>
      </c>
      <c r="E1784" s="131" t="s">
        <v>1077</v>
      </c>
      <c r="F1784" s="767">
        <v>-0.41</v>
      </c>
      <c r="G1784" s="767">
        <v>-0.04</v>
      </c>
      <c r="H1784" s="767">
        <v>-0.45</v>
      </c>
      <c r="I1784" s="768" t="s">
        <v>1632</v>
      </c>
    </row>
    <row r="1785" spans="1:9" x14ac:dyDescent="0.25">
      <c r="A1785" s="753">
        <v>704014</v>
      </c>
      <c r="B1785" s="130">
        <v>142312</v>
      </c>
      <c r="C1785" s="131">
        <v>448</v>
      </c>
      <c r="D1785" s="131">
        <v>16</v>
      </c>
      <c r="E1785" s="131">
        <v>448</v>
      </c>
      <c r="F1785" s="767">
        <v>-1190183.3500000001</v>
      </c>
      <c r="G1785" s="767">
        <v>-142311.89000000001</v>
      </c>
      <c r="H1785" s="767">
        <v>-1332495.24</v>
      </c>
      <c r="I1785" s="768" t="s">
        <v>1633</v>
      </c>
    </row>
    <row r="1786" spans="1:9" x14ac:dyDescent="0.25">
      <c r="A1786" s="753">
        <v>704016</v>
      </c>
      <c r="B1786" s="130">
        <v>3371</v>
      </c>
      <c r="C1786" s="131">
        <v>448</v>
      </c>
      <c r="D1786" s="131">
        <v>16</v>
      </c>
      <c r="E1786" s="131">
        <v>448</v>
      </c>
      <c r="F1786" s="767">
        <v>-1190183.3500000001</v>
      </c>
      <c r="G1786" s="767">
        <v>-142311.89000000001</v>
      </c>
      <c r="H1786" s="767">
        <v>-1332495.24</v>
      </c>
      <c r="I1786" s="768" t="s">
        <v>1633</v>
      </c>
    </row>
    <row r="1787" spans="1:9" x14ac:dyDescent="0.25">
      <c r="A1787" s="753"/>
      <c r="C1787" s="131">
        <v>648</v>
      </c>
      <c r="D1787" s="131">
        <v>16</v>
      </c>
      <c r="E1787" s="131">
        <v>648</v>
      </c>
      <c r="F1787" s="767">
        <v>1150313.78</v>
      </c>
      <c r="G1787" s="767">
        <v>138940.88</v>
      </c>
      <c r="H1787" s="767">
        <v>1289254.6599999999</v>
      </c>
      <c r="I1787" s="768" t="s">
        <v>1634</v>
      </c>
    </row>
    <row r="1788" spans="1:9" x14ac:dyDescent="0.25">
      <c r="A1788" s="753">
        <v>704018</v>
      </c>
      <c r="B1788" s="130">
        <v>843</v>
      </c>
      <c r="E1788" s="131"/>
    </row>
    <row r="1789" spans="1:9" x14ac:dyDescent="0.25">
      <c r="A1789" s="753">
        <v>704022</v>
      </c>
      <c r="B1789" s="130">
        <v>45</v>
      </c>
      <c r="C1789" s="131" t="s">
        <v>1077</v>
      </c>
      <c r="D1789" s="131">
        <v>16</v>
      </c>
      <c r="E1789" s="131" t="s">
        <v>1077</v>
      </c>
      <c r="F1789" s="767">
        <v>-0.41</v>
      </c>
      <c r="G1789" s="767">
        <v>-0.04</v>
      </c>
      <c r="H1789" s="767">
        <v>-0.45</v>
      </c>
      <c r="I1789" s="768" t="s">
        <v>1632</v>
      </c>
    </row>
    <row r="1790" spans="1:9" x14ac:dyDescent="0.25">
      <c r="A1790" s="753">
        <v>704024</v>
      </c>
      <c r="B1790" s="130">
        <v>1332495</v>
      </c>
      <c r="C1790" s="131">
        <v>448</v>
      </c>
      <c r="D1790" s="131">
        <v>16</v>
      </c>
      <c r="E1790" s="131">
        <v>448</v>
      </c>
      <c r="F1790" s="767">
        <v>-1190183.3500000001</v>
      </c>
      <c r="G1790" s="767">
        <v>-142311.89000000001</v>
      </c>
      <c r="H1790" s="767">
        <v>-1332495.24</v>
      </c>
      <c r="I1790" s="768" t="s">
        <v>1633</v>
      </c>
    </row>
    <row r="1791" spans="1:9" x14ac:dyDescent="0.25">
      <c r="A1791" s="753">
        <v>704026</v>
      </c>
      <c r="B1791" s="130">
        <v>43240</v>
      </c>
      <c r="C1791" s="131">
        <v>448</v>
      </c>
      <c r="D1791" s="131">
        <v>16</v>
      </c>
      <c r="E1791" s="131">
        <v>448</v>
      </c>
      <c r="F1791" s="767">
        <v>-1190183.3500000001</v>
      </c>
      <c r="G1791" s="767">
        <v>-142311.89000000001</v>
      </c>
      <c r="H1791" s="767">
        <v>-1332495.24</v>
      </c>
      <c r="I1791" s="768" t="s">
        <v>1633</v>
      </c>
    </row>
    <row r="1792" spans="1:9" x14ac:dyDescent="0.25">
      <c r="A1792" s="753"/>
      <c r="C1792" s="131">
        <v>648</v>
      </c>
      <c r="D1792" s="131">
        <v>16</v>
      </c>
      <c r="E1792" s="131">
        <v>648</v>
      </c>
      <c r="F1792" s="767">
        <v>1150313.78</v>
      </c>
      <c r="G1792" s="767">
        <v>138940.88</v>
      </c>
      <c r="H1792" s="767">
        <v>1289254.6599999999</v>
      </c>
      <c r="I1792" s="768" t="s">
        <v>1634</v>
      </c>
    </row>
    <row r="1793" spans="1:9" x14ac:dyDescent="0.25">
      <c r="A1793" s="753">
        <v>704028</v>
      </c>
      <c r="B1793" s="130">
        <v>961</v>
      </c>
      <c r="E1793" s="131"/>
    </row>
    <row r="1794" spans="1:9" x14ac:dyDescent="0.25">
      <c r="A1794" s="753">
        <v>704116</v>
      </c>
      <c r="B1794" s="130">
        <v>0</v>
      </c>
      <c r="E1794" s="131"/>
    </row>
    <row r="1795" spans="1:9" x14ac:dyDescent="0.25">
      <c r="A1795" s="753">
        <v>704126</v>
      </c>
      <c r="B1795" s="130">
        <v>0</v>
      </c>
      <c r="E1795" s="131"/>
    </row>
    <row r="1796" spans="1:9" x14ac:dyDescent="0.25">
      <c r="A1796" s="753">
        <v>704312</v>
      </c>
      <c r="B1796" s="130">
        <v>6</v>
      </c>
      <c r="C1796" s="131" t="s">
        <v>1078</v>
      </c>
      <c r="D1796" s="131">
        <v>16</v>
      </c>
      <c r="E1796" s="131" t="s">
        <v>1078</v>
      </c>
      <c r="F1796" s="767">
        <v>-0.4</v>
      </c>
      <c r="G1796" s="767">
        <v>-0.04</v>
      </c>
      <c r="H1796" s="767">
        <v>-0.44</v>
      </c>
      <c r="I1796" s="768" t="s">
        <v>1635</v>
      </c>
    </row>
    <row r="1797" spans="1:9" x14ac:dyDescent="0.25">
      <c r="A1797" s="753"/>
      <c r="C1797" s="131" t="s">
        <v>1078</v>
      </c>
      <c r="D1797" s="131">
        <v>16</v>
      </c>
      <c r="E1797" s="131" t="s">
        <v>1177</v>
      </c>
      <c r="F1797" s="767">
        <v>-0.25</v>
      </c>
      <c r="G1797" s="767">
        <v>-0.02</v>
      </c>
      <c r="H1797" s="767">
        <v>-0.27</v>
      </c>
      <c r="I1797" s="768" t="s">
        <v>1636</v>
      </c>
    </row>
    <row r="1798" spans="1:9" x14ac:dyDescent="0.25">
      <c r="A1798" s="753"/>
      <c r="C1798" s="131" t="s">
        <v>1078</v>
      </c>
      <c r="D1798" s="131">
        <v>16</v>
      </c>
      <c r="E1798" s="131" t="s">
        <v>1637</v>
      </c>
      <c r="F1798" s="767">
        <v>-0.01</v>
      </c>
      <c r="G1798" s="767">
        <v>0</v>
      </c>
      <c r="H1798" s="767">
        <v>-0.01</v>
      </c>
      <c r="I1798" s="768" t="s">
        <v>1638</v>
      </c>
    </row>
    <row r="1799" spans="1:9" x14ac:dyDescent="0.25">
      <c r="A1799" s="753"/>
      <c r="C1799" s="131" t="s">
        <v>1078</v>
      </c>
      <c r="D1799" s="131">
        <v>16</v>
      </c>
      <c r="E1799" s="131" t="s">
        <v>1175</v>
      </c>
      <c r="F1799" s="767">
        <v>-0.05</v>
      </c>
      <c r="G1799" s="767">
        <v>0</v>
      </c>
      <c r="H1799" s="767">
        <v>-0.05</v>
      </c>
      <c r="I1799" s="768" t="s">
        <v>1639</v>
      </c>
    </row>
    <row r="1800" spans="1:9" x14ac:dyDescent="0.25">
      <c r="A1800" s="753"/>
      <c r="C1800" s="131" t="s">
        <v>1078</v>
      </c>
      <c r="D1800" s="131">
        <v>16</v>
      </c>
      <c r="E1800" s="131" t="s">
        <v>1173</v>
      </c>
      <c r="F1800" s="767">
        <v>-0.02</v>
      </c>
      <c r="G1800" s="767">
        <v>0</v>
      </c>
      <c r="H1800" s="767">
        <v>-0.02</v>
      </c>
      <c r="I1800" s="768" t="s">
        <v>1640</v>
      </c>
    </row>
    <row r="1801" spans="1:9" x14ac:dyDescent="0.25">
      <c r="A1801" s="753">
        <v>704314</v>
      </c>
      <c r="B1801" s="130">
        <v>9506</v>
      </c>
      <c r="C1801" s="131">
        <v>450</v>
      </c>
      <c r="D1801" s="131">
        <v>16</v>
      </c>
      <c r="E1801" s="131" t="s">
        <v>296</v>
      </c>
      <c r="F1801" s="767">
        <v>-24681.279999999999</v>
      </c>
      <c r="G1801" s="767">
        <v>-1050.4000000000001</v>
      </c>
      <c r="H1801" s="767">
        <v>-25731.68</v>
      </c>
      <c r="I1801" s="768" t="s">
        <v>1641</v>
      </c>
    </row>
    <row r="1802" spans="1:9" x14ac:dyDescent="0.25">
      <c r="A1802" s="753"/>
      <c r="C1802" s="131">
        <v>450</v>
      </c>
      <c r="D1802" s="131">
        <v>16</v>
      </c>
      <c r="E1802" s="131" t="s">
        <v>1642</v>
      </c>
      <c r="F1802" s="767">
        <v>-1526</v>
      </c>
      <c r="G1802" s="767">
        <v>0</v>
      </c>
      <c r="H1802" s="767">
        <v>-1526</v>
      </c>
      <c r="I1802" s="768" t="s">
        <v>1643</v>
      </c>
    </row>
    <row r="1803" spans="1:9" x14ac:dyDescent="0.25">
      <c r="A1803" s="753"/>
      <c r="C1803" s="131">
        <v>450</v>
      </c>
      <c r="D1803" s="131">
        <v>16</v>
      </c>
      <c r="E1803" s="131">
        <v>450</v>
      </c>
      <c r="F1803" s="767">
        <v>-15561</v>
      </c>
      <c r="G1803" s="767">
        <v>-1596</v>
      </c>
      <c r="H1803" s="767">
        <v>-17157</v>
      </c>
      <c r="I1803" s="768" t="s">
        <v>1644</v>
      </c>
    </row>
    <row r="1804" spans="1:9" x14ac:dyDescent="0.25">
      <c r="A1804" s="753"/>
      <c r="C1804" s="131">
        <v>450</v>
      </c>
      <c r="D1804" s="131">
        <v>16</v>
      </c>
      <c r="E1804" s="131" t="s">
        <v>1645</v>
      </c>
      <c r="F1804" s="767">
        <v>-675</v>
      </c>
      <c r="G1804" s="767">
        <v>0</v>
      </c>
      <c r="H1804" s="767">
        <v>-675</v>
      </c>
      <c r="I1804" s="768" t="s">
        <v>1646</v>
      </c>
    </row>
    <row r="1805" spans="1:9" x14ac:dyDescent="0.25">
      <c r="A1805" s="753"/>
      <c r="C1805" s="131">
        <v>450</v>
      </c>
      <c r="D1805" s="131">
        <v>16</v>
      </c>
      <c r="E1805" s="131" t="s">
        <v>295</v>
      </c>
      <c r="F1805" s="767">
        <v>-9310</v>
      </c>
      <c r="G1805" s="767">
        <v>-545</v>
      </c>
      <c r="H1805" s="767">
        <v>-9855</v>
      </c>
      <c r="I1805" s="768" t="s">
        <v>1647</v>
      </c>
    </row>
    <row r="1806" spans="1:9" x14ac:dyDescent="0.25">
      <c r="A1806" s="753"/>
      <c r="C1806" s="131">
        <v>450</v>
      </c>
      <c r="D1806" s="131">
        <v>16</v>
      </c>
      <c r="E1806" s="131" t="s">
        <v>1648</v>
      </c>
      <c r="F1806" s="767">
        <v>-965</v>
      </c>
      <c r="G1806" s="767">
        <v>0</v>
      </c>
      <c r="H1806" s="767">
        <v>-965</v>
      </c>
      <c r="I1806" s="768" t="s">
        <v>1649</v>
      </c>
    </row>
    <row r="1807" spans="1:9" x14ac:dyDescent="0.25">
      <c r="A1807" s="753"/>
      <c r="C1807" s="131">
        <v>450</v>
      </c>
      <c r="D1807" s="131">
        <v>16</v>
      </c>
      <c r="E1807" s="131" t="s">
        <v>974</v>
      </c>
      <c r="F1807" s="767">
        <v>-80920</v>
      </c>
      <c r="G1807" s="767">
        <v>-7140</v>
      </c>
      <c r="H1807" s="767">
        <v>-88060</v>
      </c>
      <c r="I1807" s="768" t="s">
        <v>1650</v>
      </c>
    </row>
    <row r="1808" spans="1:9" x14ac:dyDescent="0.25">
      <c r="A1808" s="753"/>
      <c r="C1808" s="131">
        <v>450</v>
      </c>
      <c r="D1808" s="131">
        <v>16</v>
      </c>
      <c r="E1808" s="131" t="s">
        <v>292</v>
      </c>
      <c r="F1808" s="767">
        <v>-2798</v>
      </c>
      <c r="G1808" s="767">
        <v>0</v>
      </c>
      <c r="H1808" s="767">
        <v>-2798</v>
      </c>
      <c r="I1808" s="768" t="s">
        <v>1651</v>
      </c>
    </row>
    <row r="1809" spans="1:9" x14ac:dyDescent="0.25">
      <c r="A1809" s="753"/>
      <c r="C1809" s="131">
        <v>450</v>
      </c>
      <c r="D1809" s="131">
        <v>16</v>
      </c>
      <c r="E1809" s="131" t="s">
        <v>1652</v>
      </c>
      <c r="F1809" s="767">
        <v>1068.2</v>
      </c>
      <c r="G1809" s="767">
        <v>0</v>
      </c>
      <c r="H1809" s="767">
        <v>1068.2</v>
      </c>
      <c r="I1809" s="768" t="s">
        <v>1653</v>
      </c>
    </row>
    <row r="1810" spans="1:9" x14ac:dyDescent="0.25">
      <c r="A1810" s="753"/>
      <c r="C1810" s="131">
        <v>450</v>
      </c>
      <c r="D1810" s="131">
        <v>16</v>
      </c>
      <c r="E1810" s="131" t="s">
        <v>1176</v>
      </c>
      <c r="F1810" s="767">
        <v>6380</v>
      </c>
      <c r="G1810" s="767">
        <v>545</v>
      </c>
      <c r="H1810" s="767">
        <v>6925</v>
      </c>
      <c r="I1810" s="768" t="s">
        <v>1654</v>
      </c>
    </row>
    <row r="1811" spans="1:9" x14ac:dyDescent="0.25">
      <c r="A1811" s="753"/>
      <c r="C1811" s="131">
        <v>450</v>
      </c>
      <c r="D1811" s="131">
        <v>16</v>
      </c>
      <c r="E1811" s="131" t="s">
        <v>1655</v>
      </c>
      <c r="F1811" s="767">
        <v>840</v>
      </c>
      <c r="G1811" s="767">
        <v>0</v>
      </c>
      <c r="H1811" s="767">
        <v>840</v>
      </c>
      <c r="I1811" s="768" t="s">
        <v>1656</v>
      </c>
    </row>
    <row r="1812" spans="1:9" x14ac:dyDescent="0.25">
      <c r="A1812" s="753"/>
      <c r="C1812" s="131">
        <v>450</v>
      </c>
      <c r="D1812" s="131">
        <v>16</v>
      </c>
      <c r="E1812" s="131">
        <v>650</v>
      </c>
      <c r="F1812" s="767">
        <v>2730</v>
      </c>
      <c r="G1812" s="767">
        <v>280</v>
      </c>
      <c r="H1812" s="767">
        <v>3010</v>
      </c>
      <c r="I1812" s="768" t="s">
        <v>1657</v>
      </c>
    </row>
    <row r="1813" spans="1:9" x14ac:dyDescent="0.25">
      <c r="A1813" s="753"/>
      <c r="C1813" s="131">
        <v>450</v>
      </c>
      <c r="D1813" s="131">
        <v>16</v>
      </c>
      <c r="E1813" s="131" t="s">
        <v>1174</v>
      </c>
      <c r="F1813" s="767">
        <v>1770</v>
      </c>
      <c r="G1813" s="767">
        <v>0</v>
      </c>
      <c r="H1813" s="767">
        <v>1770</v>
      </c>
      <c r="I1813" s="768" t="s">
        <v>1658</v>
      </c>
    </row>
    <row r="1814" spans="1:9" x14ac:dyDescent="0.25">
      <c r="A1814" s="753">
        <v>704316</v>
      </c>
      <c r="B1814" s="130">
        <v>9506</v>
      </c>
      <c r="C1814" s="131">
        <v>450</v>
      </c>
      <c r="D1814" s="131">
        <v>16</v>
      </c>
      <c r="E1814" s="131" t="s">
        <v>296</v>
      </c>
      <c r="F1814" s="767">
        <v>-24681.279999999999</v>
      </c>
      <c r="G1814" s="767">
        <v>-1050.4000000000001</v>
      </c>
      <c r="H1814" s="767">
        <v>-25731.68</v>
      </c>
      <c r="I1814" s="768" t="s">
        <v>1641</v>
      </c>
    </row>
    <row r="1815" spans="1:9" x14ac:dyDescent="0.25">
      <c r="A1815" s="753"/>
      <c r="C1815" s="131">
        <v>450</v>
      </c>
      <c r="D1815" s="131">
        <v>16</v>
      </c>
      <c r="E1815" s="131" t="s">
        <v>1642</v>
      </c>
      <c r="F1815" s="767">
        <v>-1526</v>
      </c>
      <c r="G1815" s="767">
        <v>0</v>
      </c>
      <c r="H1815" s="767">
        <v>-1526</v>
      </c>
      <c r="I1815" s="768" t="s">
        <v>1643</v>
      </c>
    </row>
    <row r="1816" spans="1:9" x14ac:dyDescent="0.25">
      <c r="A1816" s="753"/>
      <c r="C1816" s="131">
        <v>450</v>
      </c>
      <c r="D1816" s="131">
        <v>16</v>
      </c>
      <c r="E1816" s="131">
        <v>450</v>
      </c>
      <c r="F1816" s="767">
        <v>-15561</v>
      </c>
      <c r="G1816" s="767">
        <v>-1596</v>
      </c>
      <c r="H1816" s="767">
        <v>-17157</v>
      </c>
      <c r="I1816" s="768" t="s">
        <v>1644</v>
      </c>
    </row>
    <row r="1817" spans="1:9" x14ac:dyDescent="0.25">
      <c r="A1817" s="753"/>
      <c r="C1817" s="131">
        <v>450</v>
      </c>
      <c r="D1817" s="131">
        <v>16</v>
      </c>
      <c r="E1817" s="131" t="s">
        <v>1645</v>
      </c>
      <c r="F1817" s="767">
        <v>-675</v>
      </c>
      <c r="G1817" s="767">
        <v>0</v>
      </c>
      <c r="H1817" s="767">
        <v>-675</v>
      </c>
      <c r="I1817" s="768" t="s">
        <v>1646</v>
      </c>
    </row>
    <row r="1818" spans="1:9" x14ac:dyDescent="0.25">
      <c r="A1818" s="753"/>
      <c r="C1818" s="131">
        <v>450</v>
      </c>
      <c r="D1818" s="131">
        <v>16</v>
      </c>
      <c r="E1818" s="131" t="s">
        <v>295</v>
      </c>
      <c r="F1818" s="767">
        <v>-9310</v>
      </c>
      <c r="G1818" s="767">
        <v>-545</v>
      </c>
      <c r="H1818" s="767">
        <v>-9855</v>
      </c>
      <c r="I1818" s="768" t="s">
        <v>1647</v>
      </c>
    </row>
    <row r="1819" spans="1:9" x14ac:dyDescent="0.25">
      <c r="A1819" s="753"/>
      <c r="C1819" s="131">
        <v>450</v>
      </c>
      <c r="D1819" s="131">
        <v>16</v>
      </c>
      <c r="E1819" s="131" t="s">
        <v>1648</v>
      </c>
      <c r="F1819" s="767">
        <v>-965</v>
      </c>
      <c r="G1819" s="767">
        <v>0</v>
      </c>
      <c r="H1819" s="767">
        <v>-965</v>
      </c>
      <c r="I1819" s="768" t="s">
        <v>1649</v>
      </c>
    </row>
    <row r="1820" spans="1:9" x14ac:dyDescent="0.25">
      <c r="A1820" s="753"/>
      <c r="C1820" s="131">
        <v>450</v>
      </c>
      <c r="D1820" s="131">
        <v>16</v>
      </c>
      <c r="E1820" s="131" t="s">
        <v>974</v>
      </c>
      <c r="F1820" s="767">
        <v>-80920</v>
      </c>
      <c r="G1820" s="767">
        <v>-7140</v>
      </c>
      <c r="H1820" s="767">
        <v>-88060</v>
      </c>
      <c r="I1820" s="768" t="s">
        <v>1650</v>
      </c>
    </row>
    <row r="1821" spans="1:9" x14ac:dyDescent="0.25">
      <c r="A1821" s="753"/>
      <c r="C1821" s="131">
        <v>450</v>
      </c>
      <c r="D1821" s="131">
        <v>16</v>
      </c>
      <c r="E1821" s="131" t="s">
        <v>292</v>
      </c>
      <c r="F1821" s="767">
        <v>-2798</v>
      </c>
      <c r="G1821" s="767">
        <v>0</v>
      </c>
      <c r="H1821" s="767">
        <v>-2798</v>
      </c>
      <c r="I1821" s="768" t="s">
        <v>1651</v>
      </c>
    </row>
    <row r="1822" spans="1:9" x14ac:dyDescent="0.25">
      <c r="A1822" s="753"/>
      <c r="C1822" s="131">
        <v>450</v>
      </c>
      <c r="D1822" s="131">
        <v>16</v>
      </c>
      <c r="E1822" s="131" t="s">
        <v>1652</v>
      </c>
      <c r="F1822" s="767">
        <v>1068.2</v>
      </c>
      <c r="G1822" s="767">
        <v>0</v>
      </c>
      <c r="H1822" s="767">
        <v>1068.2</v>
      </c>
      <c r="I1822" s="768" t="s">
        <v>1653</v>
      </c>
    </row>
    <row r="1823" spans="1:9" x14ac:dyDescent="0.25">
      <c r="A1823" s="753"/>
      <c r="C1823" s="131">
        <v>450</v>
      </c>
      <c r="D1823" s="131">
        <v>16</v>
      </c>
      <c r="E1823" s="131" t="s">
        <v>1176</v>
      </c>
      <c r="F1823" s="767">
        <v>6380</v>
      </c>
      <c r="G1823" s="767">
        <v>545</v>
      </c>
      <c r="H1823" s="767">
        <v>6925</v>
      </c>
      <c r="I1823" s="768" t="s">
        <v>1654</v>
      </c>
    </row>
    <row r="1824" spans="1:9" x14ac:dyDescent="0.25">
      <c r="A1824" s="753"/>
      <c r="C1824" s="131">
        <v>450</v>
      </c>
      <c r="D1824" s="131">
        <v>16</v>
      </c>
      <c r="E1824" s="131" t="s">
        <v>1655</v>
      </c>
      <c r="F1824" s="767">
        <v>840</v>
      </c>
      <c r="G1824" s="767">
        <v>0</v>
      </c>
      <c r="H1824" s="767">
        <v>840</v>
      </c>
      <c r="I1824" s="768" t="s">
        <v>1656</v>
      </c>
    </row>
    <row r="1825" spans="1:9" x14ac:dyDescent="0.25">
      <c r="A1825" s="753"/>
      <c r="C1825" s="131">
        <v>450</v>
      </c>
      <c r="D1825" s="131">
        <v>16</v>
      </c>
      <c r="E1825" s="131">
        <v>650</v>
      </c>
      <c r="F1825" s="767">
        <v>2730</v>
      </c>
      <c r="G1825" s="767">
        <v>280</v>
      </c>
      <c r="H1825" s="767">
        <v>3010</v>
      </c>
      <c r="I1825" s="768" t="s">
        <v>1657</v>
      </c>
    </row>
    <row r="1826" spans="1:9" x14ac:dyDescent="0.25">
      <c r="A1826" s="753"/>
      <c r="C1826" s="131">
        <v>450</v>
      </c>
      <c r="D1826" s="131">
        <v>16</v>
      </c>
      <c r="E1826" s="131" t="s">
        <v>1174</v>
      </c>
      <c r="F1826" s="767">
        <v>1770</v>
      </c>
      <c r="G1826" s="767">
        <v>0</v>
      </c>
      <c r="H1826" s="767">
        <v>1770</v>
      </c>
      <c r="I1826" s="768" t="s">
        <v>1658</v>
      </c>
    </row>
    <row r="1827" spans="1:9" x14ac:dyDescent="0.25">
      <c r="A1827" s="753">
        <v>704318</v>
      </c>
      <c r="B1827" s="130">
        <v>1584</v>
      </c>
      <c r="E1827" s="131"/>
    </row>
    <row r="1828" spans="1:9" x14ac:dyDescent="0.25">
      <c r="A1828" s="753">
        <v>704322</v>
      </c>
      <c r="B1828" s="130">
        <v>79</v>
      </c>
      <c r="C1828" s="131" t="s">
        <v>1078</v>
      </c>
      <c r="D1828" s="131">
        <v>16</v>
      </c>
      <c r="E1828" s="131" t="s">
        <v>1078</v>
      </c>
      <c r="F1828" s="767">
        <v>-0.4</v>
      </c>
      <c r="G1828" s="767">
        <v>-0.04</v>
      </c>
      <c r="H1828" s="767">
        <v>-0.44</v>
      </c>
      <c r="I1828" s="768" t="s">
        <v>1635</v>
      </c>
    </row>
    <row r="1829" spans="1:9" x14ac:dyDescent="0.25">
      <c r="A1829" s="753"/>
      <c r="C1829" s="131" t="s">
        <v>1078</v>
      </c>
      <c r="D1829" s="131">
        <v>16</v>
      </c>
      <c r="E1829" s="131" t="s">
        <v>1177</v>
      </c>
      <c r="F1829" s="767">
        <v>-0.25</v>
      </c>
      <c r="G1829" s="767">
        <v>-0.02</v>
      </c>
      <c r="H1829" s="767">
        <v>-0.27</v>
      </c>
      <c r="I1829" s="768" t="s">
        <v>1636</v>
      </c>
    </row>
    <row r="1830" spans="1:9" x14ac:dyDescent="0.25">
      <c r="A1830" s="753"/>
      <c r="C1830" s="131" t="s">
        <v>1078</v>
      </c>
      <c r="D1830" s="131">
        <v>16</v>
      </c>
      <c r="E1830" s="131" t="s">
        <v>1637</v>
      </c>
      <c r="F1830" s="767">
        <v>-0.01</v>
      </c>
      <c r="G1830" s="767">
        <v>0</v>
      </c>
      <c r="H1830" s="767">
        <v>-0.01</v>
      </c>
      <c r="I1830" s="768" t="s">
        <v>1638</v>
      </c>
    </row>
    <row r="1831" spans="1:9" x14ac:dyDescent="0.25">
      <c r="A1831" s="753"/>
      <c r="C1831" s="131" t="s">
        <v>1078</v>
      </c>
      <c r="D1831" s="131">
        <v>16</v>
      </c>
      <c r="E1831" s="131" t="s">
        <v>1175</v>
      </c>
      <c r="F1831" s="767">
        <v>-0.05</v>
      </c>
      <c r="G1831" s="767">
        <v>0</v>
      </c>
      <c r="H1831" s="767">
        <v>-0.05</v>
      </c>
      <c r="I1831" s="768" t="s">
        <v>1639</v>
      </c>
    </row>
    <row r="1832" spans="1:9" x14ac:dyDescent="0.25">
      <c r="A1832" s="753"/>
      <c r="C1832" s="131" t="s">
        <v>1078</v>
      </c>
      <c r="D1832" s="131">
        <v>16</v>
      </c>
      <c r="E1832" s="131" t="s">
        <v>1173</v>
      </c>
      <c r="F1832" s="767">
        <v>-0.02</v>
      </c>
      <c r="G1832" s="767">
        <v>0</v>
      </c>
      <c r="H1832" s="767">
        <v>-0.02</v>
      </c>
      <c r="I1832" s="768" t="s">
        <v>1640</v>
      </c>
    </row>
    <row r="1833" spans="1:9" x14ac:dyDescent="0.25">
      <c r="A1833" s="753">
        <v>704324</v>
      </c>
      <c r="B1833" s="130">
        <v>133154</v>
      </c>
      <c r="C1833" s="131">
        <v>450</v>
      </c>
      <c r="D1833" s="131">
        <v>16</v>
      </c>
      <c r="E1833" s="131" t="s">
        <v>296</v>
      </c>
      <c r="F1833" s="767">
        <v>-24681.279999999999</v>
      </c>
      <c r="G1833" s="767">
        <v>-1050.4000000000001</v>
      </c>
      <c r="H1833" s="767">
        <v>-25731.68</v>
      </c>
      <c r="I1833" s="768" t="s">
        <v>1641</v>
      </c>
    </row>
    <row r="1834" spans="1:9" x14ac:dyDescent="0.25">
      <c r="A1834" s="753"/>
      <c r="C1834" s="131">
        <v>450</v>
      </c>
      <c r="D1834" s="131">
        <v>16</v>
      </c>
      <c r="E1834" s="131" t="s">
        <v>1642</v>
      </c>
      <c r="F1834" s="767">
        <v>-1526</v>
      </c>
      <c r="G1834" s="767">
        <v>0</v>
      </c>
      <c r="H1834" s="767">
        <v>-1526</v>
      </c>
      <c r="I1834" s="768" t="s">
        <v>1643</v>
      </c>
    </row>
    <row r="1835" spans="1:9" x14ac:dyDescent="0.25">
      <c r="A1835" s="753"/>
      <c r="C1835" s="131">
        <v>450</v>
      </c>
      <c r="D1835" s="131">
        <v>16</v>
      </c>
      <c r="E1835" s="131">
        <v>450</v>
      </c>
      <c r="F1835" s="767">
        <v>-15561</v>
      </c>
      <c r="G1835" s="767">
        <v>-1596</v>
      </c>
      <c r="H1835" s="767">
        <v>-17157</v>
      </c>
      <c r="I1835" s="768" t="s">
        <v>1644</v>
      </c>
    </row>
    <row r="1836" spans="1:9" x14ac:dyDescent="0.25">
      <c r="A1836" s="753"/>
      <c r="C1836" s="131">
        <v>450</v>
      </c>
      <c r="D1836" s="131">
        <v>16</v>
      </c>
      <c r="E1836" s="131" t="s">
        <v>1645</v>
      </c>
      <c r="F1836" s="767">
        <v>-675</v>
      </c>
      <c r="G1836" s="767">
        <v>0</v>
      </c>
      <c r="H1836" s="767">
        <v>-675</v>
      </c>
      <c r="I1836" s="768" t="s">
        <v>1646</v>
      </c>
    </row>
    <row r="1837" spans="1:9" x14ac:dyDescent="0.25">
      <c r="A1837" s="753"/>
      <c r="C1837" s="131">
        <v>450</v>
      </c>
      <c r="D1837" s="131">
        <v>16</v>
      </c>
      <c r="E1837" s="131" t="s">
        <v>295</v>
      </c>
      <c r="F1837" s="767">
        <v>-9310</v>
      </c>
      <c r="G1837" s="767">
        <v>-545</v>
      </c>
      <c r="H1837" s="767">
        <v>-9855</v>
      </c>
      <c r="I1837" s="768" t="s">
        <v>1647</v>
      </c>
    </row>
    <row r="1838" spans="1:9" x14ac:dyDescent="0.25">
      <c r="A1838" s="753"/>
      <c r="C1838" s="131">
        <v>450</v>
      </c>
      <c r="D1838" s="131">
        <v>16</v>
      </c>
      <c r="E1838" s="131" t="s">
        <v>1648</v>
      </c>
      <c r="F1838" s="767">
        <v>-965</v>
      </c>
      <c r="G1838" s="767">
        <v>0</v>
      </c>
      <c r="H1838" s="767">
        <v>-965</v>
      </c>
      <c r="I1838" s="768" t="s">
        <v>1649</v>
      </c>
    </row>
    <row r="1839" spans="1:9" x14ac:dyDescent="0.25">
      <c r="A1839" s="753"/>
      <c r="C1839" s="131">
        <v>450</v>
      </c>
      <c r="D1839" s="131">
        <v>16</v>
      </c>
      <c r="E1839" s="131" t="s">
        <v>974</v>
      </c>
      <c r="F1839" s="767">
        <v>-80920</v>
      </c>
      <c r="G1839" s="767">
        <v>-7140</v>
      </c>
      <c r="H1839" s="767">
        <v>-88060</v>
      </c>
      <c r="I1839" s="768" t="s">
        <v>1650</v>
      </c>
    </row>
    <row r="1840" spans="1:9" x14ac:dyDescent="0.25">
      <c r="A1840" s="753"/>
      <c r="C1840" s="131">
        <v>450</v>
      </c>
      <c r="D1840" s="131">
        <v>16</v>
      </c>
      <c r="E1840" s="131" t="s">
        <v>292</v>
      </c>
      <c r="F1840" s="767">
        <v>-2798</v>
      </c>
      <c r="G1840" s="767">
        <v>0</v>
      </c>
      <c r="H1840" s="767">
        <v>-2798</v>
      </c>
      <c r="I1840" s="768" t="s">
        <v>1651</v>
      </c>
    </row>
    <row r="1841" spans="1:9" x14ac:dyDescent="0.25">
      <c r="A1841" s="753"/>
      <c r="C1841" s="131">
        <v>450</v>
      </c>
      <c r="D1841" s="131">
        <v>16</v>
      </c>
      <c r="E1841" s="131" t="s">
        <v>1652</v>
      </c>
      <c r="F1841" s="767">
        <v>1068.2</v>
      </c>
      <c r="G1841" s="767">
        <v>0</v>
      </c>
      <c r="H1841" s="767">
        <v>1068.2</v>
      </c>
      <c r="I1841" s="768" t="s">
        <v>1653</v>
      </c>
    </row>
    <row r="1842" spans="1:9" x14ac:dyDescent="0.25">
      <c r="A1842" s="753"/>
      <c r="C1842" s="131">
        <v>450</v>
      </c>
      <c r="D1842" s="131">
        <v>16</v>
      </c>
      <c r="E1842" s="131" t="s">
        <v>1176</v>
      </c>
      <c r="F1842" s="767">
        <v>6380</v>
      </c>
      <c r="G1842" s="767">
        <v>545</v>
      </c>
      <c r="H1842" s="767">
        <v>6925</v>
      </c>
      <c r="I1842" s="768" t="s">
        <v>1654</v>
      </c>
    </row>
    <row r="1843" spans="1:9" x14ac:dyDescent="0.25">
      <c r="A1843" s="753"/>
      <c r="C1843" s="131">
        <v>450</v>
      </c>
      <c r="D1843" s="131">
        <v>16</v>
      </c>
      <c r="E1843" s="131" t="s">
        <v>1655</v>
      </c>
      <c r="F1843" s="767">
        <v>840</v>
      </c>
      <c r="G1843" s="767">
        <v>0</v>
      </c>
      <c r="H1843" s="767">
        <v>840</v>
      </c>
      <c r="I1843" s="768" t="s">
        <v>1656</v>
      </c>
    </row>
    <row r="1844" spans="1:9" x14ac:dyDescent="0.25">
      <c r="A1844" s="753"/>
      <c r="C1844" s="131">
        <v>450</v>
      </c>
      <c r="D1844" s="131">
        <v>16</v>
      </c>
      <c r="E1844" s="131">
        <v>650</v>
      </c>
      <c r="F1844" s="767">
        <v>2730</v>
      </c>
      <c r="G1844" s="767">
        <v>280</v>
      </c>
      <c r="H1844" s="767">
        <v>3010</v>
      </c>
      <c r="I1844" s="768" t="s">
        <v>1657</v>
      </c>
    </row>
    <row r="1845" spans="1:9" x14ac:dyDescent="0.25">
      <c r="A1845" s="753"/>
      <c r="C1845" s="131">
        <v>450</v>
      </c>
      <c r="D1845" s="131">
        <v>16</v>
      </c>
      <c r="E1845" s="131" t="s">
        <v>1174</v>
      </c>
      <c r="F1845" s="767">
        <v>1770</v>
      </c>
      <c r="G1845" s="767">
        <v>0</v>
      </c>
      <c r="H1845" s="767">
        <v>1770</v>
      </c>
      <c r="I1845" s="768" t="s">
        <v>1658</v>
      </c>
    </row>
    <row r="1846" spans="1:9" x14ac:dyDescent="0.25">
      <c r="A1846" s="753">
        <v>704326</v>
      </c>
      <c r="B1846" s="130">
        <v>133154</v>
      </c>
      <c r="C1846" s="131">
        <v>450</v>
      </c>
      <c r="D1846" s="131">
        <v>16</v>
      </c>
      <c r="E1846" s="131" t="s">
        <v>296</v>
      </c>
      <c r="F1846" s="767">
        <v>-24681.279999999999</v>
      </c>
      <c r="G1846" s="767">
        <v>-1050.4000000000001</v>
      </c>
      <c r="H1846" s="767">
        <v>-25731.68</v>
      </c>
      <c r="I1846" s="768" t="s">
        <v>1641</v>
      </c>
    </row>
    <row r="1847" spans="1:9" x14ac:dyDescent="0.25">
      <c r="A1847" s="753"/>
      <c r="C1847" s="131">
        <v>450</v>
      </c>
      <c r="D1847" s="131">
        <v>16</v>
      </c>
      <c r="E1847" s="131" t="s">
        <v>1642</v>
      </c>
      <c r="F1847" s="767">
        <v>-1526</v>
      </c>
      <c r="G1847" s="767">
        <v>0</v>
      </c>
      <c r="H1847" s="767">
        <v>-1526</v>
      </c>
      <c r="I1847" s="768" t="s">
        <v>1643</v>
      </c>
    </row>
    <row r="1848" spans="1:9" x14ac:dyDescent="0.25">
      <c r="A1848" s="753"/>
      <c r="C1848" s="131">
        <v>450</v>
      </c>
      <c r="D1848" s="131">
        <v>16</v>
      </c>
      <c r="E1848" s="131">
        <v>450</v>
      </c>
      <c r="F1848" s="767">
        <v>-15561</v>
      </c>
      <c r="G1848" s="767">
        <v>-1596</v>
      </c>
      <c r="H1848" s="767">
        <v>-17157</v>
      </c>
      <c r="I1848" s="768" t="s">
        <v>1644</v>
      </c>
    </row>
    <row r="1849" spans="1:9" x14ac:dyDescent="0.25">
      <c r="A1849" s="753"/>
      <c r="C1849" s="131">
        <v>450</v>
      </c>
      <c r="D1849" s="131">
        <v>16</v>
      </c>
      <c r="E1849" s="131" t="s">
        <v>1645</v>
      </c>
      <c r="F1849" s="767">
        <v>-675</v>
      </c>
      <c r="G1849" s="767">
        <v>0</v>
      </c>
      <c r="H1849" s="767">
        <v>-675</v>
      </c>
      <c r="I1849" s="768" t="s">
        <v>1646</v>
      </c>
    </row>
    <row r="1850" spans="1:9" x14ac:dyDescent="0.25">
      <c r="A1850" s="753"/>
      <c r="C1850" s="131">
        <v>450</v>
      </c>
      <c r="D1850" s="131">
        <v>16</v>
      </c>
      <c r="E1850" s="131" t="s">
        <v>295</v>
      </c>
      <c r="F1850" s="767">
        <v>-9310</v>
      </c>
      <c r="G1850" s="767">
        <v>-545</v>
      </c>
      <c r="H1850" s="767">
        <v>-9855</v>
      </c>
      <c r="I1850" s="768" t="s">
        <v>1647</v>
      </c>
    </row>
    <row r="1851" spans="1:9" x14ac:dyDescent="0.25">
      <c r="A1851" s="753"/>
      <c r="C1851" s="131">
        <v>450</v>
      </c>
      <c r="D1851" s="131">
        <v>16</v>
      </c>
      <c r="E1851" s="131" t="s">
        <v>1648</v>
      </c>
      <c r="F1851" s="767">
        <v>-965</v>
      </c>
      <c r="G1851" s="767">
        <v>0</v>
      </c>
      <c r="H1851" s="767">
        <v>-965</v>
      </c>
      <c r="I1851" s="768" t="s">
        <v>1649</v>
      </c>
    </row>
    <row r="1852" spans="1:9" x14ac:dyDescent="0.25">
      <c r="A1852" s="753"/>
      <c r="C1852" s="131">
        <v>450</v>
      </c>
      <c r="D1852" s="131">
        <v>16</v>
      </c>
      <c r="E1852" s="131" t="s">
        <v>974</v>
      </c>
      <c r="F1852" s="767">
        <v>-80920</v>
      </c>
      <c r="G1852" s="767">
        <v>-7140</v>
      </c>
      <c r="H1852" s="767">
        <v>-88060</v>
      </c>
      <c r="I1852" s="768" t="s">
        <v>1650</v>
      </c>
    </row>
    <row r="1853" spans="1:9" x14ac:dyDescent="0.25">
      <c r="A1853" s="753"/>
      <c r="C1853" s="131">
        <v>450</v>
      </c>
      <c r="D1853" s="131">
        <v>16</v>
      </c>
      <c r="E1853" s="131" t="s">
        <v>292</v>
      </c>
      <c r="F1853" s="767">
        <v>-2798</v>
      </c>
      <c r="G1853" s="767">
        <v>0</v>
      </c>
      <c r="H1853" s="767">
        <v>-2798</v>
      </c>
      <c r="I1853" s="768" t="s">
        <v>1651</v>
      </c>
    </row>
    <row r="1854" spans="1:9" x14ac:dyDescent="0.25">
      <c r="A1854" s="753"/>
      <c r="C1854" s="131">
        <v>450</v>
      </c>
      <c r="D1854" s="131">
        <v>16</v>
      </c>
      <c r="E1854" s="131" t="s">
        <v>1652</v>
      </c>
      <c r="F1854" s="767">
        <v>1068.2</v>
      </c>
      <c r="G1854" s="767">
        <v>0</v>
      </c>
      <c r="H1854" s="767">
        <v>1068.2</v>
      </c>
      <c r="I1854" s="768" t="s">
        <v>1653</v>
      </c>
    </row>
    <row r="1855" spans="1:9" x14ac:dyDescent="0.25">
      <c r="A1855" s="753"/>
      <c r="C1855" s="131">
        <v>450</v>
      </c>
      <c r="D1855" s="131">
        <v>16</v>
      </c>
      <c r="E1855" s="131" t="s">
        <v>1176</v>
      </c>
      <c r="F1855" s="767">
        <v>6380</v>
      </c>
      <c r="G1855" s="767">
        <v>545</v>
      </c>
      <c r="H1855" s="767">
        <v>6925</v>
      </c>
      <c r="I1855" s="768" t="s">
        <v>1654</v>
      </c>
    </row>
    <row r="1856" spans="1:9" x14ac:dyDescent="0.25">
      <c r="A1856" s="753"/>
      <c r="C1856" s="131">
        <v>450</v>
      </c>
      <c r="D1856" s="131">
        <v>16</v>
      </c>
      <c r="E1856" s="131" t="s">
        <v>1655</v>
      </c>
      <c r="F1856" s="767">
        <v>840</v>
      </c>
      <c r="G1856" s="767">
        <v>0</v>
      </c>
      <c r="H1856" s="767">
        <v>840</v>
      </c>
      <c r="I1856" s="768" t="s">
        <v>1656</v>
      </c>
    </row>
    <row r="1857" spans="1:9" x14ac:dyDescent="0.25">
      <c r="A1857" s="753"/>
      <c r="C1857" s="131">
        <v>450</v>
      </c>
      <c r="D1857" s="131">
        <v>16</v>
      </c>
      <c r="E1857" s="131">
        <v>650</v>
      </c>
      <c r="F1857" s="767">
        <v>2730</v>
      </c>
      <c r="G1857" s="767">
        <v>280</v>
      </c>
      <c r="H1857" s="767">
        <v>3010</v>
      </c>
      <c r="I1857" s="768" t="s">
        <v>1657</v>
      </c>
    </row>
    <row r="1858" spans="1:9" x14ac:dyDescent="0.25">
      <c r="A1858" s="753"/>
      <c r="C1858" s="131">
        <v>450</v>
      </c>
      <c r="D1858" s="131">
        <v>16</v>
      </c>
      <c r="E1858" s="131" t="s">
        <v>1174</v>
      </c>
      <c r="F1858" s="767">
        <v>1770</v>
      </c>
      <c r="G1858" s="767">
        <v>0</v>
      </c>
      <c r="H1858" s="767">
        <v>1770</v>
      </c>
      <c r="I1858" s="768" t="s">
        <v>1658</v>
      </c>
    </row>
    <row r="1859" spans="1:9" x14ac:dyDescent="0.25">
      <c r="A1859" s="753">
        <v>704328</v>
      </c>
      <c r="B1859" s="130">
        <v>1685</v>
      </c>
      <c r="E1859" s="131"/>
    </row>
    <row r="1860" spans="1:9" x14ac:dyDescent="0.25">
      <c r="A1860" s="753">
        <v>704412</v>
      </c>
      <c r="B1860" s="130">
        <v>7</v>
      </c>
      <c r="C1860" s="131" t="s">
        <v>1079</v>
      </c>
      <c r="D1860" s="131">
        <v>16</v>
      </c>
      <c r="E1860" s="131" t="s">
        <v>1659</v>
      </c>
      <c r="F1860" s="767">
        <v>-0.22</v>
      </c>
      <c r="G1860" s="767">
        <v>-0.02</v>
      </c>
      <c r="H1860" s="767">
        <v>-0.24</v>
      </c>
      <c r="I1860" s="768" t="s">
        <v>1660</v>
      </c>
    </row>
    <row r="1861" spans="1:9" x14ac:dyDescent="0.25">
      <c r="A1861" s="753"/>
      <c r="C1861" s="131" t="s">
        <v>1079</v>
      </c>
      <c r="D1861" s="131">
        <v>16</v>
      </c>
      <c r="E1861" s="131" t="s">
        <v>1661</v>
      </c>
      <c r="F1861" s="767">
        <v>-0.52</v>
      </c>
      <c r="G1861" s="767">
        <v>-0.05</v>
      </c>
      <c r="H1861" s="767">
        <v>-0.56999999999999995</v>
      </c>
      <c r="I1861" s="768" t="s">
        <v>1662</v>
      </c>
    </row>
    <row r="1862" spans="1:9" x14ac:dyDescent="0.25">
      <c r="A1862" s="753"/>
      <c r="C1862" s="131" t="s">
        <v>1079</v>
      </c>
      <c r="D1862" s="131">
        <v>16</v>
      </c>
      <c r="E1862" s="131" t="s">
        <v>1663</v>
      </c>
      <c r="F1862" s="767">
        <v>-0.02</v>
      </c>
      <c r="G1862" s="767">
        <v>0</v>
      </c>
      <c r="H1862" s="767">
        <v>-0.02</v>
      </c>
      <c r="I1862" s="768" t="s">
        <v>1664</v>
      </c>
    </row>
    <row r="1863" spans="1:9" x14ac:dyDescent="0.25">
      <c r="A1863" s="753"/>
      <c r="C1863" s="131" t="s">
        <v>1079</v>
      </c>
      <c r="D1863" s="131">
        <v>16</v>
      </c>
      <c r="E1863" s="131" t="s">
        <v>1665</v>
      </c>
      <c r="F1863" s="767">
        <v>-0.01</v>
      </c>
      <c r="G1863" s="767">
        <v>0</v>
      </c>
      <c r="H1863" s="767">
        <v>-0.01</v>
      </c>
      <c r="I1863" s="768" t="s">
        <v>1666</v>
      </c>
    </row>
    <row r="1864" spans="1:9" x14ac:dyDescent="0.25">
      <c r="A1864" s="753">
        <v>704414</v>
      </c>
      <c r="B1864" s="130">
        <v>5836</v>
      </c>
      <c r="C1864" s="131" t="s">
        <v>1080</v>
      </c>
      <c r="D1864" s="131">
        <v>16</v>
      </c>
      <c r="E1864" s="131" t="s">
        <v>1667</v>
      </c>
      <c r="F1864" s="767">
        <v>1160</v>
      </c>
      <c r="G1864" s="767">
        <v>0</v>
      </c>
      <c r="H1864" s="767">
        <v>1160</v>
      </c>
      <c r="I1864" s="768" t="s">
        <v>1668</v>
      </c>
    </row>
    <row r="1865" spans="1:9" x14ac:dyDescent="0.25">
      <c r="A1865" s="753"/>
      <c r="C1865" s="131" t="s">
        <v>1080</v>
      </c>
      <c r="D1865" s="131">
        <v>16</v>
      </c>
      <c r="E1865" s="131" t="s">
        <v>1669</v>
      </c>
      <c r="F1865" s="767">
        <v>-2349</v>
      </c>
      <c r="G1865" s="767">
        <v>0</v>
      </c>
      <c r="H1865" s="767">
        <v>-2349</v>
      </c>
      <c r="I1865" s="768" t="s">
        <v>1670</v>
      </c>
    </row>
    <row r="1866" spans="1:9" x14ac:dyDescent="0.25">
      <c r="A1866" s="753"/>
      <c r="C1866" s="131" t="s">
        <v>1080</v>
      </c>
      <c r="D1866" s="131">
        <v>16</v>
      </c>
      <c r="E1866" s="131" t="s">
        <v>1671</v>
      </c>
      <c r="F1866" s="767">
        <v>1165</v>
      </c>
      <c r="G1866" s="767">
        <v>0</v>
      </c>
      <c r="H1866" s="767">
        <v>1165</v>
      </c>
      <c r="I1866" s="768" t="s">
        <v>1672</v>
      </c>
    </row>
    <row r="1867" spans="1:9" x14ac:dyDescent="0.25">
      <c r="A1867" s="753"/>
      <c r="C1867" s="131" t="s">
        <v>1080</v>
      </c>
      <c r="D1867" s="131">
        <v>16</v>
      </c>
      <c r="E1867" s="131" t="s">
        <v>1673</v>
      </c>
      <c r="F1867" s="767">
        <v>115.05</v>
      </c>
      <c r="G1867" s="767">
        <v>0</v>
      </c>
      <c r="H1867" s="767">
        <v>115.05</v>
      </c>
      <c r="I1867" s="768" t="s">
        <v>1674</v>
      </c>
    </row>
    <row r="1868" spans="1:9" x14ac:dyDescent="0.25">
      <c r="A1868" s="753"/>
      <c r="C1868" s="131" t="s">
        <v>1080</v>
      </c>
      <c r="D1868" s="131">
        <v>16</v>
      </c>
      <c r="E1868" s="131" t="s">
        <v>1675</v>
      </c>
      <c r="F1868" s="767">
        <v>-795</v>
      </c>
      <c r="G1868" s="767">
        <v>0</v>
      </c>
      <c r="H1868" s="767">
        <v>-795</v>
      </c>
      <c r="I1868" s="768" t="s">
        <v>1676</v>
      </c>
    </row>
    <row r="1869" spans="1:9" x14ac:dyDescent="0.25">
      <c r="A1869" s="753"/>
      <c r="C1869" s="131" t="s">
        <v>1080</v>
      </c>
      <c r="D1869" s="131">
        <v>16</v>
      </c>
      <c r="E1869" s="131" t="s">
        <v>1677</v>
      </c>
      <c r="F1869" s="767">
        <v>3640</v>
      </c>
      <c r="G1869" s="767">
        <v>350</v>
      </c>
      <c r="H1869" s="767">
        <v>3990</v>
      </c>
      <c r="I1869" s="768" t="s">
        <v>1678</v>
      </c>
    </row>
    <row r="1870" spans="1:9" x14ac:dyDescent="0.25">
      <c r="A1870" s="753"/>
      <c r="C1870" s="131" t="s">
        <v>1080</v>
      </c>
      <c r="D1870" s="131">
        <v>16</v>
      </c>
      <c r="E1870" s="131" t="s">
        <v>1679</v>
      </c>
      <c r="F1870" s="767">
        <v>-20748</v>
      </c>
      <c r="G1870" s="767">
        <v>-1995</v>
      </c>
      <c r="H1870" s="767">
        <v>-22743</v>
      </c>
      <c r="I1870" s="768" t="s">
        <v>1680</v>
      </c>
    </row>
    <row r="1871" spans="1:9" x14ac:dyDescent="0.25">
      <c r="A1871" s="753"/>
      <c r="C1871" s="131" t="s">
        <v>1080</v>
      </c>
      <c r="D1871" s="131">
        <v>16</v>
      </c>
      <c r="E1871" s="131" t="s">
        <v>1681</v>
      </c>
      <c r="F1871" s="767">
        <v>670</v>
      </c>
      <c r="G1871" s="767">
        <v>0</v>
      </c>
      <c r="H1871" s="767">
        <v>670</v>
      </c>
      <c r="I1871" s="768" t="s">
        <v>1682</v>
      </c>
    </row>
    <row r="1872" spans="1:9" x14ac:dyDescent="0.25">
      <c r="A1872" s="753"/>
      <c r="C1872" s="131" t="s">
        <v>1080</v>
      </c>
      <c r="D1872" s="131">
        <v>16</v>
      </c>
      <c r="E1872" s="131" t="s">
        <v>1683</v>
      </c>
      <c r="F1872" s="767">
        <v>-1199</v>
      </c>
      <c r="G1872" s="767">
        <v>0</v>
      </c>
      <c r="H1872" s="767">
        <v>-1199</v>
      </c>
      <c r="I1872" s="768" t="s">
        <v>1684</v>
      </c>
    </row>
    <row r="1873" spans="1:9" x14ac:dyDescent="0.25">
      <c r="A1873" s="753"/>
      <c r="C1873" s="131" t="s">
        <v>1080</v>
      </c>
      <c r="D1873" s="131">
        <v>16</v>
      </c>
      <c r="E1873" s="131" t="s">
        <v>1685</v>
      </c>
      <c r="F1873" s="767">
        <v>-14936.54</v>
      </c>
      <c r="G1873" s="767">
        <v>-4190.53</v>
      </c>
      <c r="H1873" s="767">
        <v>-19127.07</v>
      </c>
      <c r="I1873" s="768" t="s">
        <v>1686</v>
      </c>
    </row>
    <row r="1874" spans="1:9" x14ac:dyDescent="0.25">
      <c r="A1874" s="753"/>
      <c r="C1874" s="131" t="s">
        <v>1080</v>
      </c>
      <c r="D1874" s="131">
        <v>16</v>
      </c>
      <c r="E1874" s="131" t="s">
        <v>1687</v>
      </c>
      <c r="F1874" s="767">
        <v>-3765</v>
      </c>
      <c r="G1874" s="767">
        <v>0</v>
      </c>
      <c r="H1874" s="767">
        <v>-3765</v>
      </c>
      <c r="I1874" s="768" t="s">
        <v>1688</v>
      </c>
    </row>
    <row r="1875" spans="1:9" x14ac:dyDescent="0.25">
      <c r="A1875" s="753">
        <v>704416</v>
      </c>
      <c r="B1875" s="130">
        <v>5836</v>
      </c>
      <c r="C1875" s="131" t="s">
        <v>1080</v>
      </c>
      <c r="D1875" s="131">
        <v>16</v>
      </c>
      <c r="E1875" s="131" t="s">
        <v>1667</v>
      </c>
      <c r="F1875" s="767">
        <v>1160</v>
      </c>
      <c r="G1875" s="767">
        <v>0</v>
      </c>
      <c r="H1875" s="767">
        <v>1160</v>
      </c>
      <c r="I1875" s="768" t="s">
        <v>1668</v>
      </c>
    </row>
    <row r="1876" spans="1:9" x14ac:dyDescent="0.25">
      <c r="A1876" s="753"/>
      <c r="C1876" s="131" t="s">
        <v>1080</v>
      </c>
      <c r="D1876" s="131">
        <v>16</v>
      </c>
      <c r="E1876" s="131" t="s">
        <v>1669</v>
      </c>
      <c r="F1876" s="767">
        <v>-2349</v>
      </c>
      <c r="G1876" s="767">
        <v>0</v>
      </c>
      <c r="H1876" s="767">
        <v>-2349</v>
      </c>
      <c r="I1876" s="768" t="s">
        <v>1670</v>
      </c>
    </row>
    <row r="1877" spans="1:9" x14ac:dyDescent="0.25">
      <c r="A1877" s="753"/>
      <c r="C1877" s="131" t="s">
        <v>1080</v>
      </c>
      <c r="D1877" s="131">
        <v>16</v>
      </c>
      <c r="E1877" s="131" t="s">
        <v>1671</v>
      </c>
      <c r="F1877" s="767">
        <v>1165</v>
      </c>
      <c r="G1877" s="767">
        <v>0</v>
      </c>
      <c r="H1877" s="767">
        <v>1165</v>
      </c>
      <c r="I1877" s="768" t="s">
        <v>1672</v>
      </c>
    </row>
    <row r="1878" spans="1:9" x14ac:dyDescent="0.25">
      <c r="A1878" s="753"/>
      <c r="C1878" s="131" t="s">
        <v>1080</v>
      </c>
      <c r="D1878" s="131">
        <v>16</v>
      </c>
      <c r="E1878" s="131" t="s">
        <v>1673</v>
      </c>
      <c r="F1878" s="767">
        <v>115.05</v>
      </c>
      <c r="G1878" s="767">
        <v>0</v>
      </c>
      <c r="H1878" s="767">
        <v>115.05</v>
      </c>
      <c r="I1878" s="768" t="s">
        <v>1674</v>
      </c>
    </row>
    <row r="1879" spans="1:9" x14ac:dyDescent="0.25">
      <c r="A1879" s="753"/>
      <c r="C1879" s="131" t="s">
        <v>1080</v>
      </c>
      <c r="D1879" s="131">
        <v>16</v>
      </c>
      <c r="E1879" s="131" t="s">
        <v>1675</v>
      </c>
      <c r="F1879" s="767">
        <v>-795</v>
      </c>
      <c r="G1879" s="767">
        <v>0</v>
      </c>
      <c r="H1879" s="767">
        <v>-795</v>
      </c>
      <c r="I1879" s="768" t="s">
        <v>1676</v>
      </c>
    </row>
    <row r="1880" spans="1:9" x14ac:dyDescent="0.25">
      <c r="A1880" s="753"/>
      <c r="C1880" s="131" t="s">
        <v>1080</v>
      </c>
      <c r="D1880" s="131">
        <v>16</v>
      </c>
      <c r="E1880" s="131" t="s">
        <v>1677</v>
      </c>
      <c r="F1880" s="767">
        <v>3640</v>
      </c>
      <c r="G1880" s="767">
        <v>350</v>
      </c>
      <c r="H1880" s="767">
        <v>3990</v>
      </c>
      <c r="I1880" s="768" t="s">
        <v>1678</v>
      </c>
    </row>
    <row r="1881" spans="1:9" x14ac:dyDescent="0.25">
      <c r="A1881" s="753"/>
      <c r="C1881" s="131" t="s">
        <v>1080</v>
      </c>
      <c r="D1881" s="131">
        <v>16</v>
      </c>
      <c r="E1881" s="131" t="s">
        <v>1679</v>
      </c>
      <c r="F1881" s="767">
        <v>-20748</v>
      </c>
      <c r="G1881" s="767">
        <v>-1995</v>
      </c>
      <c r="H1881" s="767">
        <v>-22743</v>
      </c>
      <c r="I1881" s="768" t="s">
        <v>1680</v>
      </c>
    </row>
    <row r="1882" spans="1:9" x14ac:dyDescent="0.25">
      <c r="A1882" s="753"/>
      <c r="C1882" s="131" t="s">
        <v>1080</v>
      </c>
      <c r="D1882" s="131">
        <v>16</v>
      </c>
      <c r="E1882" s="131" t="s">
        <v>1681</v>
      </c>
      <c r="F1882" s="767">
        <v>670</v>
      </c>
      <c r="G1882" s="767">
        <v>0</v>
      </c>
      <c r="H1882" s="767">
        <v>670</v>
      </c>
      <c r="I1882" s="768" t="s">
        <v>1682</v>
      </c>
    </row>
    <row r="1883" spans="1:9" x14ac:dyDescent="0.25">
      <c r="A1883" s="753"/>
      <c r="C1883" s="131" t="s">
        <v>1080</v>
      </c>
      <c r="D1883" s="131">
        <v>16</v>
      </c>
      <c r="E1883" s="131" t="s">
        <v>1683</v>
      </c>
      <c r="F1883" s="767">
        <v>-1199</v>
      </c>
      <c r="G1883" s="767">
        <v>0</v>
      </c>
      <c r="H1883" s="767">
        <v>-1199</v>
      </c>
      <c r="I1883" s="768" t="s">
        <v>1684</v>
      </c>
    </row>
    <row r="1884" spans="1:9" x14ac:dyDescent="0.25">
      <c r="A1884" s="753"/>
      <c r="C1884" s="131" t="s">
        <v>1080</v>
      </c>
      <c r="D1884" s="131">
        <v>16</v>
      </c>
      <c r="E1884" s="131" t="s">
        <v>1685</v>
      </c>
      <c r="F1884" s="767">
        <v>-14936.54</v>
      </c>
      <c r="G1884" s="767">
        <v>-4190.53</v>
      </c>
      <c r="H1884" s="767">
        <v>-19127.07</v>
      </c>
      <c r="I1884" s="768" t="s">
        <v>1686</v>
      </c>
    </row>
    <row r="1885" spans="1:9" x14ac:dyDescent="0.25">
      <c r="A1885" s="753"/>
      <c r="C1885" s="131" t="s">
        <v>1080</v>
      </c>
      <c r="D1885" s="131">
        <v>16</v>
      </c>
      <c r="E1885" s="131" t="s">
        <v>1687</v>
      </c>
      <c r="F1885" s="767">
        <v>-3765</v>
      </c>
      <c r="G1885" s="767">
        <v>0</v>
      </c>
      <c r="H1885" s="767">
        <v>-3765</v>
      </c>
      <c r="I1885" s="768" t="s">
        <v>1688</v>
      </c>
    </row>
    <row r="1886" spans="1:9" x14ac:dyDescent="0.25">
      <c r="A1886" s="753">
        <v>704418</v>
      </c>
      <c r="B1886" s="130">
        <v>834</v>
      </c>
      <c r="E1886" s="131"/>
    </row>
    <row r="1887" spans="1:9" x14ac:dyDescent="0.25">
      <c r="A1887" s="753">
        <v>704422</v>
      </c>
      <c r="B1887" s="130">
        <v>84</v>
      </c>
      <c r="C1887" s="131" t="s">
        <v>1079</v>
      </c>
      <c r="D1887" s="131">
        <v>16</v>
      </c>
      <c r="E1887" s="131" t="s">
        <v>1659</v>
      </c>
      <c r="F1887" s="767">
        <v>-0.22</v>
      </c>
      <c r="G1887" s="767">
        <v>-0.02</v>
      </c>
      <c r="H1887" s="767">
        <v>-0.24</v>
      </c>
      <c r="I1887" s="768" t="s">
        <v>1660</v>
      </c>
    </row>
    <row r="1888" spans="1:9" x14ac:dyDescent="0.25">
      <c r="A1888" s="753"/>
      <c r="C1888" s="131" t="s">
        <v>1079</v>
      </c>
      <c r="D1888" s="131">
        <v>16</v>
      </c>
      <c r="E1888" s="131" t="s">
        <v>1661</v>
      </c>
      <c r="F1888" s="767">
        <v>-0.52</v>
      </c>
      <c r="G1888" s="767">
        <v>-0.05</v>
      </c>
      <c r="H1888" s="767">
        <v>-0.56999999999999995</v>
      </c>
      <c r="I1888" s="768" t="s">
        <v>1662</v>
      </c>
    </row>
    <row r="1889" spans="1:9" x14ac:dyDescent="0.25">
      <c r="A1889" s="753"/>
      <c r="C1889" s="131" t="s">
        <v>1079</v>
      </c>
      <c r="D1889" s="131">
        <v>16</v>
      </c>
      <c r="E1889" s="131" t="s">
        <v>1663</v>
      </c>
      <c r="F1889" s="767">
        <v>-0.02</v>
      </c>
      <c r="G1889" s="767">
        <v>0</v>
      </c>
      <c r="H1889" s="767">
        <v>-0.02</v>
      </c>
      <c r="I1889" s="768" t="s">
        <v>1664</v>
      </c>
    </row>
    <row r="1890" spans="1:9" x14ac:dyDescent="0.25">
      <c r="A1890" s="753"/>
      <c r="C1890" s="131" t="s">
        <v>1079</v>
      </c>
      <c r="D1890" s="131">
        <v>16</v>
      </c>
      <c r="E1890" s="131" t="s">
        <v>1665</v>
      </c>
      <c r="F1890" s="767">
        <v>-0.01</v>
      </c>
      <c r="G1890" s="767">
        <v>0</v>
      </c>
      <c r="H1890" s="767">
        <v>-0.01</v>
      </c>
      <c r="I1890" s="768" t="s">
        <v>1666</v>
      </c>
    </row>
    <row r="1891" spans="1:9" x14ac:dyDescent="0.25">
      <c r="A1891" s="753">
        <v>704424</v>
      </c>
      <c r="B1891" s="130">
        <v>42878</v>
      </c>
      <c r="C1891" s="131" t="s">
        <v>1080</v>
      </c>
      <c r="D1891" s="131">
        <v>16</v>
      </c>
      <c r="E1891" s="131" t="s">
        <v>1667</v>
      </c>
      <c r="F1891" s="767">
        <v>1160</v>
      </c>
      <c r="G1891" s="767">
        <v>0</v>
      </c>
      <c r="H1891" s="767">
        <v>1160</v>
      </c>
      <c r="I1891" s="768" t="s">
        <v>1668</v>
      </c>
    </row>
    <row r="1892" spans="1:9" x14ac:dyDescent="0.25">
      <c r="A1892" s="753"/>
      <c r="C1892" s="131" t="s">
        <v>1080</v>
      </c>
      <c r="D1892" s="131">
        <v>16</v>
      </c>
      <c r="E1892" s="131" t="s">
        <v>1669</v>
      </c>
      <c r="F1892" s="767">
        <v>-2349</v>
      </c>
      <c r="G1892" s="767">
        <v>0</v>
      </c>
      <c r="H1892" s="767">
        <v>-2349</v>
      </c>
      <c r="I1892" s="768" t="s">
        <v>1670</v>
      </c>
    </row>
    <row r="1893" spans="1:9" x14ac:dyDescent="0.25">
      <c r="A1893" s="753"/>
      <c r="C1893" s="131" t="s">
        <v>1080</v>
      </c>
      <c r="D1893" s="131">
        <v>16</v>
      </c>
      <c r="E1893" s="131" t="s">
        <v>1671</v>
      </c>
      <c r="F1893" s="767">
        <v>1165</v>
      </c>
      <c r="G1893" s="767">
        <v>0</v>
      </c>
      <c r="H1893" s="767">
        <v>1165</v>
      </c>
      <c r="I1893" s="768" t="s">
        <v>1672</v>
      </c>
    </row>
    <row r="1894" spans="1:9" x14ac:dyDescent="0.25">
      <c r="A1894" s="753"/>
      <c r="C1894" s="131" t="s">
        <v>1080</v>
      </c>
      <c r="D1894" s="131">
        <v>16</v>
      </c>
      <c r="E1894" s="131" t="s">
        <v>1673</v>
      </c>
      <c r="F1894" s="767">
        <v>115.05</v>
      </c>
      <c r="G1894" s="767">
        <v>0</v>
      </c>
      <c r="H1894" s="767">
        <v>115.05</v>
      </c>
      <c r="I1894" s="768" t="s">
        <v>1674</v>
      </c>
    </row>
    <row r="1895" spans="1:9" x14ac:dyDescent="0.25">
      <c r="A1895" s="753"/>
      <c r="C1895" s="131" t="s">
        <v>1080</v>
      </c>
      <c r="D1895" s="131">
        <v>16</v>
      </c>
      <c r="E1895" s="131" t="s">
        <v>1675</v>
      </c>
      <c r="F1895" s="767">
        <v>-795</v>
      </c>
      <c r="G1895" s="767">
        <v>0</v>
      </c>
      <c r="H1895" s="767">
        <v>-795</v>
      </c>
      <c r="I1895" s="768" t="s">
        <v>1676</v>
      </c>
    </row>
    <row r="1896" spans="1:9" x14ac:dyDescent="0.25">
      <c r="A1896" s="753"/>
      <c r="C1896" s="131" t="s">
        <v>1080</v>
      </c>
      <c r="D1896" s="131">
        <v>16</v>
      </c>
      <c r="E1896" s="131" t="s">
        <v>1677</v>
      </c>
      <c r="F1896" s="767">
        <v>3640</v>
      </c>
      <c r="G1896" s="767">
        <v>350</v>
      </c>
      <c r="H1896" s="767">
        <v>3990</v>
      </c>
      <c r="I1896" s="768" t="s">
        <v>1678</v>
      </c>
    </row>
    <row r="1897" spans="1:9" x14ac:dyDescent="0.25">
      <c r="A1897" s="753"/>
      <c r="C1897" s="131" t="s">
        <v>1080</v>
      </c>
      <c r="D1897" s="131">
        <v>16</v>
      </c>
      <c r="E1897" s="131" t="s">
        <v>1679</v>
      </c>
      <c r="F1897" s="767">
        <v>-20748</v>
      </c>
      <c r="G1897" s="767">
        <v>-1995</v>
      </c>
      <c r="H1897" s="767">
        <v>-22743</v>
      </c>
      <c r="I1897" s="768" t="s">
        <v>1680</v>
      </c>
    </row>
    <row r="1898" spans="1:9" x14ac:dyDescent="0.25">
      <c r="A1898" s="753"/>
      <c r="C1898" s="131" t="s">
        <v>1080</v>
      </c>
      <c r="D1898" s="131">
        <v>16</v>
      </c>
      <c r="E1898" s="131" t="s">
        <v>1681</v>
      </c>
      <c r="F1898" s="767">
        <v>670</v>
      </c>
      <c r="G1898" s="767">
        <v>0</v>
      </c>
      <c r="H1898" s="767">
        <v>670</v>
      </c>
      <c r="I1898" s="768" t="s">
        <v>1682</v>
      </c>
    </row>
    <row r="1899" spans="1:9" x14ac:dyDescent="0.25">
      <c r="A1899" s="753"/>
      <c r="C1899" s="131" t="s">
        <v>1080</v>
      </c>
      <c r="D1899" s="131">
        <v>16</v>
      </c>
      <c r="E1899" s="131" t="s">
        <v>1683</v>
      </c>
      <c r="F1899" s="767">
        <v>-1199</v>
      </c>
      <c r="G1899" s="767">
        <v>0</v>
      </c>
      <c r="H1899" s="767">
        <v>-1199</v>
      </c>
      <c r="I1899" s="768" t="s">
        <v>1684</v>
      </c>
    </row>
    <row r="1900" spans="1:9" x14ac:dyDescent="0.25">
      <c r="A1900" s="753"/>
      <c r="C1900" s="131" t="s">
        <v>1080</v>
      </c>
      <c r="D1900" s="131">
        <v>16</v>
      </c>
      <c r="E1900" s="131" t="s">
        <v>1685</v>
      </c>
      <c r="F1900" s="767">
        <v>-14936.54</v>
      </c>
      <c r="G1900" s="767">
        <v>-4190.53</v>
      </c>
      <c r="H1900" s="767">
        <v>-19127.07</v>
      </c>
      <c r="I1900" s="768" t="s">
        <v>1686</v>
      </c>
    </row>
    <row r="1901" spans="1:9" x14ac:dyDescent="0.25">
      <c r="A1901" s="753"/>
      <c r="C1901" s="131" t="s">
        <v>1080</v>
      </c>
      <c r="D1901" s="131">
        <v>16</v>
      </c>
      <c r="E1901" s="131" t="s">
        <v>1687</v>
      </c>
      <c r="F1901" s="767">
        <v>-3765</v>
      </c>
      <c r="G1901" s="767">
        <v>0</v>
      </c>
      <c r="H1901" s="767">
        <v>-3765</v>
      </c>
      <c r="I1901" s="768" t="s">
        <v>1688</v>
      </c>
    </row>
    <row r="1902" spans="1:9" x14ac:dyDescent="0.25">
      <c r="A1902" s="753">
        <v>704426</v>
      </c>
      <c r="B1902" s="130">
        <v>42878</v>
      </c>
      <c r="C1902" s="131" t="s">
        <v>1080</v>
      </c>
      <c r="D1902" s="131">
        <v>16</v>
      </c>
      <c r="E1902" s="131" t="s">
        <v>1667</v>
      </c>
      <c r="F1902" s="767">
        <v>1160</v>
      </c>
      <c r="G1902" s="767">
        <v>0</v>
      </c>
      <c r="H1902" s="767">
        <v>1160</v>
      </c>
      <c r="I1902" s="768" t="s">
        <v>1668</v>
      </c>
    </row>
    <row r="1903" spans="1:9" x14ac:dyDescent="0.25">
      <c r="A1903" s="753"/>
      <c r="C1903" s="131" t="s">
        <v>1080</v>
      </c>
      <c r="D1903" s="131">
        <v>16</v>
      </c>
      <c r="E1903" s="131" t="s">
        <v>1669</v>
      </c>
      <c r="F1903" s="767">
        <v>-2349</v>
      </c>
      <c r="G1903" s="767">
        <v>0</v>
      </c>
      <c r="H1903" s="767">
        <v>-2349</v>
      </c>
      <c r="I1903" s="768" t="s">
        <v>1670</v>
      </c>
    </row>
    <row r="1904" spans="1:9" x14ac:dyDescent="0.25">
      <c r="A1904" s="753"/>
      <c r="C1904" s="131" t="s">
        <v>1080</v>
      </c>
      <c r="D1904" s="131">
        <v>16</v>
      </c>
      <c r="E1904" s="131" t="s">
        <v>1671</v>
      </c>
      <c r="F1904" s="767">
        <v>1165</v>
      </c>
      <c r="G1904" s="767">
        <v>0</v>
      </c>
      <c r="H1904" s="767">
        <v>1165</v>
      </c>
      <c r="I1904" s="768" t="s">
        <v>1672</v>
      </c>
    </row>
    <row r="1905" spans="1:9" x14ac:dyDescent="0.25">
      <c r="A1905" s="753"/>
      <c r="C1905" s="131" t="s">
        <v>1080</v>
      </c>
      <c r="D1905" s="131">
        <v>16</v>
      </c>
      <c r="E1905" s="131" t="s">
        <v>1673</v>
      </c>
      <c r="F1905" s="767">
        <v>115.05</v>
      </c>
      <c r="G1905" s="767">
        <v>0</v>
      </c>
      <c r="H1905" s="767">
        <v>115.05</v>
      </c>
      <c r="I1905" s="768" t="s">
        <v>1674</v>
      </c>
    </row>
    <row r="1906" spans="1:9" x14ac:dyDescent="0.25">
      <c r="A1906" s="753"/>
      <c r="C1906" s="131" t="s">
        <v>1080</v>
      </c>
      <c r="D1906" s="131">
        <v>16</v>
      </c>
      <c r="E1906" s="131" t="s">
        <v>1675</v>
      </c>
      <c r="F1906" s="767">
        <v>-795</v>
      </c>
      <c r="G1906" s="767">
        <v>0</v>
      </c>
      <c r="H1906" s="767">
        <v>-795</v>
      </c>
      <c r="I1906" s="768" t="s">
        <v>1676</v>
      </c>
    </row>
    <row r="1907" spans="1:9" x14ac:dyDescent="0.25">
      <c r="A1907" s="753"/>
      <c r="C1907" s="131" t="s">
        <v>1080</v>
      </c>
      <c r="D1907" s="131">
        <v>16</v>
      </c>
      <c r="E1907" s="131" t="s">
        <v>1677</v>
      </c>
      <c r="F1907" s="767">
        <v>3640</v>
      </c>
      <c r="G1907" s="767">
        <v>350</v>
      </c>
      <c r="H1907" s="767">
        <v>3990</v>
      </c>
      <c r="I1907" s="768" t="s">
        <v>1678</v>
      </c>
    </row>
    <row r="1908" spans="1:9" x14ac:dyDescent="0.25">
      <c r="A1908" s="753"/>
      <c r="C1908" s="131" t="s">
        <v>1080</v>
      </c>
      <c r="D1908" s="131">
        <v>16</v>
      </c>
      <c r="E1908" s="131" t="s">
        <v>1679</v>
      </c>
      <c r="F1908" s="767">
        <v>-20748</v>
      </c>
      <c r="G1908" s="767">
        <v>-1995</v>
      </c>
      <c r="H1908" s="767">
        <v>-22743</v>
      </c>
      <c r="I1908" s="768" t="s">
        <v>1680</v>
      </c>
    </row>
    <row r="1909" spans="1:9" x14ac:dyDescent="0.25">
      <c r="A1909" s="753"/>
      <c r="C1909" s="131" t="s">
        <v>1080</v>
      </c>
      <c r="D1909" s="131">
        <v>16</v>
      </c>
      <c r="E1909" s="131" t="s">
        <v>1681</v>
      </c>
      <c r="F1909" s="767">
        <v>670</v>
      </c>
      <c r="G1909" s="767">
        <v>0</v>
      </c>
      <c r="H1909" s="767">
        <v>670</v>
      </c>
      <c r="I1909" s="768" t="s">
        <v>1682</v>
      </c>
    </row>
    <row r="1910" spans="1:9" x14ac:dyDescent="0.25">
      <c r="A1910" s="753"/>
      <c r="C1910" s="131" t="s">
        <v>1080</v>
      </c>
      <c r="D1910" s="131">
        <v>16</v>
      </c>
      <c r="E1910" s="131" t="s">
        <v>1683</v>
      </c>
      <c r="F1910" s="767">
        <v>-1199</v>
      </c>
      <c r="G1910" s="767">
        <v>0</v>
      </c>
      <c r="H1910" s="767">
        <v>-1199</v>
      </c>
      <c r="I1910" s="768" t="s">
        <v>1684</v>
      </c>
    </row>
    <row r="1911" spans="1:9" x14ac:dyDescent="0.25">
      <c r="A1911" s="753"/>
      <c r="C1911" s="131" t="s">
        <v>1080</v>
      </c>
      <c r="D1911" s="131">
        <v>16</v>
      </c>
      <c r="E1911" s="131" t="s">
        <v>1685</v>
      </c>
      <c r="F1911" s="767">
        <v>-14936.54</v>
      </c>
      <c r="G1911" s="767">
        <v>-4190.53</v>
      </c>
      <c r="H1911" s="767">
        <v>-19127.07</v>
      </c>
      <c r="I1911" s="768" t="s">
        <v>1686</v>
      </c>
    </row>
    <row r="1912" spans="1:9" x14ac:dyDescent="0.25">
      <c r="A1912" s="753"/>
      <c r="C1912" s="131" t="s">
        <v>1080</v>
      </c>
      <c r="D1912" s="131">
        <v>16</v>
      </c>
      <c r="E1912" s="131" t="s">
        <v>1687</v>
      </c>
      <c r="F1912" s="767">
        <v>-3765</v>
      </c>
      <c r="G1912" s="767">
        <v>0</v>
      </c>
      <c r="H1912" s="767">
        <v>-3765</v>
      </c>
      <c r="I1912" s="768" t="s">
        <v>1688</v>
      </c>
    </row>
    <row r="1913" spans="1:9" x14ac:dyDescent="0.25">
      <c r="A1913" s="753">
        <v>704428</v>
      </c>
      <c r="B1913" s="130">
        <v>510</v>
      </c>
      <c r="E1913" s="131"/>
    </row>
    <row r="1914" spans="1:9" x14ac:dyDescent="0.25">
      <c r="A1914" s="753">
        <v>704512</v>
      </c>
      <c r="B1914" s="130">
        <v>2</v>
      </c>
      <c r="C1914" s="131" t="s">
        <v>1082</v>
      </c>
      <c r="D1914" s="131">
        <v>16</v>
      </c>
      <c r="E1914" s="131" t="s">
        <v>1082</v>
      </c>
      <c r="F1914" s="767">
        <v>-0.18</v>
      </c>
      <c r="G1914" s="767">
        <v>-0.02</v>
      </c>
      <c r="H1914" s="767">
        <v>-0.2</v>
      </c>
      <c r="I1914" s="768" t="s">
        <v>1689</v>
      </c>
    </row>
    <row r="1915" spans="1:9" x14ac:dyDescent="0.25">
      <c r="A1915" s="753">
        <v>704514</v>
      </c>
      <c r="B1915" s="130">
        <v>7344</v>
      </c>
      <c r="C1915" s="131">
        <v>452</v>
      </c>
      <c r="D1915" s="131">
        <v>16</v>
      </c>
      <c r="E1915" s="131">
        <v>452</v>
      </c>
      <c r="F1915" s="767">
        <v>-123190.19</v>
      </c>
      <c r="G1915" s="767">
        <v>-7344</v>
      </c>
      <c r="H1915" s="767">
        <v>-130534.19</v>
      </c>
      <c r="I1915" s="768" t="s">
        <v>1690</v>
      </c>
    </row>
    <row r="1916" spans="1:9" x14ac:dyDescent="0.25">
      <c r="A1916" s="753">
        <v>704516</v>
      </c>
      <c r="B1916" s="130">
        <v>1616</v>
      </c>
      <c r="C1916" s="131">
        <v>452</v>
      </c>
      <c r="D1916" s="131">
        <v>16</v>
      </c>
      <c r="E1916" s="131">
        <v>452</v>
      </c>
      <c r="F1916" s="767">
        <v>-123190.19</v>
      </c>
      <c r="G1916" s="767">
        <v>-7344</v>
      </c>
      <c r="H1916" s="767">
        <v>-130534.19</v>
      </c>
      <c r="I1916" s="768" t="s">
        <v>1690</v>
      </c>
    </row>
    <row r="1917" spans="1:9" x14ac:dyDescent="0.25">
      <c r="A1917" s="753"/>
      <c r="C1917" s="131">
        <v>652</v>
      </c>
      <c r="D1917" s="131">
        <v>16</v>
      </c>
      <c r="E1917" s="131">
        <v>652</v>
      </c>
      <c r="F1917" s="767">
        <v>75857</v>
      </c>
      <c r="G1917" s="767">
        <v>5728</v>
      </c>
      <c r="H1917" s="767">
        <v>81585</v>
      </c>
      <c r="I1917" s="768" t="s">
        <v>1691</v>
      </c>
    </row>
    <row r="1918" spans="1:9" x14ac:dyDescent="0.25">
      <c r="A1918" s="753">
        <v>704518</v>
      </c>
      <c r="B1918" s="130">
        <v>808</v>
      </c>
      <c r="E1918" s="131"/>
    </row>
    <row r="1919" spans="1:9" x14ac:dyDescent="0.25">
      <c r="A1919" s="753">
        <v>704522</v>
      </c>
      <c r="B1919" s="130">
        <v>20</v>
      </c>
      <c r="C1919" s="131" t="s">
        <v>1082</v>
      </c>
      <c r="D1919" s="131">
        <v>16</v>
      </c>
      <c r="E1919" s="131" t="s">
        <v>1082</v>
      </c>
      <c r="F1919" s="767">
        <v>-0.18</v>
      </c>
      <c r="G1919" s="767">
        <v>-0.02</v>
      </c>
      <c r="H1919" s="767">
        <v>-0.2</v>
      </c>
      <c r="I1919" s="768" t="s">
        <v>1689</v>
      </c>
    </row>
    <row r="1920" spans="1:9" x14ac:dyDescent="0.25">
      <c r="A1920" s="753">
        <v>704524</v>
      </c>
      <c r="B1920" s="130">
        <v>130534</v>
      </c>
      <c r="C1920" s="131">
        <v>452</v>
      </c>
      <c r="D1920" s="131">
        <v>16</v>
      </c>
      <c r="E1920" s="131">
        <v>452</v>
      </c>
      <c r="F1920" s="767">
        <v>-123190.19</v>
      </c>
      <c r="G1920" s="767">
        <v>-7344</v>
      </c>
      <c r="H1920" s="767">
        <v>-130534.19</v>
      </c>
      <c r="I1920" s="768" t="s">
        <v>1690</v>
      </c>
    </row>
    <row r="1921" spans="1:9" x14ac:dyDescent="0.25">
      <c r="A1921" s="753">
        <v>704526</v>
      </c>
      <c r="B1921" s="130">
        <v>48949</v>
      </c>
      <c r="C1921" s="131">
        <v>452</v>
      </c>
      <c r="D1921" s="131">
        <v>16</v>
      </c>
      <c r="E1921" s="131">
        <v>452</v>
      </c>
      <c r="F1921" s="767">
        <v>-123190.19</v>
      </c>
      <c r="G1921" s="767">
        <v>-7344</v>
      </c>
      <c r="H1921" s="767">
        <v>-130534.19</v>
      </c>
      <c r="I1921" s="768" t="s">
        <v>1690</v>
      </c>
    </row>
    <row r="1922" spans="1:9" x14ac:dyDescent="0.25">
      <c r="A1922" s="753"/>
      <c r="C1922" s="131">
        <v>652</v>
      </c>
      <c r="D1922" s="131">
        <v>16</v>
      </c>
      <c r="E1922" s="131">
        <v>652</v>
      </c>
      <c r="F1922" s="767">
        <v>75857</v>
      </c>
      <c r="G1922" s="767">
        <v>5728</v>
      </c>
      <c r="H1922" s="767">
        <v>81585</v>
      </c>
      <c r="I1922" s="768" t="s">
        <v>1691</v>
      </c>
    </row>
    <row r="1923" spans="1:9" x14ac:dyDescent="0.25">
      <c r="A1923" s="753">
        <v>704528</v>
      </c>
      <c r="B1923" s="130">
        <v>2447</v>
      </c>
      <c r="E1923" s="131"/>
    </row>
    <row r="1924" spans="1:9" x14ac:dyDescent="0.25">
      <c r="A1924" s="753">
        <v>704612</v>
      </c>
      <c r="B1924" s="130">
        <v>0</v>
      </c>
      <c r="C1924" s="131" t="s">
        <v>1692</v>
      </c>
      <c r="D1924" s="131">
        <v>16</v>
      </c>
      <c r="E1924" s="131" t="s">
        <v>1692</v>
      </c>
      <c r="F1924" s="767">
        <v>-0.22</v>
      </c>
      <c r="G1924" s="767">
        <v>0</v>
      </c>
      <c r="H1924" s="767">
        <v>-0.22</v>
      </c>
      <c r="I1924" s="768" t="s">
        <v>1693</v>
      </c>
    </row>
    <row r="1925" spans="1:9" x14ac:dyDescent="0.25">
      <c r="A1925" s="753">
        <v>704614</v>
      </c>
      <c r="B1925" s="130">
        <v>4632</v>
      </c>
      <c r="C1925" s="131" t="s">
        <v>1084</v>
      </c>
      <c r="D1925" s="131">
        <v>16</v>
      </c>
      <c r="E1925" s="131" t="s">
        <v>1084</v>
      </c>
      <c r="F1925" s="767">
        <v>-115818.16</v>
      </c>
      <c r="G1925" s="767">
        <v>-4632</v>
      </c>
      <c r="H1925" s="767">
        <v>-120450.16</v>
      </c>
      <c r="I1925" s="768" t="s">
        <v>1694</v>
      </c>
    </row>
    <row r="1926" spans="1:9" x14ac:dyDescent="0.25">
      <c r="A1926" s="753">
        <v>704616</v>
      </c>
      <c r="B1926" s="130">
        <v>1293</v>
      </c>
      <c r="C1926" s="131" t="s">
        <v>1084</v>
      </c>
      <c r="D1926" s="131">
        <v>16</v>
      </c>
      <c r="E1926" s="131" t="s">
        <v>1084</v>
      </c>
      <c r="F1926" s="767">
        <v>-115818.16</v>
      </c>
      <c r="G1926" s="767">
        <v>-4632</v>
      </c>
      <c r="H1926" s="767">
        <v>-120450.16</v>
      </c>
      <c r="I1926" s="768" t="s">
        <v>1694</v>
      </c>
    </row>
    <row r="1927" spans="1:9" x14ac:dyDescent="0.25">
      <c r="A1927" s="753"/>
      <c r="C1927" s="131" t="s">
        <v>1085</v>
      </c>
      <c r="D1927" s="131">
        <v>16</v>
      </c>
      <c r="E1927" s="131" t="s">
        <v>1085</v>
      </c>
      <c r="F1927" s="767">
        <v>71941.759999999995</v>
      </c>
      <c r="G1927" s="767">
        <v>3339</v>
      </c>
      <c r="H1927" s="767">
        <v>75280.759999999995</v>
      </c>
      <c r="I1927" s="768" t="s">
        <v>1695</v>
      </c>
    </row>
    <row r="1928" spans="1:9" x14ac:dyDescent="0.25">
      <c r="A1928" s="753">
        <v>704618</v>
      </c>
      <c r="B1928" s="130">
        <v>0</v>
      </c>
      <c r="E1928" s="131"/>
    </row>
    <row r="1929" spans="1:9" x14ac:dyDescent="0.25">
      <c r="A1929" s="753">
        <v>704622</v>
      </c>
      <c r="B1929" s="130">
        <v>22</v>
      </c>
      <c r="C1929" s="131" t="s">
        <v>1692</v>
      </c>
      <c r="D1929" s="131">
        <v>16</v>
      </c>
      <c r="E1929" s="131" t="s">
        <v>1692</v>
      </c>
      <c r="F1929" s="767">
        <v>-0.22</v>
      </c>
      <c r="G1929" s="767">
        <v>0</v>
      </c>
      <c r="H1929" s="767">
        <v>-0.22</v>
      </c>
      <c r="I1929" s="768" t="s">
        <v>1693</v>
      </c>
    </row>
    <row r="1930" spans="1:9" x14ac:dyDescent="0.25">
      <c r="A1930" s="753">
        <v>704624</v>
      </c>
      <c r="B1930" s="130">
        <v>120450</v>
      </c>
      <c r="C1930" s="131" t="s">
        <v>1084</v>
      </c>
      <c r="D1930" s="131">
        <v>16</v>
      </c>
      <c r="E1930" s="131" t="s">
        <v>1084</v>
      </c>
      <c r="F1930" s="767">
        <v>-115818.16</v>
      </c>
      <c r="G1930" s="767">
        <v>-4632</v>
      </c>
      <c r="H1930" s="767">
        <v>-120450.16</v>
      </c>
      <c r="I1930" s="768" t="s">
        <v>1694</v>
      </c>
    </row>
    <row r="1931" spans="1:9" x14ac:dyDescent="0.25">
      <c r="A1931" s="753">
        <v>704626</v>
      </c>
      <c r="B1931" s="130">
        <v>45169</v>
      </c>
      <c r="C1931" s="131" t="s">
        <v>1084</v>
      </c>
      <c r="D1931" s="131">
        <v>16</v>
      </c>
      <c r="E1931" s="131" t="s">
        <v>1084</v>
      </c>
      <c r="F1931" s="767">
        <v>-115818.16</v>
      </c>
      <c r="G1931" s="767">
        <v>-4632</v>
      </c>
      <c r="H1931" s="767">
        <v>-120450.16</v>
      </c>
      <c r="I1931" s="768" t="s">
        <v>1694</v>
      </c>
    </row>
    <row r="1932" spans="1:9" x14ac:dyDescent="0.25">
      <c r="A1932" s="753"/>
      <c r="C1932" s="131" t="s">
        <v>1085</v>
      </c>
      <c r="D1932" s="131">
        <v>16</v>
      </c>
      <c r="E1932" s="131" t="s">
        <v>1085</v>
      </c>
      <c r="F1932" s="767">
        <v>71941.759999999995</v>
      </c>
      <c r="G1932" s="767">
        <v>3339</v>
      </c>
      <c r="H1932" s="767">
        <v>75280.759999999995</v>
      </c>
      <c r="I1932" s="768" t="s">
        <v>1695</v>
      </c>
    </row>
    <row r="1933" spans="1:9" x14ac:dyDescent="0.25">
      <c r="A1933" s="753">
        <v>704628</v>
      </c>
      <c r="B1933" s="130">
        <v>2053</v>
      </c>
      <c r="E1933" s="131"/>
    </row>
    <row r="1934" spans="1:9" x14ac:dyDescent="0.25">
      <c r="A1934" s="753">
        <v>704712</v>
      </c>
      <c r="B1934" s="130">
        <v>0</v>
      </c>
      <c r="E1934" s="131"/>
    </row>
    <row r="1935" spans="1:9" x14ac:dyDescent="0.25">
      <c r="A1935" s="753">
        <v>704714</v>
      </c>
      <c r="B1935" s="130">
        <v>0</v>
      </c>
      <c r="E1935" s="131"/>
    </row>
    <row r="1936" spans="1:9" x14ac:dyDescent="0.25">
      <c r="A1936" s="753">
        <v>704716</v>
      </c>
      <c r="B1936" s="130">
        <v>0</v>
      </c>
      <c r="E1936" s="131"/>
    </row>
    <row r="1937" spans="1:9" x14ac:dyDescent="0.25">
      <c r="A1937" s="753">
        <v>704718</v>
      </c>
      <c r="B1937" s="130">
        <v>0</v>
      </c>
      <c r="E1937" s="131"/>
    </row>
    <row r="1938" spans="1:9" x14ac:dyDescent="0.25">
      <c r="A1938" s="753">
        <v>704722</v>
      </c>
      <c r="B1938" s="130">
        <v>0</v>
      </c>
      <c r="E1938" s="131"/>
    </row>
    <row r="1939" spans="1:9" x14ac:dyDescent="0.25">
      <c r="A1939" s="753">
        <v>704724</v>
      </c>
      <c r="B1939" s="130">
        <v>0</v>
      </c>
      <c r="E1939" s="131"/>
    </row>
    <row r="1940" spans="1:9" x14ac:dyDescent="0.25">
      <c r="A1940" s="753">
        <v>704726</v>
      </c>
      <c r="B1940" s="130">
        <v>0</v>
      </c>
      <c r="E1940" s="131"/>
    </row>
    <row r="1941" spans="1:9" x14ac:dyDescent="0.25">
      <c r="A1941" s="753">
        <v>704728</v>
      </c>
      <c r="B1941" s="130">
        <v>0</v>
      </c>
      <c r="E1941" s="131"/>
    </row>
    <row r="1942" spans="1:9" x14ac:dyDescent="0.25">
      <c r="A1942" s="753">
        <v>704812</v>
      </c>
      <c r="B1942" s="130">
        <v>6</v>
      </c>
      <c r="C1942" s="131" t="s">
        <v>1087</v>
      </c>
      <c r="D1942" s="131">
        <v>16</v>
      </c>
      <c r="E1942" s="131" t="s">
        <v>1087</v>
      </c>
      <c r="F1942" s="767">
        <v>-0.31</v>
      </c>
      <c r="G1942" s="767">
        <v>-0.06</v>
      </c>
      <c r="H1942" s="767">
        <v>-0.37</v>
      </c>
      <c r="I1942" s="768" t="s">
        <v>1696</v>
      </c>
    </row>
    <row r="1943" spans="1:9" x14ac:dyDescent="0.25">
      <c r="A1943" s="753">
        <v>704814</v>
      </c>
      <c r="B1943" s="130">
        <v>5840</v>
      </c>
      <c r="C1943" s="131" t="s">
        <v>1088</v>
      </c>
      <c r="D1943" s="131">
        <v>16</v>
      </c>
      <c r="E1943" s="131" t="s">
        <v>1088</v>
      </c>
      <c r="F1943" s="767">
        <v>-26140</v>
      </c>
      <c r="G1943" s="767">
        <v>-5840</v>
      </c>
      <c r="H1943" s="767">
        <v>-31980</v>
      </c>
      <c r="I1943" s="768" t="s">
        <v>1697</v>
      </c>
    </row>
    <row r="1944" spans="1:9" x14ac:dyDescent="0.25">
      <c r="A1944" s="753">
        <v>704816</v>
      </c>
      <c r="B1944" s="130">
        <v>1228</v>
      </c>
      <c r="C1944" s="131" t="s">
        <v>1088</v>
      </c>
      <c r="D1944" s="131">
        <v>16</v>
      </c>
      <c r="E1944" s="131" t="s">
        <v>1088</v>
      </c>
      <c r="F1944" s="767">
        <v>-26140</v>
      </c>
      <c r="G1944" s="767">
        <v>-5840</v>
      </c>
      <c r="H1944" s="767">
        <v>-31980</v>
      </c>
      <c r="I1944" s="768" t="s">
        <v>1697</v>
      </c>
    </row>
    <row r="1945" spans="1:9" x14ac:dyDescent="0.25">
      <c r="A1945" s="753"/>
      <c r="C1945" s="131" t="s">
        <v>1089</v>
      </c>
      <c r="D1945" s="131">
        <v>16</v>
      </c>
      <c r="E1945" s="131" t="s">
        <v>1089</v>
      </c>
      <c r="F1945" s="767">
        <v>20811</v>
      </c>
      <c r="G1945" s="767">
        <v>4612</v>
      </c>
      <c r="H1945" s="767">
        <v>25423</v>
      </c>
      <c r="I1945" s="768" t="s">
        <v>1698</v>
      </c>
    </row>
    <row r="1946" spans="1:9" x14ac:dyDescent="0.25">
      <c r="A1946" s="753">
        <v>704818</v>
      </c>
      <c r="B1946" s="130">
        <v>205</v>
      </c>
      <c r="E1946" s="131"/>
    </row>
    <row r="1947" spans="1:9" x14ac:dyDescent="0.25">
      <c r="A1947" s="753">
        <v>704822</v>
      </c>
      <c r="B1947" s="130">
        <v>37</v>
      </c>
      <c r="C1947" s="131" t="s">
        <v>1087</v>
      </c>
      <c r="D1947" s="131">
        <v>16</v>
      </c>
      <c r="E1947" s="131" t="s">
        <v>1087</v>
      </c>
      <c r="F1947" s="767">
        <v>-0.31</v>
      </c>
      <c r="G1947" s="767">
        <v>-0.06</v>
      </c>
      <c r="H1947" s="767">
        <v>-0.37</v>
      </c>
      <c r="I1947" s="768" t="s">
        <v>1696</v>
      </c>
    </row>
    <row r="1948" spans="1:9" x14ac:dyDescent="0.25">
      <c r="A1948" s="753">
        <v>704824</v>
      </c>
      <c r="B1948" s="130">
        <v>31980</v>
      </c>
      <c r="C1948" s="131" t="s">
        <v>1088</v>
      </c>
      <c r="D1948" s="131">
        <v>16</v>
      </c>
      <c r="E1948" s="131" t="s">
        <v>1088</v>
      </c>
      <c r="F1948" s="767">
        <v>-26140</v>
      </c>
      <c r="G1948" s="767">
        <v>-5840</v>
      </c>
      <c r="H1948" s="767">
        <v>-31980</v>
      </c>
      <c r="I1948" s="768" t="s">
        <v>1697</v>
      </c>
    </row>
    <row r="1949" spans="1:9" x14ac:dyDescent="0.25">
      <c r="A1949" s="753">
        <v>704826</v>
      </c>
      <c r="B1949" s="130">
        <v>6557</v>
      </c>
      <c r="C1949" s="131" t="s">
        <v>1088</v>
      </c>
      <c r="D1949" s="131">
        <v>16</v>
      </c>
      <c r="E1949" s="131" t="s">
        <v>1088</v>
      </c>
      <c r="F1949" s="767">
        <v>-26140</v>
      </c>
      <c r="G1949" s="767">
        <v>-5840</v>
      </c>
      <c r="H1949" s="767">
        <v>-31980</v>
      </c>
      <c r="I1949" s="768" t="s">
        <v>1697</v>
      </c>
    </row>
    <row r="1950" spans="1:9" x14ac:dyDescent="0.25">
      <c r="A1950" s="753"/>
      <c r="C1950" s="131" t="s">
        <v>1089</v>
      </c>
      <c r="D1950" s="131">
        <v>16</v>
      </c>
      <c r="E1950" s="131" t="s">
        <v>1089</v>
      </c>
      <c r="F1950" s="767">
        <v>20811</v>
      </c>
      <c r="G1950" s="767">
        <v>4612</v>
      </c>
      <c r="H1950" s="767">
        <v>25423</v>
      </c>
      <c r="I1950" s="768" t="s">
        <v>1698</v>
      </c>
    </row>
    <row r="1951" spans="1:9" x14ac:dyDescent="0.25">
      <c r="A1951" s="753">
        <v>704828</v>
      </c>
      <c r="B1951" s="130">
        <v>177</v>
      </c>
      <c r="E1951" s="131"/>
    </row>
    <row r="1952" spans="1:9" x14ac:dyDescent="0.25">
      <c r="A1952" s="753">
        <v>704912</v>
      </c>
      <c r="B1952" s="130">
        <v>21</v>
      </c>
      <c r="E1952" s="131"/>
    </row>
    <row r="1953" spans="1:9" x14ac:dyDescent="0.25">
      <c r="A1953" s="753">
        <v>704914</v>
      </c>
      <c r="B1953" s="130">
        <v>33158</v>
      </c>
      <c r="E1953" s="131"/>
    </row>
    <row r="1954" spans="1:9" x14ac:dyDescent="0.25">
      <c r="A1954" s="753">
        <v>704916</v>
      </c>
      <c r="B1954" s="130">
        <v>19479</v>
      </c>
      <c r="C1954" s="131">
        <v>450</v>
      </c>
      <c r="D1954" s="131">
        <v>16</v>
      </c>
      <c r="E1954" s="131" t="s">
        <v>296</v>
      </c>
      <c r="F1954" s="767">
        <v>-24681.279999999999</v>
      </c>
      <c r="G1954" s="767">
        <v>-1050.4000000000001</v>
      </c>
      <c r="H1954" s="767">
        <v>-25731.68</v>
      </c>
      <c r="I1954" s="768" t="s">
        <v>1641</v>
      </c>
    </row>
    <row r="1955" spans="1:9" x14ac:dyDescent="0.25">
      <c r="A1955" s="753"/>
      <c r="C1955" s="131">
        <v>450</v>
      </c>
      <c r="D1955" s="131">
        <v>16</v>
      </c>
      <c r="E1955" s="131" t="s">
        <v>1642</v>
      </c>
      <c r="F1955" s="767">
        <v>-1526</v>
      </c>
      <c r="G1955" s="767">
        <v>0</v>
      </c>
      <c r="H1955" s="767">
        <v>-1526</v>
      </c>
      <c r="I1955" s="768" t="s">
        <v>1643</v>
      </c>
    </row>
    <row r="1956" spans="1:9" x14ac:dyDescent="0.25">
      <c r="A1956" s="753"/>
      <c r="C1956" s="131">
        <v>450</v>
      </c>
      <c r="D1956" s="131">
        <v>16</v>
      </c>
      <c r="E1956" s="131">
        <v>450</v>
      </c>
      <c r="F1956" s="767">
        <v>-15561</v>
      </c>
      <c r="G1956" s="767">
        <v>-1596</v>
      </c>
      <c r="H1956" s="767">
        <v>-17157</v>
      </c>
      <c r="I1956" s="768" t="s">
        <v>1644</v>
      </c>
    </row>
    <row r="1957" spans="1:9" x14ac:dyDescent="0.25">
      <c r="A1957" s="753"/>
      <c r="C1957" s="131">
        <v>450</v>
      </c>
      <c r="D1957" s="131">
        <v>16</v>
      </c>
      <c r="E1957" s="131" t="s">
        <v>1645</v>
      </c>
      <c r="F1957" s="767">
        <v>-675</v>
      </c>
      <c r="G1957" s="767">
        <v>0</v>
      </c>
      <c r="H1957" s="767">
        <v>-675</v>
      </c>
      <c r="I1957" s="768" t="s">
        <v>1646</v>
      </c>
    </row>
    <row r="1958" spans="1:9" x14ac:dyDescent="0.25">
      <c r="A1958" s="753"/>
      <c r="C1958" s="131">
        <v>450</v>
      </c>
      <c r="D1958" s="131">
        <v>16</v>
      </c>
      <c r="E1958" s="131" t="s">
        <v>295</v>
      </c>
      <c r="F1958" s="767">
        <v>-9310</v>
      </c>
      <c r="G1958" s="767">
        <v>-545</v>
      </c>
      <c r="H1958" s="767">
        <v>-9855</v>
      </c>
      <c r="I1958" s="768" t="s">
        <v>1647</v>
      </c>
    </row>
    <row r="1959" spans="1:9" x14ac:dyDescent="0.25">
      <c r="A1959" s="753"/>
      <c r="C1959" s="131">
        <v>450</v>
      </c>
      <c r="D1959" s="131">
        <v>16</v>
      </c>
      <c r="E1959" s="131" t="s">
        <v>1648</v>
      </c>
      <c r="F1959" s="767">
        <v>-965</v>
      </c>
      <c r="G1959" s="767">
        <v>0</v>
      </c>
      <c r="H1959" s="767">
        <v>-965</v>
      </c>
      <c r="I1959" s="768" t="s">
        <v>1649</v>
      </c>
    </row>
    <row r="1960" spans="1:9" x14ac:dyDescent="0.25">
      <c r="A1960" s="753"/>
      <c r="C1960" s="131">
        <v>450</v>
      </c>
      <c r="D1960" s="131">
        <v>16</v>
      </c>
      <c r="E1960" s="131" t="s">
        <v>974</v>
      </c>
      <c r="F1960" s="767">
        <v>-80920</v>
      </c>
      <c r="G1960" s="767">
        <v>-7140</v>
      </c>
      <c r="H1960" s="767">
        <v>-88060</v>
      </c>
      <c r="I1960" s="768" t="s">
        <v>1650</v>
      </c>
    </row>
    <row r="1961" spans="1:9" x14ac:dyDescent="0.25">
      <c r="A1961" s="753"/>
      <c r="C1961" s="131">
        <v>450</v>
      </c>
      <c r="D1961" s="131">
        <v>16</v>
      </c>
      <c r="E1961" s="131" t="s">
        <v>292</v>
      </c>
      <c r="F1961" s="767">
        <v>-2798</v>
      </c>
      <c r="G1961" s="767">
        <v>0</v>
      </c>
      <c r="H1961" s="767">
        <v>-2798</v>
      </c>
      <c r="I1961" s="768" t="s">
        <v>1651</v>
      </c>
    </row>
    <row r="1962" spans="1:9" x14ac:dyDescent="0.25">
      <c r="A1962" s="753"/>
      <c r="C1962" s="131">
        <v>450</v>
      </c>
      <c r="D1962" s="131">
        <v>16</v>
      </c>
      <c r="E1962" s="131" t="s">
        <v>1652</v>
      </c>
      <c r="F1962" s="767">
        <v>1068.2</v>
      </c>
      <c r="G1962" s="767">
        <v>0</v>
      </c>
      <c r="H1962" s="767">
        <v>1068.2</v>
      </c>
      <c r="I1962" s="768" t="s">
        <v>1653</v>
      </c>
    </row>
    <row r="1963" spans="1:9" x14ac:dyDescent="0.25">
      <c r="A1963" s="753"/>
      <c r="C1963" s="131">
        <v>450</v>
      </c>
      <c r="D1963" s="131">
        <v>16</v>
      </c>
      <c r="E1963" s="131" t="s">
        <v>1176</v>
      </c>
      <c r="F1963" s="767">
        <v>6380</v>
      </c>
      <c r="G1963" s="767">
        <v>545</v>
      </c>
      <c r="H1963" s="767">
        <v>6925</v>
      </c>
      <c r="I1963" s="768" t="s">
        <v>1654</v>
      </c>
    </row>
    <row r="1964" spans="1:9" x14ac:dyDescent="0.25">
      <c r="A1964" s="753"/>
      <c r="C1964" s="131">
        <v>450</v>
      </c>
      <c r="D1964" s="131">
        <v>16</v>
      </c>
      <c r="E1964" s="131" t="s">
        <v>1655</v>
      </c>
      <c r="F1964" s="767">
        <v>840</v>
      </c>
      <c r="G1964" s="767">
        <v>0</v>
      </c>
      <c r="H1964" s="767">
        <v>840</v>
      </c>
      <c r="I1964" s="768" t="s">
        <v>1656</v>
      </c>
    </row>
    <row r="1965" spans="1:9" x14ac:dyDescent="0.25">
      <c r="A1965" s="753"/>
      <c r="C1965" s="131">
        <v>450</v>
      </c>
      <c r="D1965" s="131">
        <v>16</v>
      </c>
      <c r="E1965" s="131">
        <v>650</v>
      </c>
      <c r="F1965" s="767">
        <v>2730</v>
      </c>
      <c r="G1965" s="767">
        <v>280</v>
      </c>
      <c r="H1965" s="767">
        <v>3010</v>
      </c>
      <c r="I1965" s="768" t="s">
        <v>1657</v>
      </c>
    </row>
    <row r="1966" spans="1:9" x14ac:dyDescent="0.25">
      <c r="A1966" s="753"/>
      <c r="C1966" s="131">
        <v>450</v>
      </c>
      <c r="D1966" s="131">
        <v>16</v>
      </c>
      <c r="E1966" s="131" t="s">
        <v>1174</v>
      </c>
      <c r="F1966" s="767">
        <v>1770</v>
      </c>
      <c r="G1966" s="767">
        <v>0</v>
      </c>
      <c r="H1966" s="767">
        <v>1770</v>
      </c>
      <c r="I1966" s="768" t="s">
        <v>1658</v>
      </c>
    </row>
    <row r="1967" spans="1:9" x14ac:dyDescent="0.25">
      <c r="A1967" s="753"/>
      <c r="C1967" s="131" t="s">
        <v>1080</v>
      </c>
      <c r="D1967" s="131">
        <v>16</v>
      </c>
      <c r="E1967" s="131" t="s">
        <v>1667</v>
      </c>
      <c r="F1967" s="767">
        <v>1160</v>
      </c>
      <c r="G1967" s="767">
        <v>0</v>
      </c>
      <c r="H1967" s="767">
        <v>1160</v>
      </c>
      <c r="I1967" s="768" t="s">
        <v>1668</v>
      </c>
    </row>
    <row r="1968" spans="1:9" x14ac:dyDescent="0.25">
      <c r="A1968" s="753"/>
      <c r="C1968" s="131" t="s">
        <v>1080</v>
      </c>
      <c r="D1968" s="131">
        <v>16</v>
      </c>
      <c r="E1968" s="131" t="s">
        <v>1669</v>
      </c>
      <c r="F1968" s="767">
        <v>-2349</v>
      </c>
      <c r="G1968" s="767">
        <v>0</v>
      </c>
      <c r="H1968" s="767">
        <v>-2349</v>
      </c>
      <c r="I1968" s="768" t="s">
        <v>1670</v>
      </c>
    </row>
    <row r="1969" spans="1:9" x14ac:dyDescent="0.25">
      <c r="A1969" s="753"/>
      <c r="C1969" s="131" t="s">
        <v>1080</v>
      </c>
      <c r="D1969" s="131">
        <v>16</v>
      </c>
      <c r="E1969" s="131" t="s">
        <v>1671</v>
      </c>
      <c r="F1969" s="767">
        <v>1165</v>
      </c>
      <c r="G1969" s="767">
        <v>0</v>
      </c>
      <c r="H1969" s="767">
        <v>1165</v>
      </c>
      <c r="I1969" s="768" t="s">
        <v>1672</v>
      </c>
    </row>
    <row r="1970" spans="1:9" x14ac:dyDescent="0.25">
      <c r="A1970" s="753"/>
      <c r="C1970" s="131" t="s">
        <v>1080</v>
      </c>
      <c r="D1970" s="131">
        <v>16</v>
      </c>
      <c r="E1970" s="131" t="s">
        <v>1673</v>
      </c>
      <c r="F1970" s="767">
        <v>115.05</v>
      </c>
      <c r="G1970" s="767">
        <v>0</v>
      </c>
      <c r="H1970" s="767">
        <v>115.05</v>
      </c>
      <c r="I1970" s="768" t="s">
        <v>1674</v>
      </c>
    </row>
    <row r="1971" spans="1:9" x14ac:dyDescent="0.25">
      <c r="A1971" s="753"/>
      <c r="C1971" s="131" t="s">
        <v>1080</v>
      </c>
      <c r="D1971" s="131">
        <v>16</v>
      </c>
      <c r="E1971" s="131" t="s">
        <v>1675</v>
      </c>
      <c r="F1971" s="767">
        <v>-795</v>
      </c>
      <c r="G1971" s="767">
        <v>0</v>
      </c>
      <c r="H1971" s="767">
        <v>-795</v>
      </c>
      <c r="I1971" s="768" t="s">
        <v>1676</v>
      </c>
    </row>
    <row r="1972" spans="1:9" x14ac:dyDescent="0.25">
      <c r="A1972" s="753"/>
      <c r="C1972" s="131" t="s">
        <v>1080</v>
      </c>
      <c r="D1972" s="131">
        <v>16</v>
      </c>
      <c r="E1972" s="131" t="s">
        <v>1677</v>
      </c>
      <c r="F1972" s="767">
        <v>3640</v>
      </c>
      <c r="G1972" s="767">
        <v>350</v>
      </c>
      <c r="H1972" s="767">
        <v>3990</v>
      </c>
      <c r="I1972" s="768" t="s">
        <v>1678</v>
      </c>
    </row>
    <row r="1973" spans="1:9" x14ac:dyDescent="0.25">
      <c r="A1973" s="753"/>
      <c r="C1973" s="131" t="s">
        <v>1080</v>
      </c>
      <c r="D1973" s="131">
        <v>16</v>
      </c>
      <c r="E1973" s="131" t="s">
        <v>1679</v>
      </c>
      <c r="F1973" s="767">
        <v>-20748</v>
      </c>
      <c r="G1973" s="767">
        <v>-1995</v>
      </c>
      <c r="H1973" s="767">
        <v>-22743</v>
      </c>
      <c r="I1973" s="768" t="s">
        <v>1680</v>
      </c>
    </row>
    <row r="1974" spans="1:9" x14ac:dyDescent="0.25">
      <c r="A1974" s="753"/>
      <c r="C1974" s="131" t="s">
        <v>1080</v>
      </c>
      <c r="D1974" s="131">
        <v>16</v>
      </c>
      <c r="E1974" s="131" t="s">
        <v>1681</v>
      </c>
      <c r="F1974" s="767">
        <v>670</v>
      </c>
      <c r="G1974" s="767">
        <v>0</v>
      </c>
      <c r="H1974" s="767">
        <v>670</v>
      </c>
      <c r="I1974" s="768" t="s">
        <v>1682</v>
      </c>
    </row>
    <row r="1975" spans="1:9" x14ac:dyDescent="0.25">
      <c r="A1975" s="753"/>
      <c r="C1975" s="131" t="s">
        <v>1080</v>
      </c>
      <c r="D1975" s="131">
        <v>16</v>
      </c>
      <c r="E1975" s="131" t="s">
        <v>1683</v>
      </c>
      <c r="F1975" s="767">
        <v>-1199</v>
      </c>
      <c r="G1975" s="767">
        <v>0</v>
      </c>
      <c r="H1975" s="767">
        <v>-1199</v>
      </c>
      <c r="I1975" s="768" t="s">
        <v>1684</v>
      </c>
    </row>
    <row r="1976" spans="1:9" x14ac:dyDescent="0.25">
      <c r="A1976" s="753"/>
      <c r="C1976" s="131" t="s">
        <v>1080</v>
      </c>
      <c r="D1976" s="131">
        <v>16</v>
      </c>
      <c r="E1976" s="131" t="s">
        <v>1685</v>
      </c>
      <c r="F1976" s="767">
        <v>-14936.54</v>
      </c>
      <c r="G1976" s="767">
        <v>-4190.53</v>
      </c>
      <c r="H1976" s="767">
        <v>-19127.07</v>
      </c>
      <c r="I1976" s="768" t="s">
        <v>1686</v>
      </c>
    </row>
    <row r="1977" spans="1:9" x14ac:dyDescent="0.25">
      <c r="A1977" s="753"/>
      <c r="C1977" s="131" t="s">
        <v>1080</v>
      </c>
      <c r="D1977" s="131">
        <v>16</v>
      </c>
      <c r="E1977" s="131" t="s">
        <v>1687</v>
      </c>
      <c r="F1977" s="767">
        <v>-3765</v>
      </c>
      <c r="G1977" s="767">
        <v>0</v>
      </c>
      <c r="H1977" s="767">
        <v>-3765</v>
      </c>
      <c r="I1977" s="768" t="s">
        <v>1688</v>
      </c>
    </row>
    <row r="1978" spans="1:9" x14ac:dyDescent="0.25">
      <c r="A1978" s="753"/>
      <c r="C1978" s="131">
        <v>452</v>
      </c>
      <c r="D1978" s="131">
        <v>16</v>
      </c>
      <c r="E1978" s="131">
        <v>452</v>
      </c>
      <c r="F1978" s="767">
        <v>-123190.19</v>
      </c>
      <c r="G1978" s="767">
        <v>-7344</v>
      </c>
      <c r="H1978" s="767">
        <v>-130534.19</v>
      </c>
      <c r="I1978" s="768" t="s">
        <v>1690</v>
      </c>
    </row>
    <row r="1979" spans="1:9" x14ac:dyDescent="0.25">
      <c r="A1979" s="753"/>
      <c r="C1979" s="131">
        <v>652</v>
      </c>
      <c r="D1979" s="131">
        <v>16</v>
      </c>
      <c r="E1979" s="131">
        <v>652</v>
      </c>
      <c r="F1979" s="767">
        <v>75857</v>
      </c>
      <c r="G1979" s="767">
        <v>5728</v>
      </c>
      <c r="H1979" s="767">
        <v>81585</v>
      </c>
      <c r="I1979" s="768" t="s">
        <v>1691</v>
      </c>
    </row>
    <row r="1980" spans="1:9" x14ac:dyDescent="0.25">
      <c r="A1980" s="753"/>
      <c r="C1980" s="131" t="s">
        <v>1084</v>
      </c>
      <c r="D1980" s="131">
        <v>16</v>
      </c>
      <c r="E1980" s="131" t="s">
        <v>1084</v>
      </c>
      <c r="F1980" s="767">
        <v>-115818.16</v>
      </c>
      <c r="G1980" s="767">
        <v>-4632</v>
      </c>
      <c r="H1980" s="767">
        <v>-120450.16</v>
      </c>
      <c r="I1980" s="768" t="s">
        <v>1694</v>
      </c>
    </row>
    <row r="1981" spans="1:9" x14ac:dyDescent="0.25">
      <c r="A1981" s="753"/>
      <c r="C1981" s="131" t="s">
        <v>1085</v>
      </c>
      <c r="D1981" s="131">
        <v>16</v>
      </c>
      <c r="E1981" s="131" t="s">
        <v>1085</v>
      </c>
      <c r="F1981" s="767">
        <v>71941.759999999995</v>
      </c>
      <c r="G1981" s="767">
        <v>3339</v>
      </c>
      <c r="H1981" s="767">
        <v>75280.759999999995</v>
      </c>
      <c r="I1981" s="768" t="s">
        <v>1695</v>
      </c>
    </row>
    <row r="1982" spans="1:9" x14ac:dyDescent="0.25">
      <c r="A1982" s="753"/>
      <c r="C1982" s="131" t="s">
        <v>1088</v>
      </c>
      <c r="D1982" s="131">
        <v>16</v>
      </c>
      <c r="E1982" s="131" t="s">
        <v>1088</v>
      </c>
      <c r="F1982" s="767">
        <v>-26140</v>
      </c>
      <c r="G1982" s="767">
        <v>-5840</v>
      </c>
      <c r="H1982" s="767">
        <v>-31980</v>
      </c>
      <c r="I1982" s="768" t="s">
        <v>1697</v>
      </c>
    </row>
    <row r="1983" spans="1:9" x14ac:dyDescent="0.25">
      <c r="A1983" s="753"/>
      <c r="C1983" s="131" t="s">
        <v>1089</v>
      </c>
      <c r="D1983" s="131">
        <v>16</v>
      </c>
      <c r="E1983" s="131" t="s">
        <v>1089</v>
      </c>
      <c r="F1983" s="767">
        <v>20811</v>
      </c>
      <c r="G1983" s="767">
        <v>4612</v>
      </c>
      <c r="H1983" s="767">
        <v>25423</v>
      </c>
      <c r="I1983" s="768" t="s">
        <v>1698</v>
      </c>
    </row>
    <row r="1984" spans="1:9" x14ac:dyDescent="0.25">
      <c r="A1984" s="753">
        <v>704918</v>
      </c>
      <c r="B1984" s="130">
        <v>928</v>
      </c>
      <c r="E1984" s="131"/>
    </row>
    <row r="1985" spans="1:9" x14ac:dyDescent="0.25">
      <c r="A1985" s="753">
        <v>704922</v>
      </c>
      <c r="B1985" s="130">
        <v>242</v>
      </c>
      <c r="E1985" s="131"/>
    </row>
    <row r="1986" spans="1:9" x14ac:dyDescent="0.25">
      <c r="A1986" s="753">
        <v>704924</v>
      </c>
      <c r="B1986" s="130">
        <v>458996</v>
      </c>
      <c r="E1986" s="131"/>
    </row>
    <row r="1987" spans="1:9" x14ac:dyDescent="0.25">
      <c r="A1987" s="753">
        <v>704926</v>
      </c>
      <c r="B1987" s="130">
        <v>276707</v>
      </c>
      <c r="C1987" s="131">
        <v>450</v>
      </c>
      <c r="D1987" s="131">
        <v>16</v>
      </c>
      <c r="E1987" s="131" t="s">
        <v>296</v>
      </c>
      <c r="F1987" s="767">
        <v>-24681.279999999999</v>
      </c>
      <c r="G1987" s="767">
        <v>-1050.4000000000001</v>
      </c>
      <c r="H1987" s="767">
        <v>-25731.68</v>
      </c>
      <c r="I1987" s="768" t="s">
        <v>1641</v>
      </c>
    </row>
    <row r="1988" spans="1:9" x14ac:dyDescent="0.25">
      <c r="A1988" s="753"/>
      <c r="C1988" s="131">
        <v>450</v>
      </c>
      <c r="D1988" s="131">
        <v>16</v>
      </c>
      <c r="E1988" s="131" t="s">
        <v>1642</v>
      </c>
      <c r="F1988" s="767">
        <v>-1526</v>
      </c>
      <c r="G1988" s="767">
        <v>0</v>
      </c>
      <c r="H1988" s="767">
        <v>-1526</v>
      </c>
      <c r="I1988" s="768" t="s">
        <v>1643</v>
      </c>
    </row>
    <row r="1989" spans="1:9" x14ac:dyDescent="0.25">
      <c r="A1989" s="753"/>
      <c r="C1989" s="131">
        <v>450</v>
      </c>
      <c r="D1989" s="131">
        <v>16</v>
      </c>
      <c r="E1989" s="131">
        <v>450</v>
      </c>
      <c r="F1989" s="767">
        <v>-15561</v>
      </c>
      <c r="G1989" s="767">
        <v>-1596</v>
      </c>
      <c r="H1989" s="767">
        <v>-17157</v>
      </c>
      <c r="I1989" s="768" t="s">
        <v>1644</v>
      </c>
    </row>
    <row r="1990" spans="1:9" x14ac:dyDescent="0.25">
      <c r="A1990" s="753"/>
      <c r="C1990" s="131">
        <v>450</v>
      </c>
      <c r="D1990" s="131">
        <v>16</v>
      </c>
      <c r="E1990" s="131" t="s">
        <v>1645</v>
      </c>
      <c r="F1990" s="767">
        <v>-675</v>
      </c>
      <c r="G1990" s="767">
        <v>0</v>
      </c>
      <c r="H1990" s="767">
        <v>-675</v>
      </c>
      <c r="I1990" s="768" t="s">
        <v>1646</v>
      </c>
    </row>
    <row r="1991" spans="1:9" x14ac:dyDescent="0.25">
      <c r="A1991" s="753"/>
      <c r="C1991" s="131">
        <v>450</v>
      </c>
      <c r="D1991" s="131">
        <v>16</v>
      </c>
      <c r="E1991" s="131" t="s">
        <v>295</v>
      </c>
      <c r="F1991" s="767">
        <v>-9310</v>
      </c>
      <c r="G1991" s="767">
        <v>-545</v>
      </c>
      <c r="H1991" s="767">
        <v>-9855</v>
      </c>
      <c r="I1991" s="768" t="s">
        <v>1647</v>
      </c>
    </row>
    <row r="1992" spans="1:9" x14ac:dyDescent="0.25">
      <c r="A1992" s="753"/>
      <c r="C1992" s="131">
        <v>450</v>
      </c>
      <c r="D1992" s="131">
        <v>16</v>
      </c>
      <c r="E1992" s="131" t="s">
        <v>1648</v>
      </c>
      <c r="F1992" s="767">
        <v>-965</v>
      </c>
      <c r="G1992" s="767">
        <v>0</v>
      </c>
      <c r="H1992" s="767">
        <v>-965</v>
      </c>
      <c r="I1992" s="768" t="s">
        <v>1649</v>
      </c>
    </row>
    <row r="1993" spans="1:9" x14ac:dyDescent="0.25">
      <c r="A1993" s="753"/>
      <c r="C1993" s="131">
        <v>450</v>
      </c>
      <c r="D1993" s="131">
        <v>16</v>
      </c>
      <c r="E1993" s="131" t="s">
        <v>974</v>
      </c>
      <c r="F1993" s="767">
        <v>-80920</v>
      </c>
      <c r="G1993" s="767">
        <v>-7140</v>
      </c>
      <c r="H1993" s="767">
        <v>-88060</v>
      </c>
      <c r="I1993" s="768" t="s">
        <v>1650</v>
      </c>
    </row>
    <row r="1994" spans="1:9" x14ac:dyDescent="0.25">
      <c r="A1994" s="753"/>
      <c r="C1994" s="131">
        <v>450</v>
      </c>
      <c r="D1994" s="131">
        <v>16</v>
      </c>
      <c r="E1994" s="131" t="s">
        <v>292</v>
      </c>
      <c r="F1994" s="767">
        <v>-2798</v>
      </c>
      <c r="G1994" s="767">
        <v>0</v>
      </c>
      <c r="H1994" s="767">
        <v>-2798</v>
      </c>
      <c r="I1994" s="768" t="s">
        <v>1651</v>
      </c>
    </row>
    <row r="1995" spans="1:9" x14ac:dyDescent="0.25">
      <c r="A1995" s="753"/>
      <c r="C1995" s="131">
        <v>450</v>
      </c>
      <c r="D1995" s="131">
        <v>16</v>
      </c>
      <c r="E1995" s="131" t="s">
        <v>1652</v>
      </c>
      <c r="F1995" s="767">
        <v>1068.2</v>
      </c>
      <c r="G1995" s="767">
        <v>0</v>
      </c>
      <c r="H1995" s="767">
        <v>1068.2</v>
      </c>
      <c r="I1995" s="768" t="s">
        <v>1653</v>
      </c>
    </row>
    <row r="1996" spans="1:9" x14ac:dyDescent="0.25">
      <c r="A1996" s="753"/>
      <c r="C1996" s="131">
        <v>450</v>
      </c>
      <c r="D1996" s="131">
        <v>16</v>
      </c>
      <c r="E1996" s="131" t="s">
        <v>1176</v>
      </c>
      <c r="F1996" s="767">
        <v>6380</v>
      </c>
      <c r="G1996" s="767">
        <v>545</v>
      </c>
      <c r="H1996" s="767">
        <v>6925</v>
      </c>
      <c r="I1996" s="768" t="s">
        <v>1654</v>
      </c>
    </row>
    <row r="1997" spans="1:9" x14ac:dyDescent="0.25">
      <c r="A1997" s="753"/>
      <c r="C1997" s="131">
        <v>450</v>
      </c>
      <c r="D1997" s="131">
        <v>16</v>
      </c>
      <c r="E1997" s="131" t="s">
        <v>1655</v>
      </c>
      <c r="F1997" s="767">
        <v>840</v>
      </c>
      <c r="G1997" s="767">
        <v>0</v>
      </c>
      <c r="H1997" s="767">
        <v>840</v>
      </c>
      <c r="I1997" s="768" t="s">
        <v>1656</v>
      </c>
    </row>
    <row r="1998" spans="1:9" x14ac:dyDescent="0.25">
      <c r="A1998" s="753"/>
      <c r="C1998" s="131">
        <v>450</v>
      </c>
      <c r="D1998" s="131">
        <v>16</v>
      </c>
      <c r="E1998" s="131">
        <v>650</v>
      </c>
      <c r="F1998" s="767">
        <v>2730</v>
      </c>
      <c r="G1998" s="767">
        <v>280</v>
      </c>
      <c r="H1998" s="767">
        <v>3010</v>
      </c>
      <c r="I1998" s="768" t="s">
        <v>1657</v>
      </c>
    </row>
    <row r="1999" spans="1:9" x14ac:dyDescent="0.25">
      <c r="A1999" s="753"/>
      <c r="C1999" s="131">
        <v>450</v>
      </c>
      <c r="D1999" s="131">
        <v>16</v>
      </c>
      <c r="E1999" s="131" t="s">
        <v>1174</v>
      </c>
      <c r="F1999" s="767">
        <v>1770</v>
      </c>
      <c r="G1999" s="767">
        <v>0</v>
      </c>
      <c r="H1999" s="767">
        <v>1770</v>
      </c>
      <c r="I1999" s="768" t="s">
        <v>1658</v>
      </c>
    </row>
    <row r="2000" spans="1:9" x14ac:dyDescent="0.25">
      <c r="A2000" s="753"/>
      <c r="C2000" s="131" t="s">
        <v>1080</v>
      </c>
      <c r="D2000" s="131">
        <v>16</v>
      </c>
      <c r="E2000" s="131" t="s">
        <v>1667</v>
      </c>
      <c r="F2000" s="767">
        <v>1160</v>
      </c>
      <c r="G2000" s="767">
        <v>0</v>
      </c>
      <c r="H2000" s="767">
        <v>1160</v>
      </c>
      <c r="I2000" s="768" t="s">
        <v>1668</v>
      </c>
    </row>
    <row r="2001" spans="1:9" x14ac:dyDescent="0.25">
      <c r="A2001" s="753"/>
      <c r="C2001" s="131" t="s">
        <v>1080</v>
      </c>
      <c r="D2001" s="131">
        <v>16</v>
      </c>
      <c r="E2001" s="131" t="s">
        <v>1669</v>
      </c>
      <c r="F2001" s="767">
        <v>-2349</v>
      </c>
      <c r="G2001" s="767">
        <v>0</v>
      </c>
      <c r="H2001" s="767">
        <v>-2349</v>
      </c>
      <c r="I2001" s="768" t="s">
        <v>1670</v>
      </c>
    </row>
    <row r="2002" spans="1:9" x14ac:dyDescent="0.25">
      <c r="A2002" s="753"/>
      <c r="C2002" s="131" t="s">
        <v>1080</v>
      </c>
      <c r="D2002" s="131">
        <v>16</v>
      </c>
      <c r="E2002" s="131" t="s">
        <v>1671</v>
      </c>
      <c r="F2002" s="767">
        <v>1165</v>
      </c>
      <c r="G2002" s="767">
        <v>0</v>
      </c>
      <c r="H2002" s="767">
        <v>1165</v>
      </c>
      <c r="I2002" s="768" t="s">
        <v>1672</v>
      </c>
    </row>
    <row r="2003" spans="1:9" x14ac:dyDescent="0.25">
      <c r="A2003" s="753"/>
      <c r="C2003" s="131" t="s">
        <v>1080</v>
      </c>
      <c r="D2003" s="131">
        <v>16</v>
      </c>
      <c r="E2003" s="131" t="s">
        <v>1673</v>
      </c>
      <c r="F2003" s="767">
        <v>115.05</v>
      </c>
      <c r="G2003" s="767">
        <v>0</v>
      </c>
      <c r="H2003" s="767">
        <v>115.05</v>
      </c>
      <c r="I2003" s="768" t="s">
        <v>1674</v>
      </c>
    </row>
    <row r="2004" spans="1:9" x14ac:dyDescent="0.25">
      <c r="A2004" s="753"/>
      <c r="C2004" s="131" t="s">
        <v>1080</v>
      </c>
      <c r="D2004" s="131">
        <v>16</v>
      </c>
      <c r="E2004" s="131" t="s">
        <v>1675</v>
      </c>
      <c r="F2004" s="767">
        <v>-795</v>
      </c>
      <c r="G2004" s="767">
        <v>0</v>
      </c>
      <c r="H2004" s="767">
        <v>-795</v>
      </c>
      <c r="I2004" s="768" t="s">
        <v>1676</v>
      </c>
    </row>
    <row r="2005" spans="1:9" x14ac:dyDescent="0.25">
      <c r="A2005" s="753"/>
      <c r="C2005" s="131" t="s">
        <v>1080</v>
      </c>
      <c r="D2005" s="131">
        <v>16</v>
      </c>
      <c r="E2005" s="131" t="s">
        <v>1677</v>
      </c>
      <c r="F2005" s="767">
        <v>3640</v>
      </c>
      <c r="G2005" s="767">
        <v>350</v>
      </c>
      <c r="H2005" s="767">
        <v>3990</v>
      </c>
      <c r="I2005" s="768" t="s">
        <v>1678</v>
      </c>
    </row>
    <row r="2006" spans="1:9" x14ac:dyDescent="0.25">
      <c r="A2006" s="753"/>
      <c r="C2006" s="131" t="s">
        <v>1080</v>
      </c>
      <c r="D2006" s="131">
        <v>16</v>
      </c>
      <c r="E2006" s="131" t="s">
        <v>1679</v>
      </c>
      <c r="F2006" s="767">
        <v>-20748</v>
      </c>
      <c r="G2006" s="767">
        <v>-1995</v>
      </c>
      <c r="H2006" s="767">
        <v>-22743</v>
      </c>
      <c r="I2006" s="768" t="s">
        <v>1680</v>
      </c>
    </row>
    <row r="2007" spans="1:9" x14ac:dyDescent="0.25">
      <c r="A2007" s="753"/>
      <c r="C2007" s="131" t="s">
        <v>1080</v>
      </c>
      <c r="D2007" s="131">
        <v>16</v>
      </c>
      <c r="E2007" s="131" t="s">
        <v>1681</v>
      </c>
      <c r="F2007" s="767">
        <v>670</v>
      </c>
      <c r="G2007" s="767">
        <v>0</v>
      </c>
      <c r="H2007" s="767">
        <v>670</v>
      </c>
      <c r="I2007" s="768" t="s">
        <v>1682</v>
      </c>
    </row>
    <row r="2008" spans="1:9" x14ac:dyDescent="0.25">
      <c r="A2008" s="753"/>
      <c r="C2008" s="131" t="s">
        <v>1080</v>
      </c>
      <c r="D2008" s="131">
        <v>16</v>
      </c>
      <c r="E2008" s="131" t="s">
        <v>1683</v>
      </c>
      <c r="F2008" s="767">
        <v>-1199</v>
      </c>
      <c r="G2008" s="767">
        <v>0</v>
      </c>
      <c r="H2008" s="767">
        <v>-1199</v>
      </c>
      <c r="I2008" s="768" t="s">
        <v>1684</v>
      </c>
    </row>
    <row r="2009" spans="1:9" x14ac:dyDescent="0.25">
      <c r="A2009" s="753"/>
      <c r="C2009" s="131" t="s">
        <v>1080</v>
      </c>
      <c r="D2009" s="131">
        <v>16</v>
      </c>
      <c r="E2009" s="131" t="s">
        <v>1685</v>
      </c>
      <c r="F2009" s="767">
        <v>-14936.54</v>
      </c>
      <c r="G2009" s="767">
        <v>-4190.53</v>
      </c>
      <c r="H2009" s="767">
        <v>-19127.07</v>
      </c>
      <c r="I2009" s="768" t="s">
        <v>1686</v>
      </c>
    </row>
    <row r="2010" spans="1:9" x14ac:dyDescent="0.25">
      <c r="A2010" s="753"/>
      <c r="C2010" s="131" t="s">
        <v>1080</v>
      </c>
      <c r="D2010" s="131">
        <v>16</v>
      </c>
      <c r="E2010" s="131" t="s">
        <v>1687</v>
      </c>
      <c r="F2010" s="767">
        <v>-3765</v>
      </c>
      <c r="G2010" s="767">
        <v>0</v>
      </c>
      <c r="H2010" s="767">
        <v>-3765</v>
      </c>
      <c r="I2010" s="768" t="s">
        <v>1688</v>
      </c>
    </row>
    <row r="2011" spans="1:9" x14ac:dyDescent="0.25">
      <c r="A2011" s="753"/>
      <c r="C2011" s="131">
        <v>452</v>
      </c>
      <c r="D2011" s="131">
        <v>16</v>
      </c>
      <c r="E2011" s="131">
        <v>452</v>
      </c>
      <c r="F2011" s="767">
        <v>-123190.19</v>
      </c>
      <c r="G2011" s="767">
        <v>-7344</v>
      </c>
      <c r="H2011" s="767">
        <v>-130534.19</v>
      </c>
      <c r="I2011" s="768" t="s">
        <v>1690</v>
      </c>
    </row>
    <row r="2012" spans="1:9" x14ac:dyDescent="0.25">
      <c r="A2012" s="753"/>
      <c r="C2012" s="131">
        <v>652</v>
      </c>
      <c r="D2012" s="131">
        <v>16</v>
      </c>
      <c r="E2012" s="131">
        <v>652</v>
      </c>
      <c r="F2012" s="767">
        <v>75857</v>
      </c>
      <c r="G2012" s="767">
        <v>5728</v>
      </c>
      <c r="H2012" s="767">
        <v>81585</v>
      </c>
      <c r="I2012" s="768" t="s">
        <v>1691</v>
      </c>
    </row>
    <row r="2013" spans="1:9" x14ac:dyDescent="0.25">
      <c r="A2013" s="753"/>
      <c r="C2013" s="131" t="s">
        <v>1084</v>
      </c>
      <c r="D2013" s="131">
        <v>16</v>
      </c>
      <c r="E2013" s="131" t="s">
        <v>1084</v>
      </c>
      <c r="F2013" s="767">
        <v>-115818.16</v>
      </c>
      <c r="G2013" s="767">
        <v>-4632</v>
      </c>
      <c r="H2013" s="767">
        <v>-120450.16</v>
      </c>
      <c r="I2013" s="768" t="s">
        <v>1694</v>
      </c>
    </row>
    <row r="2014" spans="1:9" x14ac:dyDescent="0.25">
      <c r="A2014" s="753"/>
      <c r="C2014" s="131" t="s">
        <v>1085</v>
      </c>
      <c r="D2014" s="131">
        <v>16</v>
      </c>
      <c r="E2014" s="131" t="s">
        <v>1085</v>
      </c>
      <c r="F2014" s="767">
        <v>71941.759999999995</v>
      </c>
      <c r="G2014" s="767">
        <v>3339</v>
      </c>
      <c r="H2014" s="767">
        <v>75280.759999999995</v>
      </c>
      <c r="I2014" s="768" t="s">
        <v>1695</v>
      </c>
    </row>
    <row r="2015" spans="1:9" x14ac:dyDescent="0.25">
      <c r="A2015" s="753"/>
      <c r="C2015" s="131" t="s">
        <v>1088</v>
      </c>
      <c r="D2015" s="131">
        <v>16</v>
      </c>
      <c r="E2015" s="131" t="s">
        <v>1088</v>
      </c>
      <c r="F2015" s="767">
        <v>-26140</v>
      </c>
      <c r="G2015" s="767">
        <v>-5840</v>
      </c>
      <c r="H2015" s="767">
        <v>-31980</v>
      </c>
      <c r="I2015" s="768" t="s">
        <v>1697</v>
      </c>
    </row>
    <row r="2016" spans="1:9" x14ac:dyDescent="0.25">
      <c r="A2016" s="753"/>
      <c r="C2016" s="131" t="s">
        <v>1089</v>
      </c>
      <c r="D2016" s="131">
        <v>16</v>
      </c>
      <c r="E2016" s="131" t="s">
        <v>1089</v>
      </c>
      <c r="F2016" s="767">
        <v>20811</v>
      </c>
      <c r="G2016" s="767">
        <v>4612</v>
      </c>
      <c r="H2016" s="767">
        <v>25423</v>
      </c>
      <c r="I2016" s="768" t="s">
        <v>1698</v>
      </c>
    </row>
    <row r="2017" spans="1:5" x14ac:dyDescent="0.25">
      <c r="A2017" s="753">
        <v>704928</v>
      </c>
      <c r="B2017" s="130">
        <v>1143</v>
      </c>
      <c r="E2017" s="131"/>
    </row>
    <row r="2018" spans="1:5" x14ac:dyDescent="0.25">
      <c r="A2018" s="753">
        <v>705112</v>
      </c>
      <c r="B2018" s="130">
        <v>0</v>
      </c>
      <c r="E2018" s="131"/>
    </row>
    <row r="2019" spans="1:5" x14ac:dyDescent="0.25">
      <c r="A2019" s="753">
        <v>705114</v>
      </c>
      <c r="B2019" s="130">
        <v>0</v>
      </c>
      <c r="E2019" s="131"/>
    </row>
    <row r="2020" spans="1:5" x14ac:dyDescent="0.25">
      <c r="A2020" s="753">
        <v>705116</v>
      </c>
      <c r="B2020" s="130">
        <v>0</v>
      </c>
      <c r="E2020" s="131"/>
    </row>
    <row r="2021" spans="1:5" x14ac:dyDescent="0.25">
      <c r="A2021" s="753">
        <v>705118</v>
      </c>
      <c r="B2021" s="130">
        <v>0</v>
      </c>
      <c r="E2021" s="131"/>
    </row>
    <row r="2022" spans="1:5" x14ac:dyDescent="0.25">
      <c r="A2022" s="753">
        <v>705122</v>
      </c>
      <c r="B2022" s="130">
        <v>0</v>
      </c>
      <c r="E2022" s="131"/>
    </row>
    <row r="2023" spans="1:5" x14ac:dyDescent="0.25">
      <c r="A2023" s="753">
        <v>705124</v>
      </c>
      <c r="B2023" s="130">
        <v>0</v>
      </c>
      <c r="E2023" s="131"/>
    </row>
    <row r="2024" spans="1:5" x14ac:dyDescent="0.25">
      <c r="A2024" s="753">
        <v>705126</v>
      </c>
      <c r="B2024" s="130">
        <v>0</v>
      </c>
      <c r="E2024" s="131"/>
    </row>
    <row r="2025" spans="1:5" x14ac:dyDescent="0.25">
      <c r="A2025" s="753">
        <v>705128</v>
      </c>
      <c r="B2025" s="130">
        <v>0</v>
      </c>
      <c r="E2025" s="131"/>
    </row>
    <row r="2026" spans="1:5" x14ac:dyDescent="0.25">
      <c r="A2026" s="753">
        <v>705216</v>
      </c>
      <c r="B2026" s="130">
        <v>0</v>
      </c>
      <c r="E2026" s="131"/>
    </row>
    <row r="2027" spans="1:5" x14ac:dyDescent="0.25">
      <c r="A2027" s="753">
        <v>705218</v>
      </c>
      <c r="B2027" s="130">
        <v>0</v>
      </c>
      <c r="E2027" s="131"/>
    </row>
    <row r="2028" spans="1:5" x14ac:dyDescent="0.25">
      <c r="A2028" s="753">
        <v>705226</v>
      </c>
      <c r="B2028" s="130">
        <v>0</v>
      </c>
      <c r="E2028" s="131"/>
    </row>
    <row r="2029" spans="1:5" x14ac:dyDescent="0.25">
      <c r="A2029" s="753">
        <v>705228</v>
      </c>
      <c r="B2029" s="130">
        <v>0</v>
      </c>
      <c r="E2029" s="131"/>
    </row>
    <row r="2030" spans="1:5" x14ac:dyDescent="0.25">
      <c r="A2030" s="753">
        <v>705312</v>
      </c>
      <c r="B2030" s="130">
        <v>0</v>
      </c>
      <c r="E2030" s="131"/>
    </row>
    <row r="2031" spans="1:5" x14ac:dyDescent="0.25">
      <c r="A2031" s="753">
        <v>705314</v>
      </c>
      <c r="B2031" s="130">
        <v>0</v>
      </c>
      <c r="E2031" s="131"/>
    </row>
    <row r="2032" spans="1:5" x14ac:dyDescent="0.25">
      <c r="A2032" s="753">
        <v>705316</v>
      </c>
      <c r="B2032" s="130">
        <v>0</v>
      </c>
      <c r="E2032" s="131"/>
    </row>
    <row r="2033" spans="1:5" x14ac:dyDescent="0.25">
      <c r="A2033" s="753">
        <v>705318</v>
      </c>
      <c r="B2033" s="130">
        <v>0</v>
      </c>
      <c r="E2033" s="131"/>
    </row>
    <row r="2034" spans="1:5" x14ac:dyDescent="0.25">
      <c r="A2034" s="753">
        <v>705322</v>
      </c>
      <c r="B2034" s="130">
        <v>0</v>
      </c>
      <c r="E2034" s="131"/>
    </row>
    <row r="2035" spans="1:5" x14ac:dyDescent="0.25">
      <c r="A2035" s="753">
        <v>705324</v>
      </c>
      <c r="B2035" s="130">
        <v>0</v>
      </c>
      <c r="E2035" s="131"/>
    </row>
    <row r="2036" spans="1:5" x14ac:dyDescent="0.25">
      <c r="A2036" s="753">
        <v>705326</v>
      </c>
      <c r="B2036" s="130">
        <v>0</v>
      </c>
      <c r="E2036" s="131"/>
    </row>
    <row r="2037" spans="1:5" x14ac:dyDescent="0.25">
      <c r="A2037" s="753">
        <v>705328</v>
      </c>
      <c r="B2037" s="130">
        <v>0</v>
      </c>
      <c r="E2037" s="131"/>
    </row>
    <row r="2038" spans="1:5" x14ac:dyDescent="0.25">
      <c r="A2038" s="753">
        <v>705416</v>
      </c>
      <c r="B2038" s="130">
        <v>0</v>
      </c>
      <c r="E2038" s="131"/>
    </row>
    <row r="2039" spans="1:5" x14ac:dyDescent="0.25">
      <c r="A2039" s="753">
        <v>705418</v>
      </c>
      <c r="B2039" s="130">
        <v>0</v>
      </c>
      <c r="E2039" s="131"/>
    </row>
    <row r="2040" spans="1:5" x14ac:dyDescent="0.25">
      <c r="A2040" s="753">
        <v>705426</v>
      </c>
      <c r="B2040" s="130">
        <v>0</v>
      </c>
      <c r="E2040" s="131"/>
    </row>
    <row r="2041" spans="1:5" x14ac:dyDescent="0.25">
      <c r="A2041" s="753">
        <v>705428</v>
      </c>
      <c r="B2041" s="130">
        <v>0</v>
      </c>
      <c r="E2041" s="131"/>
    </row>
    <row r="2042" spans="1:5" x14ac:dyDescent="0.25">
      <c r="A2042" s="753">
        <v>705512</v>
      </c>
      <c r="B2042" s="130">
        <v>0</v>
      </c>
      <c r="E2042" s="131"/>
    </row>
    <row r="2043" spans="1:5" x14ac:dyDescent="0.25">
      <c r="A2043" s="753">
        <v>705514</v>
      </c>
      <c r="B2043" s="130">
        <v>0</v>
      </c>
      <c r="E2043" s="131"/>
    </row>
    <row r="2044" spans="1:5" x14ac:dyDescent="0.25">
      <c r="A2044" s="753">
        <v>705516</v>
      </c>
      <c r="B2044" s="130">
        <v>0</v>
      </c>
      <c r="E2044" s="131"/>
    </row>
    <row r="2045" spans="1:5" x14ac:dyDescent="0.25">
      <c r="A2045" s="753">
        <v>705518</v>
      </c>
      <c r="B2045" s="130">
        <v>0</v>
      </c>
      <c r="E2045" s="131"/>
    </row>
    <row r="2046" spans="1:5" x14ac:dyDescent="0.25">
      <c r="A2046" s="753">
        <v>705522</v>
      </c>
      <c r="B2046" s="130">
        <v>0</v>
      </c>
      <c r="E2046" s="131"/>
    </row>
    <row r="2047" spans="1:5" x14ac:dyDescent="0.25">
      <c r="A2047" s="753">
        <v>705524</v>
      </c>
      <c r="B2047" s="130">
        <v>0</v>
      </c>
      <c r="E2047" s="131"/>
    </row>
    <row r="2048" spans="1:5" x14ac:dyDescent="0.25">
      <c r="A2048" s="753">
        <v>705526</v>
      </c>
      <c r="B2048" s="130">
        <v>0</v>
      </c>
      <c r="E2048" s="131"/>
    </row>
    <row r="2049" spans="1:5" x14ac:dyDescent="0.25">
      <c r="A2049" s="753">
        <v>705528</v>
      </c>
      <c r="B2049" s="130">
        <v>0</v>
      </c>
      <c r="E2049" s="131"/>
    </row>
    <row r="2050" spans="1:5" x14ac:dyDescent="0.25">
      <c r="A2050" s="753">
        <v>705612</v>
      </c>
      <c r="B2050" s="130">
        <v>0</v>
      </c>
      <c r="E2050" s="131"/>
    </row>
    <row r="2051" spans="1:5" x14ac:dyDescent="0.25">
      <c r="A2051" s="753">
        <v>705614</v>
      </c>
      <c r="B2051" s="130">
        <v>0</v>
      </c>
      <c r="E2051" s="131"/>
    </row>
    <row r="2052" spans="1:5" x14ac:dyDescent="0.25">
      <c r="A2052" s="753">
        <v>705616</v>
      </c>
      <c r="B2052" s="130">
        <v>0</v>
      </c>
      <c r="E2052" s="131"/>
    </row>
    <row r="2053" spans="1:5" x14ac:dyDescent="0.25">
      <c r="A2053" s="753">
        <v>705618</v>
      </c>
      <c r="B2053" s="130">
        <v>0</v>
      </c>
      <c r="E2053" s="131"/>
    </row>
    <row r="2054" spans="1:5" x14ac:dyDescent="0.25">
      <c r="A2054" s="753">
        <v>705622</v>
      </c>
      <c r="B2054" s="130">
        <v>0</v>
      </c>
      <c r="E2054" s="131"/>
    </row>
    <row r="2055" spans="1:5" x14ac:dyDescent="0.25">
      <c r="A2055" s="753">
        <v>705624</v>
      </c>
      <c r="B2055" s="130">
        <v>0</v>
      </c>
      <c r="E2055" s="131"/>
    </row>
    <row r="2056" spans="1:5" x14ac:dyDescent="0.25">
      <c r="A2056" s="753">
        <v>705626</v>
      </c>
      <c r="B2056" s="130">
        <v>0</v>
      </c>
      <c r="E2056" s="131"/>
    </row>
    <row r="2057" spans="1:5" x14ac:dyDescent="0.25">
      <c r="A2057" s="753">
        <v>705628</v>
      </c>
      <c r="B2057" s="130">
        <v>0</v>
      </c>
      <c r="E2057" s="131"/>
    </row>
    <row r="2058" spans="1:5" x14ac:dyDescent="0.25">
      <c r="A2058" s="753">
        <v>705716</v>
      </c>
      <c r="B2058" s="130">
        <v>0</v>
      </c>
      <c r="E2058" s="131"/>
    </row>
    <row r="2059" spans="1:5" x14ac:dyDescent="0.25">
      <c r="A2059" s="753">
        <v>705726</v>
      </c>
      <c r="B2059" s="130">
        <v>0</v>
      </c>
      <c r="E2059" s="131"/>
    </row>
    <row r="2060" spans="1:5" x14ac:dyDescent="0.25">
      <c r="A2060" s="753">
        <v>705912</v>
      </c>
      <c r="B2060" s="130">
        <v>0</v>
      </c>
      <c r="E2060" s="131"/>
    </row>
    <row r="2061" spans="1:5" x14ac:dyDescent="0.25">
      <c r="A2061" s="753">
        <v>705914</v>
      </c>
      <c r="B2061" s="130">
        <v>0</v>
      </c>
      <c r="E2061" s="131"/>
    </row>
    <row r="2062" spans="1:5" x14ac:dyDescent="0.25">
      <c r="A2062" s="753">
        <v>705916</v>
      </c>
      <c r="B2062" s="130">
        <v>0</v>
      </c>
      <c r="E2062" s="131"/>
    </row>
    <row r="2063" spans="1:5" x14ac:dyDescent="0.25">
      <c r="A2063" s="753">
        <v>705918</v>
      </c>
      <c r="B2063" s="130">
        <v>0</v>
      </c>
      <c r="E2063" s="131"/>
    </row>
    <row r="2064" spans="1:5" x14ac:dyDescent="0.25">
      <c r="A2064" s="753">
        <v>705922</v>
      </c>
      <c r="B2064" s="130">
        <v>0</v>
      </c>
      <c r="E2064" s="131"/>
    </row>
    <row r="2065" spans="1:5" x14ac:dyDescent="0.25">
      <c r="A2065" s="753">
        <v>705924</v>
      </c>
      <c r="B2065" s="130">
        <v>0</v>
      </c>
      <c r="E2065" s="131"/>
    </row>
    <row r="2066" spans="1:5" x14ac:dyDescent="0.25">
      <c r="A2066" s="753">
        <v>705926</v>
      </c>
      <c r="B2066" s="130">
        <v>0</v>
      </c>
      <c r="E2066" s="131"/>
    </row>
    <row r="2067" spans="1:5" x14ac:dyDescent="0.25">
      <c r="A2067" s="753">
        <v>705928</v>
      </c>
      <c r="B2067" s="130">
        <v>0</v>
      </c>
      <c r="E2067" s="131"/>
    </row>
    <row r="2068" spans="1:5" x14ac:dyDescent="0.25">
      <c r="A2068" s="753">
        <v>706012</v>
      </c>
      <c r="B2068" s="130">
        <v>0</v>
      </c>
      <c r="E2068" s="131"/>
    </row>
    <row r="2069" spans="1:5" x14ac:dyDescent="0.25">
      <c r="A2069" s="753">
        <v>706014</v>
      </c>
      <c r="B2069" s="130">
        <v>0</v>
      </c>
      <c r="E2069" s="131"/>
    </row>
    <row r="2070" spans="1:5" x14ac:dyDescent="0.25">
      <c r="A2070" s="753">
        <v>706016</v>
      </c>
      <c r="B2070" s="130">
        <v>0</v>
      </c>
      <c r="E2070" s="131"/>
    </row>
    <row r="2071" spans="1:5" x14ac:dyDescent="0.25">
      <c r="A2071" s="753">
        <v>706018</v>
      </c>
      <c r="B2071" s="130">
        <v>0</v>
      </c>
      <c r="E2071" s="131"/>
    </row>
    <row r="2072" spans="1:5" x14ac:dyDescent="0.25">
      <c r="A2072" s="753">
        <v>706022</v>
      </c>
      <c r="B2072" s="130">
        <v>0</v>
      </c>
      <c r="E2072" s="131"/>
    </row>
    <row r="2073" spans="1:5" x14ac:dyDescent="0.25">
      <c r="A2073" s="753">
        <v>706024</v>
      </c>
      <c r="B2073" s="130">
        <v>0</v>
      </c>
      <c r="E2073" s="131"/>
    </row>
    <row r="2074" spans="1:5" x14ac:dyDescent="0.25">
      <c r="A2074" s="753">
        <v>706026</v>
      </c>
      <c r="B2074" s="130">
        <v>0</v>
      </c>
      <c r="E2074" s="131"/>
    </row>
    <row r="2075" spans="1:5" x14ac:dyDescent="0.25">
      <c r="A2075" s="753">
        <v>706028</v>
      </c>
      <c r="B2075" s="130">
        <v>0</v>
      </c>
      <c r="E2075" s="131"/>
    </row>
    <row r="2076" spans="1:5" x14ac:dyDescent="0.25">
      <c r="A2076" s="753">
        <v>706112</v>
      </c>
      <c r="B2076" s="130">
        <v>0</v>
      </c>
      <c r="E2076" s="131"/>
    </row>
    <row r="2077" spans="1:5" x14ac:dyDescent="0.25">
      <c r="A2077" s="753">
        <v>706114</v>
      </c>
      <c r="B2077" s="130">
        <v>0</v>
      </c>
      <c r="E2077" s="131"/>
    </row>
    <row r="2078" spans="1:5" x14ac:dyDescent="0.25">
      <c r="A2078" s="753">
        <v>706116</v>
      </c>
      <c r="B2078" s="130">
        <v>0</v>
      </c>
      <c r="E2078" s="131"/>
    </row>
    <row r="2079" spans="1:5" x14ac:dyDescent="0.25">
      <c r="A2079" s="753">
        <v>706118</v>
      </c>
      <c r="B2079" s="130">
        <v>0</v>
      </c>
      <c r="E2079" s="131"/>
    </row>
    <row r="2080" spans="1:5" x14ac:dyDescent="0.25">
      <c r="A2080" s="753">
        <v>706122</v>
      </c>
      <c r="B2080" s="130">
        <v>0</v>
      </c>
      <c r="E2080" s="131"/>
    </row>
    <row r="2081" spans="1:5" x14ac:dyDescent="0.25">
      <c r="A2081" s="753">
        <v>706124</v>
      </c>
      <c r="B2081" s="130">
        <v>0</v>
      </c>
      <c r="E2081" s="131"/>
    </row>
    <row r="2082" spans="1:5" x14ac:dyDescent="0.25">
      <c r="A2082" s="753">
        <v>706126</v>
      </c>
      <c r="B2082" s="130">
        <v>0</v>
      </c>
      <c r="E2082" s="131"/>
    </row>
    <row r="2083" spans="1:5" x14ac:dyDescent="0.25">
      <c r="A2083" s="753">
        <v>706128</v>
      </c>
      <c r="B2083" s="130">
        <v>0</v>
      </c>
      <c r="E2083" s="131"/>
    </row>
    <row r="2084" spans="1:5" x14ac:dyDescent="0.25">
      <c r="A2084" s="753">
        <v>706212</v>
      </c>
      <c r="B2084" s="130">
        <v>0</v>
      </c>
      <c r="E2084" s="131"/>
    </row>
    <row r="2085" spans="1:5" x14ac:dyDescent="0.25">
      <c r="A2085" s="753">
        <v>706214</v>
      </c>
      <c r="B2085" s="130">
        <v>0</v>
      </c>
      <c r="E2085" s="131"/>
    </row>
    <row r="2086" spans="1:5" x14ac:dyDescent="0.25">
      <c r="A2086" s="753">
        <v>706216</v>
      </c>
      <c r="B2086" s="130">
        <v>0</v>
      </c>
      <c r="E2086" s="131"/>
    </row>
    <row r="2087" spans="1:5" x14ac:dyDescent="0.25">
      <c r="A2087" s="753">
        <v>706218</v>
      </c>
      <c r="B2087" s="130">
        <v>0</v>
      </c>
      <c r="E2087" s="131"/>
    </row>
    <row r="2088" spans="1:5" x14ac:dyDescent="0.25">
      <c r="A2088" s="753">
        <v>706222</v>
      </c>
      <c r="B2088" s="130">
        <v>0</v>
      </c>
      <c r="E2088" s="131"/>
    </row>
    <row r="2089" spans="1:5" x14ac:dyDescent="0.25">
      <c r="A2089" s="753">
        <v>706224</v>
      </c>
      <c r="B2089" s="130">
        <v>0</v>
      </c>
      <c r="E2089" s="131"/>
    </row>
    <row r="2090" spans="1:5" x14ac:dyDescent="0.25">
      <c r="A2090" s="753">
        <v>706226</v>
      </c>
      <c r="B2090" s="130">
        <v>0</v>
      </c>
      <c r="E2090" s="131"/>
    </row>
    <row r="2091" spans="1:5" x14ac:dyDescent="0.25">
      <c r="A2091" s="753">
        <v>706228</v>
      </c>
      <c r="B2091" s="130">
        <v>0</v>
      </c>
      <c r="E2091" s="131"/>
    </row>
    <row r="2092" spans="1:5" x14ac:dyDescent="0.25">
      <c r="A2092" s="753">
        <v>706312</v>
      </c>
      <c r="B2092" s="130">
        <v>0</v>
      </c>
      <c r="E2092" s="131"/>
    </row>
    <row r="2093" spans="1:5" x14ac:dyDescent="0.25">
      <c r="A2093" s="753">
        <v>706314</v>
      </c>
      <c r="B2093" s="130">
        <v>0</v>
      </c>
      <c r="E2093" s="131"/>
    </row>
    <row r="2094" spans="1:5" x14ac:dyDescent="0.25">
      <c r="A2094" s="753">
        <v>706316</v>
      </c>
      <c r="B2094" s="130">
        <v>0</v>
      </c>
      <c r="E2094" s="131"/>
    </row>
    <row r="2095" spans="1:5" x14ac:dyDescent="0.25">
      <c r="A2095" s="753">
        <v>706318</v>
      </c>
      <c r="B2095" s="130">
        <v>0</v>
      </c>
      <c r="E2095" s="131"/>
    </row>
    <row r="2096" spans="1:5" x14ac:dyDescent="0.25">
      <c r="A2096" s="753">
        <v>706322</v>
      </c>
      <c r="B2096" s="130">
        <v>0</v>
      </c>
      <c r="E2096" s="131"/>
    </row>
    <row r="2097" spans="1:5" x14ac:dyDescent="0.25">
      <c r="A2097" s="753">
        <v>706324</v>
      </c>
      <c r="B2097" s="130">
        <v>0</v>
      </c>
      <c r="E2097" s="131"/>
    </row>
    <row r="2098" spans="1:5" x14ac:dyDescent="0.25">
      <c r="A2098" s="753">
        <v>706326</v>
      </c>
      <c r="B2098" s="130">
        <v>0</v>
      </c>
      <c r="E2098" s="131"/>
    </row>
    <row r="2099" spans="1:5" x14ac:dyDescent="0.25">
      <c r="A2099" s="753">
        <v>706328</v>
      </c>
      <c r="B2099" s="130">
        <v>0</v>
      </c>
      <c r="E2099" s="131"/>
    </row>
    <row r="2100" spans="1:5" x14ac:dyDescent="0.25">
      <c r="A2100" s="753">
        <v>706412</v>
      </c>
      <c r="B2100" s="130">
        <v>0</v>
      </c>
      <c r="E2100" s="131"/>
    </row>
    <row r="2101" spans="1:5" x14ac:dyDescent="0.25">
      <c r="A2101" s="753">
        <v>706414</v>
      </c>
      <c r="B2101" s="130">
        <v>0</v>
      </c>
      <c r="E2101" s="131"/>
    </row>
    <row r="2102" spans="1:5" x14ac:dyDescent="0.25">
      <c r="A2102" s="753">
        <v>706416</v>
      </c>
      <c r="B2102" s="130">
        <v>0</v>
      </c>
      <c r="E2102" s="131"/>
    </row>
    <row r="2103" spans="1:5" x14ac:dyDescent="0.25">
      <c r="A2103" s="753">
        <v>706418</v>
      </c>
      <c r="B2103" s="130">
        <v>0</v>
      </c>
      <c r="E2103" s="131"/>
    </row>
    <row r="2104" spans="1:5" x14ac:dyDescent="0.25">
      <c r="A2104" s="753">
        <v>706422</v>
      </c>
      <c r="B2104" s="130">
        <v>0</v>
      </c>
      <c r="E2104" s="131"/>
    </row>
    <row r="2105" spans="1:5" x14ac:dyDescent="0.25">
      <c r="A2105" s="753">
        <v>706424</v>
      </c>
      <c r="B2105" s="130">
        <v>0</v>
      </c>
      <c r="E2105" s="131"/>
    </row>
    <row r="2106" spans="1:5" x14ac:dyDescent="0.25">
      <c r="A2106" s="753">
        <v>706426</v>
      </c>
      <c r="B2106" s="130">
        <v>0</v>
      </c>
      <c r="E2106" s="131"/>
    </row>
    <row r="2107" spans="1:5" x14ac:dyDescent="0.25">
      <c r="A2107" s="753">
        <v>706428</v>
      </c>
      <c r="B2107" s="130">
        <v>0</v>
      </c>
      <c r="E2107" s="131"/>
    </row>
    <row r="2108" spans="1:5" x14ac:dyDescent="0.25">
      <c r="A2108" s="753">
        <v>706512</v>
      </c>
      <c r="B2108" s="130">
        <v>0</v>
      </c>
      <c r="E2108" s="131"/>
    </row>
    <row r="2109" spans="1:5" x14ac:dyDescent="0.25">
      <c r="A2109" s="753">
        <v>706514</v>
      </c>
      <c r="B2109" s="130">
        <v>0</v>
      </c>
      <c r="E2109" s="131"/>
    </row>
    <row r="2110" spans="1:5" x14ac:dyDescent="0.25">
      <c r="A2110" s="753">
        <v>706516</v>
      </c>
      <c r="B2110" s="130">
        <v>0</v>
      </c>
      <c r="E2110" s="131"/>
    </row>
    <row r="2111" spans="1:5" x14ac:dyDescent="0.25">
      <c r="A2111" s="753">
        <v>706518</v>
      </c>
      <c r="B2111" s="130">
        <v>0</v>
      </c>
      <c r="E2111" s="131"/>
    </row>
    <row r="2112" spans="1:5" x14ac:dyDescent="0.25">
      <c r="A2112" s="753">
        <v>706522</v>
      </c>
      <c r="B2112" s="130">
        <v>0</v>
      </c>
      <c r="E2112" s="131"/>
    </row>
    <row r="2113" spans="1:9" x14ac:dyDescent="0.25">
      <c r="A2113" s="753">
        <v>706524</v>
      </c>
      <c r="B2113" s="130">
        <v>0</v>
      </c>
      <c r="E2113" s="131"/>
    </row>
    <row r="2114" spans="1:9" x14ac:dyDescent="0.25">
      <c r="A2114" s="753">
        <v>706526</v>
      </c>
      <c r="B2114" s="130">
        <v>0</v>
      </c>
      <c r="E2114" s="131"/>
    </row>
    <row r="2115" spans="1:9" x14ac:dyDescent="0.25">
      <c r="A2115" s="753">
        <v>706528</v>
      </c>
      <c r="B2115" s="130">
        <v>0</v>
      </c>
      <c r="E2115" s="131"/>
    </row>
    <row r="2116" spans="1:9" x14ac:dyDescent="0.25">
      <c r="A2116" s="753">
        <v>706712</v>
      </c>
      <c r="B2116" s="130">
        <v>10</v>
      </c>
      <c r="E2116" s="131"/>
    </row>
    <row r="2117" spans="1:9" x14ac:dyDescent="0.25">
      <c r="A2117" s="753">
        <v>706714</v>
      </c>
      <c r="B2117" s="130">
        <v>1287281</v>
      </c>
      <c r="E2117" s="131"/>
    </row>
    <row r="2118" spans="1:9" x14ac:dyDescent="0.25">
      <c r="A2118" s="753">
        <v>706716</v>
      </c>
      <c r="B2118" s="130">
        <v>63438</v>
      </c>
      <c r="C2118" s="131" t="s">
        <v>1060</v>
      </c>
      <c r="D2118" s="131">
        <v>16</v>
      </c>
      <c r="E2118" s="131" t="s">
        <v>1060</v>
      </c>
      <c r="F2118" s="767">
        <v>-1460919</v>
      </c>
      <c r="G2118" s="767">
        <v>-53091</v>
      </c>
      <c r="H2118" s="767">
        <v>-1514010</v>
      </c>
      <c r="I2118" s="768" t="s">
        <v>1609</v>
      </c>
    </row>
    <row r="2119" spans="1:9" x14ac:dyDescent="0.25">
      <c r="A2119" s="753"/>
      <c r="C2119" s="131" t="s">
        <v>1061</v>
      </c>
      <c r="D2119" s="131">
        <v>16</v>
      </c>
      <c r="E2119" s="131" t="s">
        <v>1061</v>
      </c>
      <c r="F2119" s="767">
        <v>-1549824.14</v>
      </c>
      <c r="G2119" s="767">
        <v>-195712.38</v>
      </c>
      <c r="H2119" s="767">
        <v>-1745536.52</v>
      </c>
      <c r="I2119" s="768" t="s">
        <v>1610</v>
      </c>
    </row>
    <row r="2120" spans="1:9" x14ac:dyDescent="0.25">
      <c r="A2120" s="753"/>
      <c r="C2120" s="131" t="s">
        <v>1062</v>
      </c>
      <c r="D2120" s="131">
        <v>16</v>
      </c>
      <c r="E2120" s="131" t="s">
        <v>1062</v>
      </c>
      <c r="F2120" s="767">
        <v>1375160.23</v>
      </c>
      <c r="G2120" s="767">
        <v>47910.8</v>
      </c>
      <c r="H2120" s="767">
        <v>1423071.03</v>
      </c>
      <c r="I2120" s="768" t="s">
        <v>1611</v>
      </c>
    </row>
    <row r="2121" spans="1:9" x14ac:dyDescent="0.25">
      <c r="A2121" s="753"/>
      <c r="C2121" s="131" t="s">
        <v>1063</v>
      </c>
      <c r="D2121" s="131">
        <v>16</v>
      </c>
      <c r="E2121" s="131" t="s">
        <v>1063</v>
      </c>
      <c r="F2121" s="767">
        <v>1475708.6</v>
      </c>
      <c r="G2121" s="767">
        <v>186649.34</v>
      </c>
      <c r="H2121" s="767">
        <v>1662357.94</v>
      </c>
      <c r="I2121" s="768" t="s">
        <v>1612</v>
      </c>
    </row>
    <row r="2122" spans="1:9" x14ac:dyDescent="0.25">
      <c r="A2122" s="753"/>
      <c r="C2122" s="131" t="s">
        <v>1064</v>
      </c>
      <c r="D2122" s="131">
        <v>16</v>
      </c>
      <c r="E2122" s="131" t="s">
        <v>1064</v>
      </c>
      <c r="F2122" s="767">
        <v>21586.03</v>
      </c>
      <c r="G2122" s="767">
        <v>462.45</v>
      </c>
      <c r="H2122" s="767">
        <v>22048.48</v>
      </c>
      <c r="I2122" s="768" t="s">
        <v>1613</v>
      </c>
    </row>
    <row r="2123" spans="1:9" x14ac:dyDescent="0.25">
      <c r="A2123" s="753"/>
      <c r="C2123" s="131" t="s">
        <v>1065</v>
      </c>
      <c r="D2123" s="131">
        <v>16</v>
      </c>
      <c r="E2123" s="131" t="s">
        <v>1065</v>
      </c>
      <c r="F2123" s="767">
        <v>18995.09</v>
      </c>
      <c r="G2123" s="767">
        <v>3073.52</v>
      </c>
      <c r="H2123" s="767">
        <v>22068.61</v>
      </c>
      <c r="I2123" s="768" t="s">
        <v>1614</v>
      </c>
    </row>
    <row r="2124" spans="1:9" x14ac:dyDescent="0.25">
      <c r="A2124" s="753"/>
      <c r="C2124" s="131" t="s">
        <v>1067</v>
      </c>
      <c r="D2124" s="131">
        <v>16</v>
      </c>
      <c r="E2124" s="131" t="s">
        <v>1067</v>
      </c>
      <c r="F2124" s="767">
        <v>-1130418.73</v>
      </c>
      <c r="G2124" s="767">
        <v>-109756</v>
      </c>
      <c r="H2124" s="767">
        <v>-1240174.73</v>
      </c>
      <c r="I2124" s="768" t="s">
        <v>1618</v>
      </c>
    </row>
    <row r="2125" spans="1:9" x14ac:dyDescent="0.25">
      <c r="A2125" s="753"/>
      <c r="C2125" s="131" t="s">
        <v>1068</v>
      </c>
      <c r="D2125" s="131">
        <v>16</v>
      </c>
      <c r="E2125" s="131" t="s">
        <v>1068</v>
      </c>
      <c r="F2125" s="767">
        <v>-1119790.01</v>
      </c>
      <c r="G2125" s="767">
        <v>-77747</v>
      </c>
      <c r="H2125" s="767">
        <v>-1197537.01</v>
      </c>
      <c r="I2125" s="768" t="s">
        <v>1619</v>
      </c>
    </row>
    <row r="2126" spans="1:9" x14ac:dyDescent="0.25">
      <c r="A2126" s="753"/>
      <c r="C2126" s="131" t="s">
        <v>1069</v>
      </c>
      <c r="D2126" s="131">
        <v>16</v>
      </c>
      <c r="E2126" s="131" t="s">
        <v>1069</v>
      </c>
      <c r="F2126" s="767">
        <v>1022346.95</v>
      </c>
      <c r="G2126" s="767">
        <v>96071.65</v>
      </c>
      <c r="H2126" s="767">
        <v>1118418.6000000001</v>
      </c>
      <c r="I2126" s="768" t="s">
        <v>1620</v>
      </c>
    </row>
    <row r="2127" spans="1:9" x14ac:dyDescent="0.25">
      <c r="A2127" s="753"/>
      <c r="C2127" s="131" t="s">
        <v>1621</v>
      </c>
      <c r="D2127" s="131">
        <v>16</v>
      </c>
      <c r="E2127" s="131" t="s">
        <v>1621</v>
      </c>
      <c r="F2127" s="767">
        <v>1010840.53</v>
      </c>
      <c r="G2127" s="767">
        <v>65873.399999999994</v>
      </c>
      <c r="H2127" s="767">
        <v>1076713.93</v>
      </c>
      <c r="I2127" s="768" t="s">
        <v>1622</v>
      </c>
    </row>
    <row r="2128" spans="1:9" x14ac:dyDescent="0.25">
      <c r="A2128" s="753"/>
      <c r="C2128" s="131" t="s">
        <v>1070</v>
      </c>
      <c r="D2128" s="131">
        <v>16</v>
      </c>
      <c r="E2128" s="131" t="s">
        <v>1070</v>
      </c>
      <c r="F2128" s="767">
        <v>49886.239999999998</v>
      </c>
      <c r="G2128" s="767">
        <v>2176.36</v>
      </c>
      <c r="H2128" s="767">
        <v>52062.6</v>
      </c>
      <c r="I2128" s="768" t="s">
        <v>1623</v>
      </c>
    </row>
    <row r="2129" spans="1:9" x14ac:dyDescent="0.25">
      <c r="A2129" s="753"/>
      <c r="C2129" s="131" t="s">
        <v>1071</v>
      </c>
      <c r="D2129" s="131">
        <v>16</v>
      </c>
      <c r="E2129" s="131" t="s">
        <v>1071</v>
      </c>
      <c r="F2129" s="767">
        <v>58297.48</v>
      </c>
      <c r="G2129" s="767">
        <v>1557.59</v>
      </c>
      <c r="H2129" s="767">
        <v>59855.07</v>
      </c>
      <c r="I2129" s="768" t="s">
        <v>1624</v>
      </c>
    </row>
    <row r="2130" spans="1:9" x14ac:dyDescent="0.25">
      <c r="A2130" s="753"/>
      <c r="C2130" s="131" t="s">
        <v>1073</v>
      </c>
      <c r="D2130" s="131">
        <v>16</v>
      </c>
      <c r="E2130" s="131" t="s">
        <v>1073</v>
      </c>
      <c r="F2130" s="767">
        <v>-965583</v>
      </c>
      <c r="G2130" s="767">
        <v>-284605</v>
      </c>
      <c r="H2130" s="767">
        <v>-1250188</v>
      </c>
      <c r="I2130" s="768" t="s">
        <v>1628</v>
      </c>
    </row>
    <row r="2131" spans="1:9" x14ac:dyDescent="0.25">
      <c r="A2131" s="753"/>
      <c r="C2131" s="131" t="s">
        <v>1074</v>
      </c>
      <c r="D2131" s="131">
        <v>16</v>
      </c>
      <c r="E2131" s="131" t="s">
        <v>1074</v>
      </c>
      <c r="F2131" s="767">
        <v>-1430324.1</v>
      </c>
      <c r="G2131" s="767">
        <v>-390900</v>
      </c>
      <c r="H2131" s="767">
        <v>-1821224.1</v>
      </c>
      <c r="I2131" s="768" t="s">
        <v>1629</v>
      </c>
    </row>
    <row r="2132" spans="1:9" x14ac:dyDescent="0.25">
      <c r="A2132" s="753"/>
      <c r="C2132" s="131" t="s">
        <v>1075</v>
      </c>
      <c r="D2132" s="131">
        <v>16</v>
      </c>
      <c r="E2132" s="131" t="s">
        <v>1075</v>
      </c>
      <c r="F2132" s="767">
        <v>954358.14</v>
      </c>
      <c r="G2132" s="767">
        <v>291394.84000000003</v>
      </c>
      <c r="H2132" s="767">
        <v>1245752.98</v>
      </c>
      <c r="I2132" s="768" t="s">
        <v>1630</v>
      </c>
    </row>
    <row r="2133" spans="1:9" x14ac:dyDescent="0.25">
      <c r="A2133" s="753"/>
      <c r="C2133" s="131" t="s">
        <v>1076</v>
      </c>
      <c r="D2133" s="131">
        <v>16</v>
      </c>
      <c r="E2133" s="131" t="s">
        <v>1076</v>
      </c>
      <c r="F2133" s="767">
        <v>1420210.23</v>
      </c>
      <c r="G2133" s="767">
        <v>376052.95</v>
      </c>
      <c r="H2133" s="767">
        <v>1796263.18</v>
      </c>
      <c r="I2133" s="768" t="s">
        <v>1631</v>
      </c>
    </row>
    <row r="2134" spans="1:9" x14ac:dyDescent="0.25">
      <c r="A2134" s="753"/>
      <c r="C2134" s="131">
        <v>448</v>
      </c>
      <c r="D2134" s="131">
        <v>16</v>
      </c>
      <c r="E2134" s="131">
        <v>448</v>
      </c>
      <c r="F2134" s="767">
        <v>-1190183.3500000001</v>
      </c>
      <c r="G2134" s="767">
        <v>-142311.89000000001</v>
      </c>
      <c r="H2134" s="767">
        <v>-1332495.24</v>
      </c>
      <c r="I2134" s="768" t="s">
        <v>1633</v>
      </c>
    </row>
    <row r="2135" spans="1:9" x14ac:dyDescent="0.25">
      <c r="A2135" s="753"/>
      <c r="C2135" s="131">
        <v>648</v>
      </c>
      <c r="D2135" s="131">
        <v>16</v>
      </c>
      <c r="E2135" s="131">
        <v>648</v>
      </c>
      <c r="F2135" s="767">
        <v>1150313.78</v>
      </c>
      <c r="G2135" s="767">
        <v>138940.88</v>
      </c>
      <c r="H2135" s="767">
        <v>1289254.6599999999</v>
      </c>
      <c r="I2135" s="768" t="s">
        <v>1634</v>
      </c>
    </row>
    <row r="2136" spans="1:9" x14ac:dyDescent="0.25">
      <c r="A2136" s="753"/>
      <c r="C2136" s="131">
        <v>450</v>
      </c>
      <c r="D2136" s="131">
        <v>16</v>
      </c>
      <c r="E2136" s="131" t="s">
        <v>296</v>
      </c>
      <c r="F2136" s="767">
        <v>-24681.279999999999</v>
      </c>
      <c r="G2136" s="767">
        <v>-1050.4000000000001</v>
      </c>
      <c r="H2136" s="767">
        <v>-25731.68</v>
      </c>
      <c r="I2136" s="768" t="s">
        <v>1641</v>
      </c>
    </row>
    <row r="2137" spans="1:9" x14ac:dyDescent="0.25">
      <c r="A2137" s="753"/>
      <c r="C2137" s="131">
        <v>450</v>
      </c>
      <c r="D2137" s="131">
        <v>16</v>
      </c>
      <c r="E2137" s="131" t="s">
        <v>1642</v>
      </c>
      <c r="F2137" s="767">
        <v>-1526</v>
      </c>
      <c r="G2137" s="767">
        <v>0</v>
      </c>
      <c r="H2137" s="767">
        <v>-1526</v>
      </c>
      <c r="I2137" s="768" t="s">
        <v>1643</v>
      </c>
    </row>
    <row r="2138" spans="1:9" x14ac:dyDescent="0.25">
      <c r="A2138" s="753"/>
      <c r="C2138" s="131">
        <v>450</v>
      </c>
      <c r="D2138" s="131">
        <v>16</v>
      </c>
      <c r="E2138" s="131">
        <v>450</v>
      </c>
      <c r="F2138" s="767">
        <v>-15561</v>
      </c>
      <c r="G2138" s="767">
        <v>-1596</v>
      </c>
      <c r="H2138" s="767">
        <v>-17157</v>
      </c>
      <c r="I2138" s="768" t="s">
        <v>1644</v>
      </c>
    </row>
    <row r="2139" spans="1:9" x14ac:dyDescent="0.25">
      <c r="A2139" s="753"/>
      <c r="C2139" s="131">
        <v>450</v>
      </c>
      <c r="D2139" s="131">
        <v>16</v>
      </c>
      <c r="E2139" s="131" t="s">
        <v>1645</v>
      </c>
      <c r="F2139" s="767">
        <v>-675</v>
      </c>
      <c r="G2139" s="767">
        <v>0</v>
      </c>
      <c r="H2139" s="767">
        <v>-675</v>
      </c>
      <c r="I2139" s="768" t="s">
        <v>1646</v>
      </c>
    </row>
    <row r="2140" spans="1:9" x14ac:dyDescent="0.25">
      <c r="A2140" s="753"/>
      <c r="C2140" s="131">
        <v>450</v>
      </c>
      <c r="D2140" s="131">
        <v>16</v>
      </c>
      <c r="E2140" s="131" t="s">
        <v>295</v>
      </c>
      <c r="F2140" s="767">
        <v>-9310</v>
      </c>
      <c r="G2140" s="767">
        <v>-545</v>
      </c>
      <c r="H2140" s="767">
        <v>-9855</v>
      </c>
      <c r="I2140" s="768" t="s">
        <v>1647</v>
      </c>
    </row>
    <row r="2141" spans="1:9" x14ac:dyDescent="0.25">
      <c r="A2141" s="753"/>
      <c r="C2141" s="131">
        <v>450</v>
      </c>
      <c r="D2141" s="131">
        <v>16</v>
      </c>
      <c r="E2141" s="131" t="s">
        <v>1648</v>
      </c>
      <c r="F2141" s="767">
        <v>-965</v>
      </c>
      <c r="G2141" s="767">
        <v>0</v>
      </c>
      <c r="H2141" s="767">
        <v>-965</v>
      </c>
      <c r="I2141" s="768" t="s">
        <v>1649</v>
      </c>
    </row>
    <row r="2142" spans="1:9" x14ac:dyDescent="0.25">
      <c r="A2142" s="753"/>
      <c r="C2142" s="131">
        <v>450</v>
      </c>
      <c r="D2142" s="131">
        <v>16</v>
      </c>
      <c r="E2142" s="131" t="s">
        <v>974</v>
      </c>
      <c r="F2142" s="767">
        <v>-80920</v>
      </c>
      <c r="G2142" s="767">
        <v>-7140</v>
      </c>
      <c r="H2142" s="767">
        <v>-88060</v>
      </c>
      <c r="I2142" s="768" t="s">
        <v>1650</v>
      </c>
    </row>
    <row r="2143" spans="1:9" x14ac:dyDescent="0.25">
      <c r="A2143" s="753"/>
      <c r="C2143" s="131">
        <v>450</v>
      </c>
      <c r="D2143" s="131">
        <v>16</v>
      </c>
      <c r="E2143" s="131" t="s">
        <v>292</v>
      </c>
      <c r="F2143" s="767">
        <v>-2798</v>
      </c>
      <c r="G2143" s="767">
        <v>0</v>
      </c>
      <c r="H2143" s="767">
        <v>-2798</v>
      </c>
      <c r="I2143" s="768" t="s">
        <v>1651</v>
      </c>
    </row>
    <row r="2144" spans="1:9" x14ac:dyDescent="0.25">
      <c r="A2144" s="753"/>
      <c r="C2144" s="131">
        <v>450</v>
      </c>
      <c r="D2144" s="131">
        <v>16</v>
      </c>
      <c r="E2144" s="131" t="s">
        <v>1652</v>
      </c>
      <c r="F2144" s="767">
        <v>1068.2</v>
      </c>
      <c r="G2144" s="767">
        <v>0</v>
      </c>
      <c r="H2144" s="767">
        <v>1068.2</v>
      </c>
      <c r="I2144" s="768" t="s">
        <v>1653</v>
      </c>
    </row>
    <row r="2145" spans="1:9" x14ac:dyDescent="0.25">
      <c r="A2145" s="753"/>
      <c r="C2145" s="131">
        <v>450</v>
      </c>
      <c r="D2145" s="131">
        <v>16</v>
      </c>
      <c r="E2145" s="131" t="s">
        <v>1176</v>
      </c>
      <c r="F2145" s="767">
        <v>6380</v>
      </c>
      <c r="G2145" s="767">
        <v>545</v>
      </c>
      <c r="H2145" s="767">
        <v>6925</v>
      </c>
      <c r="I2145" s="768" t="s">
        <v>1654</v>
      </c>
    </row>
    <row r="2146" spans="1:9" x14ac:dyDescent="0.25">
      <c r="A2146" s="753"/>
      <c r="C2146" s="131">
        <v>450</v>
      </c>
      <c r="D2146" s="131">
        <v>16</v>
      </c>
      <c r="E2146" s="131" t="s">
        <v>1655</v>
      </c>
      <c r="F2146" s="767">
        <v>840</v>
      </c>
      <c r="G2146" s="767">
        <v>0</v>
      </c>
      <c r="H2146" s="767">
        <v>840</v>
      </c>
      <c r="I2146" s="768" t="s">
        <v>1656</v>
      </c>
    </row>
    <row r="2147" spans="1:9" x14ac:dyDescent="0.25">
      <c r="A2147" s="753"/>
      <c r="C2147" s="131">
        <v>450</v>
      </c>
      <c r="D2147" s="131">
        <v>16</v>
      </c>
      <c r="E2147" s="131">
        <v>650</v>
      </c>
      <c r="F2147" s="767">
        <v>2730</v>
      </c>
      <c r="G2147" s="767">
        <v>280</v>
      </c>
      <c r="H2147" s="767">
        <v>3010</v>
      </c>
      <c r="I2147" s="768" t="s">
        <v>1657</v>
      </c>
    </row>
    <row r="2148" spans="1:9" x14ac:dyDescent="0.25">
      <c r="A2148" s="753"/>
      <c r="C2148" s="131">
        <v>450</v>
      </c>
      <c r="D2148" s="131">
        <v>16</v>
      </c>
      <c r="E2148" s="131" t="s">
        <v>1174</v>
      </c>
      <c r="F2148" s="767">
        <v>1770</v>
      </c>
      <c r="G2148" s="767">
        <v>0</v>
      </c>
      <c r="H2148" s="767">
        <v>1770</v>
      </c>
      <c r="I2148" s="768" t="s">
        <v>1658</v>
      </c>
    </row>
    <row r="2149" spans="1:9" x14ac:dyDescent="0.25">
      <c r="A2149" s="753"/>
      <c r="C2149" s="131" t="s">
        <v>1080</v>
      </c>
      <c r="D2149" s="131">
        <v>16</v>
      </c>
      <c r="E2149" s="131" t="s">
        <v>1667</v>
      </c>
      <c r="F2149" s="767">
        <v>1160</v>
      </c>
      <c r="G2149" s="767">
        <v>0</v>
      </c>
      <c r="H2149" s="767">
        <v>1160</v>
      </c>
      <c r="I2149" s="768" t="s">
        <v>1668</v>
      </c>
    </row>
    <row r="2150" spans="1:9" x14ac:dyDescent="0.25">
      <c r="A2150" s="753"/>
      <c r="C2150" s="131" t="s">
        <v>1080</v>
      </c>
      <c r="D2150" s="131">
        <v>16</v>
      </c>
      <c r="E2150" s="131" t="s">
        <v>1669</v>
      </c>
      <c r="F2150" s="767">
        <v>-2349</v>
      </c>
      <c r="G2150" s="767">
        <v>0</v>
      </c>
      <c r="H2150" s="767">
        <v>-2349</v>
      </c>
      <c r="I2150" s="768" t="s">
        <v>1670</v>
      </c>
    </row>
    <row r="2151" spans="1:9" x14ac:dyDescent="0.25">
      <c r="A2151" s="753"/>
      <c r="C2151" s="131" t="s">
        <v>1080</v>
      </c>
      <c r="D2151" s="131">
        <v>16</v>
      </c>
      <c r="E2151" s="131" t="s">
        <v>1671</v>
      </c>
      <c r="F2151" s="767">
        <v>1165</v>
      </c>
      <c r="G2151" s="767">
        <v>0</v>
      </c>
      <c r="H2151" s="767">
        <v>1165</v>
      </c>
      <c r="I2151" s="768" t="s">
        <v>1672</v>
      </c>
    </row>
    <row r="2152" spans="1:9" x14ac:dyDescent="0.25">
      <c r="A2152" s="753"/>
      <c r="C2152" s="131" t="s">
        <v>1080</v>
      </c>
      <c r="D2152" s="131">
        <v>16</v>
      </c>
      <c r="E2152" s="131" t="s">
        <v>1673</v>
      </c>
      <c r="F2152" s="767">
        <v>115.05</v>
      </c>
      <c r="G2152" s="767">
        <v>0</v>
      </c>
      <c r="H2152" s="767">
        <v>115.05</v>
      </c>
      <c r="I2152" s="768" t="s">
        <v>1674</v>
      </c>
    </row>
    <row r="2153" spans="1:9" x14ac:dyDescent="0.25">
      <c r="A2153" s="753"/>
      <c r="C2153" s="131" t="s">
        <v>1080</v>
      </c>
      <c r="D2153" s="131">
        <v>16</v>
      </c>
      <c r="E2153" s="131" t="s">
        <v>1675</v>
      </c>
      <c r="F2153" s="767">
        <v>-795</v>
      </c>
      <c r="G2153" s="767">
        <v>0</v>
      </c>
      <c r="H2153" s="767">
        <v>-795</v>
      </c>
      <c r="I2153" s="768" t="s">
        <v>1676</v>
      </c>
    </row>
    <row r="2154" spans="1:9" x14ac:dyDescent="0.25">
      <c r="A2154" s="753"/>
      <c r="C2154" s="131" t="s">
        <v>1080</v>
      </c>
      <c r="D2154" s="131">
        <v>16</v>
      </c>
      <c r="E2154" s="131" t="s">
        <v>1677</v>
      </c>
      <c r="F2154" s="767">
        <v>3640</v>
      </c>
      <c r="G2154" s="767">
        <v>350</v>
      </c>
      <c r="H2154" s="767">
        <v>3990</v>
      </c>
      <c r="I2154" s="768" t="s">
        <v>1678</v>
      </c>
    </row>
    <row r="2155" spans="1:9" x14ac:dyDescent="0.25">
      <c r="A2155" s="753"/>
      <c r="C2155" s="131" t="s">
        <v>1080</v>
      </c>
      <c r="D2155" s="131">
        <v>16</v>
      </c>
      <c r="E2155" s="131" t="s">
        <v>1679</v>
      </c>
      <c r="F2155" s="767">
        <v>-20748</v>
      </c>
      <c r="G2155" s="767">
        <v>-1995</v>
      </c>
      <c r="H2155" s="767">
        <v>-22743</v>
      </c>
      <c r="I2155" s="768" t="s">
        <v>1680</v>
      </c>
    </row>
    <row r="2156" spans="1:9" x14ac:dyDescent="0.25">
      <c r="A2156" s="753"/>
      <c r="C2156" s="131" t="s">
        <v>1080</v>
      </c>
      <c r="D2156" s="131">
        <v>16</v>
      </c>
      <c r="E2156" s="131" t="s">
        <v>1681</v>
      </c>
      <c r="F2156" s="767">
        <v>670</v>
      </c>
      <c r="G2156" s="767">
        <v>0</v>
      </c>
      <c r="H2156" s="767">
        <v>670</v>
      </c>
      <c r="I2156" s="768" t="s">
        <v>1682</v>
      </c>
    </row>
    <row r="2157" spans="1:9" x14ac:dyDescent="0.25">
      <c r="A2157" s="753"/>
      <c r="C2157" s="131" t="s">
        <v>1080</v>
      </c>
      <c r="D2157" s="131">
        <v>16</v>
      </c>
      <c r="E2157" s="131" t="s">
        <v>1683</v>
      </c>
      <c r="F2157" s="767">
        <v>-1199</v>
      </c>
      <c r="G2157" s="767">
        <v>0</v>
      </c>
      <c r="H2157" s="767">
        <v>-1199</v>
      </c>
      <c r="I2157" s="768" t="s">
        <v>1684</v>
      </c>
    </row>
    <row r="2158" spans="1:9" x14ac:dyDescent="0.25">
      <c r="A2158" s="753"/>
      <c r="C2158" s="131" t="s">
        <v>1080</v>
      </c>
      <c r="D2158" s="131">
        <v>16</v>
      </c>
      <c r="E2158" s="131" t="s">
        <v>1685</v>
      </c>
      <c r="F2158" s="767">
        <v>-14936.54</v>
      </c>
      <c r="G2158" s="767">
        <v>-4190.53</v>
      </c>
      <c r="H2158" s="767">
        <v>-19127.07</v>
      </c>
      <c r="I2158" s="768" t="s">
        <v>1686</v>
      </c>
    </row>
    <row r="2159" spans="1:9" x14ac:dyDescent="0.25">
      <c r="A2159" s="753"/>
      <c r="C2159" s="131" t="s">
        <v>1080</v>
      </c>
      <c r="D2159" s="131">
        <v>16</v>
      </c>
      <c r="E2159" s="131" t="s">
        <v>1687</v>
      </c>
      <c r="F2159" s="767">
        <v>-3765</v>
      </c>
      <c r="G2159" s="767">
        <v>0</v>
      </c>
      <c r="H2159" s="767">
        <v>-3765</v>
      </c>
      <c r="I2159" s="768" t="s">
        <v>1688</v>
      </c>
    </row>
    <row r="2160" spans="1:9" x14ac:dyDescent="0.25">
      <c r="A2160" s="753"/>
      <c r="C2160" s="131">
        <v>452</v>
      </c>
      <c r="D2160" s="131">
        <v>16</v>
      </c>
      <c r="E2160" s="131">
        <v>452</v>
      </c>
      <c r="F2160" s="767">
        <v>-123190.19</v>
      </c>
      <c r="G2160" s="767">
        <v>-7344</v>
      </c>
      <c r="H2160" s="767">
        <v>-130534.19</v>
      </c>
      <c r="I2160" s="768" t="s">
        <v>1690</v>
      </c>
    </row>
    <row r="2161" spans="1:9" x14ac:dyDescent="0.25">
      <c r="A2161" s="753"/>
      <c r="C2161" s="131">
        <v>652</v>
      </c>
      <c r="D2161" s="131">
        <v>16</v>
      </c>
      <c r="E2161" s="131">
        <v>652</v>
      </c>
      <c r="F2161" s="767">
        <v>75857</v>
      </c>
      <c r="G2161" s="767">
        <v>5728</v>
      </c>
      <c r="H2161" s="767">
        <v>81585</v>
      </c>
      <c r="I2161" s="768" t="s">
        <v>1691</v>
      </c>
    </row>
    <row r="2162" spans="1:9" x14ac:dyDescent="0.25">
      <c r="A2162" s="753"/>
      <c r="C2162" s="131" t="s">
        <v>1084</v>
      </c>
      <c r="D2162" s="131">
        <v>16</v>
      </c>
      <c r="E2162" s="131" t="s">
        <v>1084</v>
      </c>
      <c r="F2162" s="767">
        <v>-115818.16</v>
      </c>
      <c r="G2162" s="767">
        <v>-4632</v>
      </c>
      <c r="H2162" s="767">
        <v>-120450.16</v>
      </c>
      <c r="I2162" s="768" t="s">
        <v>1694</v>
      </c>
    </row>
    <row r="2163" spans="1:9" x14ac:dyDescent="0.25">
      <c r="A2163" s="753"/>
      <c r="C2163" s="131" t="s">
        <v>1085</v>
      </c>
      <c r="D2163" s="131">
        <v>16</v>
      </c>
      <c r="E2163" s="131" t="s">
        <v>1085</v>
      </c>
      <c r="F2163" s="767">
        <v>71941.759999999995</v>
      </c>
      <c r="G2163" s="767">
        <v>3339</v>
      </c>
      <c r="H2163" s="767">
        <v>75280.759999999995</v>
      </c>
      <c r="I2163" s="768" t="s">
        <v>1695</v>
      </c>
    </row>
    <row r="2164" spans="1:9" x14ac:dyDescent="0.25">
      <c r="A2164" s="753"/>
      <c r="C2164" s="131" t="s">
        <v>1088</v>
      </c>
      <c r="D2164" s="131">
        <v>16</v>
      </c>
      <c r="E2164" s="131" t="s">
        <v>1088</v>
      </c>
      <c r="F2164" s="767">
        <v>-26140</v>
      </c>
      <c r="G2164" s="767">
        <v>-5840</v>
      </c>
      <c r="H2164" s="767">
        <v>-31980</v>
      </c>
      <c r="I2164" s="768" t="s">
        <v>1697</v>
      </c>
    </row>
    <row r="2165" spans="1:9" x14ac:dyDescent="0.25">
      <c r="A2165" s="753"/>
      <c r="C2165" s="131" t="s">
        <v>1089</v>
      </c>
      <c r="D2165" s="131">
        <v>16</v>
      </c>
      <c r="E2165" s="131" t="s">
        <v>1089</v>
      </c>
      <c r="F2165" s="767">
        <v>20811</v>
      </c>
      <c r="G2165" s="767">
        <v>4612</v>
      </c>
      <c r="H2165" s="767">
        <v>25423</v>
      </c>
      <c r="I2165" s="768" t="s">
        <v>1698</v>
      </c>
    </row>
    <row r="2166" spans="1:9" x14ac:dyDescent="0.25">
      <c r="A2166" s="753">
        <v>706718</v>
      </c>
      <c r="B2166" s="130">
        <v>6344</v>
      </c>
      <c r="E2166" s="131"/>
    </row>
    <row r="2167" spans="1:9" x14ac:dyDescent="0.25">
      <c r="A2167" s="753">
        <v>706722</v>
      </c>
      <c r="B2167" s="130">
        <v>119</v>
      </c>
      <c r="E2167" s="131"/>
    </row>
    <row r="2168" spans="1:9" x14ac:dyDescent="0.25">
      <c r="A2168" s="753">
        <v>706724</v>
      </c>
      <c r="B2168" s="130">
        <v>10560162</v>
      </c>
      <c r="E2168" s="131"/>
    </row>
    <row r="2169" spans="1:9" x14ac:dyDescent="0.25">
      <c r="A2169" s="753">
        <v>706726</v>
      </c>
      <c r="B2169" s="130">
        <v>610005</v>
      </c>
      <c r="C2169" s="131" t="s">
        <v>1060</v>
      </c>
      <c r="D2169" s="131">
        <v>16</v>
      </c>
      <c r="E2169" s="131" t="s">
        <v>1060</v>
      </c>
      <c r="F2169" s="767">
        <v>-1460919</v>
      </c>
      <c r="G2169" s="767">
        <v>-53091</v>
      </c>
      <c r="H2169" s="767">
        <v>-1514010</v>
      </c>
      <c r="I2169" s="768" t="s">
        <v>1609</v>
      </c>
    </row>
    <row r="2170" spans="1:9" x14ac:dyDescent="0.25">
      <c r="A2170" s="753"/>
      <c r="C2170" s="131" t="s">
        <v>1061</v>
      </c>
      <c r="D2170" s="131">
        <v>16</v>
      </c>
      <c r="E2170" s="131" t="s">
        <v>1061</v>
      </c>
      <c r="F2170" s="767">
        <v>-1549824.14</v>
      </c>
      <c r="G2170" s="767">
        <v>-195712.38</v>
      </c>
      <c r="H2170" s="767">
        <v>-1745536.52</v>
      </c>
      <c r="I2170" s="768" t="s">
        <v>1610</v>
      </c>
    </row>
    <row r="2171" spans="1:9" x14ac:dyDescent="0.25">
      <c r="A2171" s="753"/>
      <c r="C2171" s="131" t="s">
        <v>1062</v>
      </c>
      <c r="D2171" s="131">
        <v>16</v>
      </c>
      <c r="E2171" s="131" t="s">
        <v>1062</v>
      </c>
      <c r="F2171" s="767">
        <v>1375160.23</v>
      </c>
      <c r="G2171" s="767">
        <v>47910.8</v>
      </c>
      <c r="H2171" s="767">
        <v>1423071.03</v>
      </c>
      <c r="I2171" s="768" t="s">
        <v>1611</v>
      </c>
    </row>
    <row r="2172" spans="1:9" x14ac:dyDescent="0.25">
      <c r="A2172" s="753"/>
      <c r="C2172" s="131" t="s">
        <v>1063</v>
      </c>
      <c r="D2172" s="131">
        <v>16</v>
      </c>
      <c r="E2172" s="131" t="s">
        <v>1063</v>
      </c>
      <c r="F2172" s="767">
        <v>1475708.6</v>
      </c>
      <c r="G2172" s="767">
        <v>186649.34</v>
      </c>
      <c r="H2172" s="767">
        <v>1662357.94</v>
      </c>
      <c r="I2172" s="768" t="s">
        <v>1612</v>
      </c>
    </row>
    <row r="2173" spans="1:9" x14ac:dyDescent="0.25">
      <c r="A2173" s="753"/>
      <c r="C2173" s="131" t="s">
        <v>1064</v>
      </c>
      <c r="D2173" s="131">
        <v>16</v>
      </c>
      <c r="E2173" s="131" t="s">
        <v>1064</v>
      </c>
      <c r="F2173" s="767">
        <v>21586.03</v>
      </c>
      <c r="G2173" s="767">
        <v>462.45</v>
      </c>
      <c r="H2173" s="767">
        <v>22048.48</v>
      </c>
      <c r="I2173" s="768" t="s">
        <v>1613</v>
      </c>
    </row>
    <row r="2174" spans="1:9" x14ac:dyDescent="0.25">
      <c r="A2174" s="753"/>
      <c r="C2174" s="131" t="s">
        <v>1065</v>
      </c>
      <c r="D2174" s="131">
        <v>16</v>
      </c>
      <c r="E2174" s="131" t="s">
        <v>1065</v>
      </c>
      <c r="F2174" s="767">
        <v>18995.09</v>
      </c>
      <c r="G2174" s="767">
        <v>3073.52</v>
      </c>
      <c r="H2174" s="767">
        <v>22068.61</v>
      </c>
      <c r="I2174" s="768" t="s">
        <v>1614</v>
      </c>
    </row>
    <row r="2175" spans="1:9" x14ac:dyDescent="0.25">
      <c r="A2175" s="753"/>
      <c r="C2175" s="131" t="s">
        <v>1067</v>
      </c>
      <c r="D2175" s="131">
        <v>16</v>
      </c>
      <c r="E2175" s="131" t="s">
        <v>1067</v>
      </c>
      <c r="F2175" s="767">
        <v>-1130418.73</v>
      </c>
      <c r="G2175" s="767">
        <v>-109756</v>
      </c>
      <c r="H2175" s="767">
        <v>-1240174.73</v>
      </c>
      <c r="I2175" s="768" t="s">
        <v>1618</v>
      </c>
    </row>
    <row r="2176" spans="1:9" x14ac:dyDescent="0.25">
      <c r="A2176" s="753"/>
      <c r="C2176" s="131" t="s">
        <v>1068</v>
      </c>
      <c r="D2176" s="131">
        <v>16</v>
      </c>
      <c r="E2176" s="131" t="s">
        <v>1068</v>
      </c>
      <c r="F2176" s="767">
        <v>-1119790.01</v>
      </c>
      <c r="G2176" s="767">
        <v>-77747</v>
      </c>
      <c r="H2176" s="767">
        <v>-1197537.01</v>
      </c>
      <c r="I2176" s="768" t="s">
        <v>1619</v>
      </c>
    </row>
    <row r="2177" spans="1:9" x14ac:dyDescent="0.25">
      <c r="A2177" s="753"/>
      <c r="C2177" s="131" t="s">
        <v>1069</v>
      </c>
      <c r="D2177" s="131">
        <v>16</v>
      </c>
      <c r="E2177" s="131" t="s">
        <v>1069</v>
      </c>
      <c r="F2177" s="767">
        <v>1022346.95</v>
      </c>
      <c r="G2177" s="767">
        <v>96071.65</v>
      </c>
      <c r="H2177" s="767">
        <v>1118418.6000000001</v>
      </c>
      <c r="I2177" s="768" t="s">
        <v>1620</v>
      </c>
    </row>
    <row r="2178" spans="1:9" x14ac:dyDescent="0.25">
      <c r="A2178" s="753"/>
      <c r="C2178" s="131" t="s">
        <v>1621</v>
      </c>
      <c r="D2178" s="131">
        <v>16</v>
      </c>
      <c r="E2178" s="131" t="s">
        <v>1621</v>
      </c>
      <c r="F2178" s="767">
        <v>1010840.53</v>
      </c>
      <c r="G2178" s="767">
        <v>65873.399999999994</v>
      </c>
      <c r="H2178" s="767">
        <v>1076713.93</v>
      </c>
      <c r="I2178" s="768" t="s">
        <v>1622</v>
      </c>
    </row>
    <row r="2179" spans="1:9" x14ac:dyDescent="0.25">
      <c r="A2179" s="753"/>
      <c r="C2179" s="131" t="s">
        <v>1070</v>
      </c>
      <c r="D2179" s="131">
        <v>16</v>
      </c>
      <c r="E2179" s="131" t="s">
        <v>1070</v>
      </c>
      <c r="F2179" s="767">
        <v>49886.239999999998</v>
      </c>
      <c r="G2179" s="767">
        <v>2176.36</v>
      </c>
      <c r="H2179" s="767">
        <v>52062.6</v>
      </c>
      <c r="I2179" s="768" t="s">
        <v>1623</v>
      </c>
    </row>
    <row r="2180" spans="1:9" x14ac:dyDescent="0.25">
      <c r="A2180" s="753"/>
      <c r="C2180" s="131" t="s">
        <v>1071</v>
      </c>
      <c r="D2180" s="131">
        <v>16</v>
      </c>
      <c r="E2180" s="131" t="s">
        <v>1071</v>
      </c>
      <c r="F2180" s="767">
        <v>58297.48</v>
      </c>
      <c r="G2180" s="767">
        <v>1557.59</v>
      </c>
      <c r="H2180" s="767">
        <v>59855.07</v>
      </c>
      <c r="I2180" s="768" t="s">
        <v>1624</v>
      </c>
    </row>
    <row r="2181" spans="1:9" x14ac:dyDescent="0.25">
      <c r="A2181" s="753"/>
      <c r="C2181" s="131" t="s">
        <v>1073</v>
      </c>
      <c r="D2181" s="131">
        <v>16</v>
      </c>
      <c r="E2181" s="131" t="s">
        <v>1073</v>
      </c>
      <c r="F2181" s="767">
        <v>-965583</v>
      </c>
      <c r="G2181" s="767">
        <v>-284605</v>
      </c>
      <c r="H2181" s="767">
        <v>-1250188</v>
      </c>
      <c r="I2181" s="768" t="s">
        <v>1628</v>
      </c>
    </row>
    <row r="2182" spans="1:9" x14ac:dyDescent="0.25">
      <c r="A2182" s="753"/>
      <c r="C2182" s="131" t="s">
        <v>1074</v>
      </c>
      <c r="D2182" s="131">
        <v>16</v>
      </c>
      <c r="E2182" s="131" t="s">
        <v>1074</v>
      </c>
      <c r="F2182" s="767">
        <v>-1430324.1</v>
      </c>
      <c r="G2182" s="767">
        <v>-390900</v>
      </c>
      <c r="H2182" s="767">
        <v>-1821224.1</v>
      </c>
      <c r="I2182" s="768" t="s">
        <v>1629</v>
      </c>
    </row>
    <row r="2183" spans="1:9" x14ac:dyDescent="0.25">
      <c r="A2183" s="753"/>
      <c r="C2183" s="131" t="s">
        <v>1075</v>
      </c>
      <c r="D2183" s="131">
        <v>16</v>
      </c>
      <c r="E2183" s="131" t="s">
        <v>1075</v>
      </c>
      <c r="F2183" s="767">
        <v>954358.14</v>
      </c>
      <c r="G2183" s="767">
        <v>291394.84000000003</v>
      </c>
      <c r="H2183" s="767">
        <v>1245752.98</v>
      </c>
      <c r="I2183" s="768" t="s">
        <v>1630</v>
      </c>
    </row>
    <row r="2184" spans="1:9" x14ac:dyDescent="0.25">
      <c r="A2184" s="753"/>
      <c r="C2184" s="131" t="s">
        <v>1076</v>
      </c>
      <c r="D2184" s="131">
        <v>16</v>
      </c>
      <c r="E2184" s="131" t="s">
        <v>1076</v>
      </c>
      <c r="F2184" s="767">
        <v>1420210.23</v>
      </c>
      <c r="G2184" s="767">
        <v>376052.95</v>
      </c>
      <c r="H2184" s="767">
        <v>1796263.18</v>
      </c>
      <c r="I2184" s="768" t="s">
        <v>1631</v>
      </c>
    </row>
    <row r="2185" spans="1:9" x14ac:dyDescent="0.25">
      <c r="A2185" s="753"/>
      <c r="C2185" s="131">
        <v>448</v>
      </c>
      <c r="D2185" s="131">
        <v>16</v>
      </c>
      <c r="E2185" s="131">
        <v>448</v>
      </c>
      <c r="F2185" s="767">
        <v>-1190183.3500000001</v>
      </c>
      <c r="G2185" s="767">
        <v>-142311.89000000001</v>
      </c>
      <c r="H2185" s="767">
        <v>-1332495.24</v>
      </c>
      <c r="I2185" s="768" t="s">
        <v>1633</v>
      </c>
    </row>
    <row r="2186" spans="1:9" x14ac:dyDescent="0.25">
      <c r="A2186" s="753"/>
      <c r="C2186" s="131">
        <v>648</v>
      </c>
      <c r="D2186" s="131">
        <v>16</v>
      </c>
      <c r="E2186" s="131">
        <v>648</v>
      </c>
      <c r="F2186" s="767">
        <v>1150313.78</v>
      </c>
      <c r="G2186" s="767">
        <v>138940.88</v>
      </c>
      <c r="H2186" s="767">
        <v>1289254.6599999999</v>
      </c>
      <c r="I2186" s="768" t="s">
        <v>1634</v>
      </c>
    </row>
    <row r="2187" spans="1:9" x14ac:dyDescent="0.25">
      <c r="A2187" s="753"/>
      <c r="C2187" s="131">
        <v>450</v>
      </c>
      <c r="D2187" s="131">
        <v>16</v>
      </c>
      <c r="E2187" s="131" t="s">
        <v>296</v>
      </c>
      <c r="F2187" s="767">
        <v>-24681.279999999999</v>
      </c>
      <c r="G2187" s="767">
        <v>-1050.4000000000001</v>
      </c>
      <c r="H2187" s="767">
        <v>-25731.68</v>
      </c>
      <c r="I2187" s="768" t="s">
        <v>1641</v>
      </c>
    </row>
    <row r="2188" spans="1:9" x14ac:dyDescent="0.25">
      <c r="A2188" s="753"/>
      <c r="C2188" s="131">
        <v>450</v>
      </c>
      <c r="D2188" s="131">
        <v>16</v>
      </c>
      <c r="E2188" s="131" t="s">
        <v>1642</v>
      </c>
      <c r="F2188" s="767">
        <v>-1526</v>
      </c>
      <c r="G2188" s="767">
        <v>0</v>
      </c>
      <c r="H2188" s="767">
        <v>-1526</v>
      </c>
      <c r="I2188" s="768" t="s">
        <v>1643</v>
      </c>
    </row>
    <row r="2189" spans="1:9" x14ac:dyDescent="0.25">
      <c r="A2189" s="753"/>
      <c r="C2189" s="131">
        <v>450</v>
      </c>
      <c r="D2189" s="131">
        <v>16</v>
      </c>
      <c r="E2189" s="131">
        <v>450</v>
      </c>
      <c r="F2189" s="767">
        <v>-15561</v>
      </c>
      <c r="G2189" s="767">
        <v>-1596</v>
      </c>
      <c r="H2189" s="767">
        <v>-17157</v>
      </c>
      <c r="I2189" s="768" t="s">
        <v>1644</v>
      </c>
    </row>
    <row r="2190" spans="1:9" x14ac:dyDescent="0.25">
      <c r="A2190" s="753"/>
      <c r="C2190" s="131">
        <v>450</v>
      </c>
      <c r="D2190" s="131">
        <v>16</v>
      </c>
      <c r="E2190" s="131" t="s">
        <v>1645</v>
      </c>
      <c r="F2190" s="767">
        <v>-675</v>
      </c>
      <c r="G2190" s="767">
        <v>0</v>
      </c>
      <c r="H2190" s="767">
        <v>-675</v>
      </c>
      <c r="I2190" s="768" t="s">
        <v>1646</v>
      </c>
    </row>
    <row r="2191" spans="1:9" x14ac:dyDescent="0.25">
      <c r="A2191" s="753"/>
      <c r="C2191" s="131">
        <v>450</v>
      </c>
      <c r="D2191" s="131">
        <v>16</v>
      </c>
      <c r="E2191" s="131" t="s">
        <v>295</v>
      </c>
      <c r="F2191" s="767">
        <v>-9310</v>
      </c>
      <c r="G2191" s="767">
        <v>-545</v>
      </c>
      <c r="H2191" s="767">
        <v>-9855</v>
      </c>
      <c r="I2191" s="768" t="s">
        <v>1647</v>
      </c>
    </row>
    <row r="2192" spans="1:9" x14ac:dyDescent="0.25">
      <c r="A2192" s="753"/>
      <c r="C2192" s="131">
        <v>450</v>
      </c>
      <c r="D2192" s="131">
        <v>16</v>
      </c>
      <c r="E2192" s="131" t="s">
        <v>1648</v>
      </c>
      <c r="F2192" s="767">
        <v>-965</v>
      </c>
      <c r="G2192" s="767">
        <v>0</v>
      </c>
      <c r="H2192" s="767">
        <v>-965</v>
      </c>
      <c r="I2192" s="768" t="s">
        <v>1649</v>
      </c>
    </row>
    <row r="2193" spans="1:9" x14ac:dyDescent="0.25">
      <c r="A2193" s="753"/>
      <c r="C2193" s="131">
        <v>450</v>
      </c>
      <c r="D2193" s="131">
        <v>16</v>
      </c>
      <c r="E2193" s="131" t="s">
        <v>974</v>
      </c>
      <c r="F2193" s="767">
        <v>-80920</v>
      </c>
      <c r="G2193" s="767">
        <v>-7140</v>
      </c>
      <c r="H2193" s="767">
        <v>-88060</v>
      </c>
      <c r="I2193" s="768" t="s">
        <v>1650</v>
      </c>
    </row>
    <row r="2194" spans="1:9" x14ac:dyDescent="0.25">
      <c r="A2194" s="753"/>
      <c r="C2194" s="131">
        <v>450</v>
      </c>
      <c r="D2194" s="131">
        <v>16</v>
      </c>
      <c r="E2194" s="131" t="s">
        <v>292</v>
      </c>
      <c r="F2194" s="767">
        <v>-2798</v>
      </c>
      <c r="G2194" s="767">
        <v>0</v>
      </c>
      <c r="H2194" s="767">
        <v>-2798</v>
      </c>
      <c r="I2194" s="768" t="s">
        <v>1651</v>
      </c>
    </row>
    <row r="2195" spans="1:9" x14ac:dyDescent="0.25">
      <c r="A2195" s="753"/>
      <c r="C2195" s="131">
        <v>450</v>
      </c>
      <c r="D2195" s="131">
        <v>16</v>
      </c>
      <c r="E2195" s="131" t="s">
        <v>1652</v>
      </c>
      <c r="F2195" s="767">
        <v>1068.2</v>
      </c>
      <c r="G2195" s="767">
        <v>0</v>
      </c>
      <c r="H2195" s="767">
        <v>1068.2</v>
      </c>
      <c r="I2195" s="768" t="s">
        <v>1653</v>
      </c>
    </row>
    <row r="2196" spans="1:9" x14ac:dyDescent="0.25">
      <c r="A2196" s="753"/>
      <c r="C2196" s="131">
        <v>450</v>
      </c>
      <c r="D2196" s="131">
        <v>16</v>
      </c>
      <c r="E2196" s="131" t="s">
        <v>1176</v>
      </c>
      <c r="F2196" s="767">
        <v>6380</v>
      </c>
      <c r="G2196" s="767">
        <v>545</v>
      </c>
      <c r="H2196" s="767">
        <v>6925</v>
      </c>
      <c r="I2196" s="768" t="s">
        <v>1654</v>
      </c>
    </row>
    <row r="2197" spans="1:9" x14ac:dyDescent="0.25">
      <c r="A2197" s="753"/>
      <c r="C2197" s="131">
        <v>450</v>
      </c>
      <c r="D2197" s="131">
        <v>16</v>
      </c>
      <c r="E2197" s="131" t="s">
        <v>1655</v>
      </c>
      <c r="F2197" s="767">
        <v>840</v>
      </c>
      <c r="G2197" s="767">
        <v>0</v>
      </c>
      <c r="H2197" s="767">
        <v>840</v>
      </c>
      <c r="I2197" s="768" t="s">
        <v>1656</v>
      </c>
    </row>
    <row r="2198" spans="1:9" x14ac:dyDescent="0.25">
      <c r="A2198" s="753"/>
      <c r="C2198" s="131">
        <v>450</v>
      </c>
      <c r="D2198" s="131">
        <v>16</v>
      </c>
      <c r="E2198" s="131">
        <v>650</v>
      </c>
      <c r="F2198" s="767">
        <v>2730</v>
      </c>
      <c r="G2198" s="767">
        <v>280</v>
      </c>
      <c r="H2198" s="767">
        <v>3010</v>
      </c>
      <c r="I2198" s="768" t="s">
        <v>1657</v>
      </c>
    </row>
    <row r="2199" spans="1:9" x14ac:dyDescent="0.25">
      <c r="A2199" s="753"/>
      <c r="C2199" s="131">
        <v>450</v>
      </c>
      <c r="D2199" s="131">
        <v>16</v>
      </c>
      <c r="E2199" s="131" t="s">
        <v>1174</v>
      </c>
      <c r="F2199" s="767">
        <v>1770</v>
      </c>
      <c r="G2199" s="767">
        <v>0</v>
      </c>
      <c r="H2199" s="767">
        <v>1770</v>
      </c>
      <c r="I2199" s="768" t="s">
        <v>1658</v>
      </c>
    </row>
    <row r="2200" spans="1:9" x14ac:dyDescent="0.25">
      <c r="A2200" s="753"/>
      <c r="C2200" s="131" t="s">
        <v>1080</v>
      </c>
      <c r="D2200" s="131">
        <v>16</v>
      </c>
      <c r="E2200" s="131" t="s">
        <v>1667</v>
      </c>
      <c r="F2200" s="767">
        <v>1160</v>
      </c>
      <c r="G2200" s="767">
        <v>0</v>
      </c>
      <c r="H2200" s="767">
        <v>1160</v>
      </c>
      <c r="I2200" s="768" t="s">
        <v>1668</v>
      </c>
    </row>
    <row r="2201" spans="1:9" x14ac:dyDescent="0.25">
      <c r="A2201" s="753"/>
      <c r="C2201" s="131" t="s">
        <v>1080</v>
      </c>
      <c r="D2201" s="131">
        <v>16</v>
      </c>
      <c r="E2201" s="131" t="s">
        <v>1669</v>
      </c>
      <c r="F2201" s="767">
        <v>-2349</v>
      </c>
      <c r="G2201" s="767">
        <v>0</v>
      </c>
      <c r="H2201" s="767">
        <v>-2349</v>
      </c>
      <c r="I2201" s="768" t="s">
        <v>1670</v>
      </c>
    </row>
    <row r="2202" spans="1:9" x14ac:dyDescent="0.25">
      <c r="A2202" s="753"/>
      <c r="C2202" s="131" t="s">
        <v>1080</v>
      </c>
      <c r="D2202" s="131">
        <v>16</v>
      </c>
      <c r="E2202" s="131" t="s">
        <v>1671</v>
      </c>
      <c r="F2202" s="767">
        <v>1165</v>
      </c>
      <c r="G2202" s="767">
        <v>0</v>
      </c>
      <c r="H2202" s="767">
        <v>1165</v>
      </c>
      <c r="I2202" s="768" t="s">
        <v>1672</v>
      </c>
    </row>
    <row r="2203" spans="1:9" x14ac:dyDescent="0.25">
      <c r="A2203" s="753"/>
      <c r="C2203" s="131" t="s">
        <v>1080</v>
      </c>
      <c r="D2203" s="131">
        <v>16</v>
      </c>
      <c r="E2203" s="131" t="s">
        <v>1673</v>
      </c>
      <c r="F2203" s="767">
        <v>115.05</v>
      </c>
      <c r="G2203" s="767">
        <v>0</v>
      </c>
      <c r="H2203" s="767">
        <v>115.05</v>
      </c>
      <c r="I2203" s="768" t="s">
        <v>1674</v>
      </c>
    </row>
    <row r="2204" spans="1:9" x14ac:dyDescent="0.25">
      <c r="A2204" s="753"/>
      <c r="C2204" s="131" t="s">
        <v>1080</v>
      </c>
      <c r="D2204" s="131">
        <v>16</v>
      </c>
      <c r="E2204" s="131" t="s">
        <v>1675</v>
      </c>
      <c r="F2204" s="767">
        <v>-795</v>
      </c>
      <c r="G2204" s="767">
        <v>0</v>
      </c>
      <c r="H2204" s="767">
        <v>-795</v>
      </c>
      <c r="I2204" s="768" t="s">
        <v>1676</v>
      </c>
    </row>
    <row r="2205" spans="1:9" x14ac:dyDescent="0.25">
      <c r="A2205" s="753"/>
      <c r="C2205" s="131" t="s">
        <v>1080</v>
      </c>
      <c r="D2205" s="131">
        <v>16</v>
      </c>
      <c r="E2205" s="131" t="s">
        <v>1677</v>
      </c>
      <c r="F2205" s="767">
        <v>3640</v>
      </c>
      <c r="G2205" s="767">
        <v>350</v>
      </c>
      <c r="H2205" s="767">
        <v>3990</v>
      </c>
      <c r="I2205" s="768" t="s">
        <v>1678</v>
      </c>
    </row>
    <row r="2206" spans="1:9" x14ac:dyDescent="0.25">
      <c r="A2206" s="753"/>
      <c r="C2206" s="131" t="s">
        <v>1080</v>
      </c>
      <c r="D2206" s="131">
        <v>16</v>
      </c>
      <c r="E2206" s="131" t="s">
        <v>1679</v>
      </c>
      <c r="F2206" s="767">
        <v>-20748</v>
      </c>
      <c r="G2206" s="767">
        <v>-1995</v>
      </c>
      <c r="H2206" s="767">
        <v>-22743</v>
      </c>
      <c r="I2206" s="768" t="s">
        <v>1680</v>
      </c>
    </row>
    <row r="2207" spans="1:9" x14ac:dyDescent="0.25">
      <c r="A2207" s="753"/>
      <c r="C2207" s="131" t="s">
        <v>1080</v>
      </c>
      <c r="D2207" s="131">
        <v>16</v>
      </c>
      <c r="E2207" s="131" t="s">
        <v>1681</v>
      </c>
      <c r="F2207" s="767">
        <v>670</v>
      </c>
      <c r="G2207" s="767">
        <v>0</v>
      </c>
      <c r="H2207" s="767">
        <v>670</v>
      </c>
      <c r="I2207" s="768" t="s">
        <v>1682</v>
      </c>
    </row>
    <row r="2208" spans="1:9" x14ac:dyDescent="0.25">
      <c r="A2208" s="753"/>
      <c r="C2208" s="131" t="s">
        <v>1080</v>
      </c>
      <c r="D2208" s="131">
        <v>16</v>
      </c>
      <c r="E2208" s="131" t="s">
        <v>1683</v>
      </c>
      <c r="F2208" s="767">
        <v>-1199</v>
      </c>
      <c r="G2208" s="767">
        <v>0</v>
      </c>
      <c r="H2208" s="767">
        <v>-1199</v>
      </c>
      <c r="I2208" s="768" t="s">
        <v>1684</v>
      </c>
    </row>
    <row r="2209" spans="1:9" x14ac:dyDescent="0.25">
      <c r="A2209" s="753"/>
      <c r="C2209" s="131" t="s">
        <v>1080</v>
      </c>
      <c r="D2209" s="131">
        <v>16</v>
      </c>
      <c r="E2209" s="131" t="s">
        <v>1685</v>
      </c>
      <c r="F2209" s="767">
        <v>-14936.54</v>
      </c>
      <c r="G2209" s="767">
        <v>-4190.53</v>
      </c>
      <c r="H2209" s="767">
        <v>-19127.07</v>
      </c>
      <c r="I2209" s="768" t="s">
        <v>1686</v>
      </c>
    </row>
    <row r="2210" spans="1:9" x14ac:dyDescent="0.25">
      <c r="A2210" s="753"/>
      <c r="C2210" s="131" t="s">
        <v>1080</v>
      </c>
      <c r="D2210" s="131">
        <v>16</v>
      </c>
      <c r="E2210" s="131" t="s">
        <v>1687</v>
      </c>
      <c r="F2210" s="767">
        <v>-3765</v>
      </c>
      <c r="G2210" s="767">
        <v>0</v>
      </c>
      <c r="H2210" s="767">
        <v>-3765</v>
      </c>
      <c r="I2210" s="768" t="s">
        <v>1688</v>
      </c>
    </row>
    <row r="2211" spans="1:9" x14ac:dyDescent="0.25">
      <c r="A2211" s="753"/>
      <c r="C2211" s="131">
        <v>452</v>
      </c>
      <c r="D2211" s="131">
        <v>16</v>
      </c>
      <c r="E2211" s="131">
        <v>452</v>
      </c>
      <c r="F2211" s="767">
        <v>-123190.19</v>
      </c>
      <c r="G2211" s="767">
        <v>-7344</v>
      </c>
      <c r="H2211" s="767">
        <v>-130534.19</v>
      </c>
      <c r="I2211" s="768" t="s">
        <v>1690</v>
      </c>
    </row>
    <row r="2212" spans="1:9" x14ac:dyDescent="0.25">
      <c r="A2212" s="753"/>
      <c r="C2212" s="131">
        <v>652</v>
      </c>
      <c r="D2212" s="131">
        <v>16</v>
      </c>
      <c r="E2212" s="131">
        <v>652</v>
      </c>
      <c r="F2212" s="767">
        <v>75857</v>
      </c>
      <c r="G2212" s="767">
        <v>5728</v>
      </c>
      <c r="H2212" s="767">
        <v>81585</v>
      </c>
      <c r="I2212" s="768" t="s">
        <v>1691</v>
      </c>
    </row>
    <row r="2213" spans="1:9" x14ac:dyDescent="0.25">
      <c r="A2213" s="753"/>
      <c r="C2213" s="131" t="s">
        <v>1084</v>
      </c>
      <c r="D2213" s="131">
        <v>16</v>
      </c>
      <c r="E2213" s="131" t="s">
        <v>1084</v>
      </c>
      <c r="F2213" s="767">
        <v>-115818.16</v>
      </c>
      <c r="G2213" s="767">
        <v>-4632</v>
      </c>
      <c r="H2213" s="767">
        <v>-120450.16</v>
      </c>
      <c r="I2213" s="768" t="s">
        <v>1694</v>
      </c>
    </row>
    <row r="2214" spans="1:9" x14ac:dyDescent="0.25">
      <c r="A2214" s="753"/>
      <c r="C2214" s="131" t="s">
        <v>1085</v>
      </c>
      <c r="D2214" s="131">
        <v>16</v>
      </c>
      <c r="E2214" s="131" t="s">
        <v>1085</v>
      </c>
      <c r="F2214" s="767">
        <v>71941.759999999995</v>
      </c>
      <c r="G2214" s="767">
        <v>3339</v>
      </c>
      <c r="H2214" s="767">
        <v>75280.759999999995</v>
      </c>
      <c r="I2214" s="768" t="s">
        <v>1695</v>
      </c>
    </row>
    <row r="2215" spans="1:9" x14ac:dyDescent="0.25">
      <c r="A2215" s="753"/>
      <c r="C2215" s="131" t="s">
        <v>1088</v>
      </c>
      <c r="D2215" s="131">
        <v>16</v>
      </c>
      <c r="E2215" s="131" t="s">
        <v>1088</v>
      </c>
      <c r="F2215" s="767">
        <v>-26140</v>
      </c>
      <c r="G2215" s="767">
        <v>-5840</v>
      </c>
      <c r="H2215" s="767">
        <v>-31980</v>
      </c>
      <c r="I2215" s="768" t="s">
        <v>1697</v>
      </c>
    </row>
    <row r="2216" spans="1:9" x14ac:dyDescent="0.25">
      <c r="A2216" s="753"/>
      <c r="C2216" s="131" t="s">
        <v>1089</v>
      </c>
      <c r="D2216" s="131">
        <v>16</v>
      </c>
      <c r="E2216" s="131" t="s">
        <v>1089</v>
      </c>
      <c r="F2216" s="767">
        <v>20811</v>
      </c>
      <c r="G2216" s="767">
        <v>4612</v>
      </c>
      <c r="H2216" s="767">
        <v>25423</v>
      </c>
      <c r="I2216" s="768" t="s">
        <v>1698</v>
      </c>
    </row>
    <row r="2217" spans="1:9" x14ac:dyDescent="0.25">
      <c r="A2217" s="753">
        <v>706728</v>
      </c>
      <c r="B2217" s="130">
        <v>5126</v>
      </c>
      <c r="E2217" s="131"/>
    </row>
    <row r="2218" spans="1:9" x14ac:dyDescent="0.25">
      <c r="A2218" s="753">
        <v>706812</v>
      </c>
      <c r="B2218" s="130">
        <v>4</v>
      </c>
      <c r="C2218" s="131" t="s">
        <v>1699</v>
      </c>
      <c r="D2218" s="131">
        <v>16</v>
      </c>
      <c r="E2218" s="131" t="s">
        <v>1699</v>
      </c>
      <c r="F2218" s="767">
        <v>-0.55000000000000004</v>
      </c>
      <c r="G2218" s="767">
        <v>-0.04</v>
      </c>
      <c r="H2218" s="767">
        <v>-0.59</v>
      </c>
      <c r="I2218" s="768" t="s">
        <v>1700</v>
      </c>
    </row>
    <row r="2219" spans="1:9" x14ac:dyDescent="0.25">
      <c r="A2219" s="753">
        <v>706814</v>
      </c>
      <c r="B2219" s="130">
        <v>76551</v>
      </c>
      <c r="C2219" s="131">
        <v>442</v>
      </c>
      <c r="D2219" s="131">
        <v>16</v>
      </c>
      <c r="E2219" s="131">
        <v>442</v>
      </c>
      <c r="F2219" s="767">
        <v>-1651403.26</v>
      </c>
      <c r="G2219" s="767">
        <v>-76551</v>
      </c>
      <c r="H2219" s="767">
        <v>-1727954.26</v>
      </c>
      <c r="I2219" s="768" t="s">
        <v>1701</v>
      </c>
    </row>
    <row r="2220" spans="1:9" x14ac:dyDescent="0.25">
      <c r="A2220" s="753">
        <v>706816</v>
      </c>
      <c r="B2220" s="130">
        <v>9392</v>
      </c>
      <c r="C2220" s="131">
        <v>442</v>
      </c>
      <c r="D2220" s="131">
        <v>16</v>
      </c>
      <c r="E2220" s="131">
        <v>442</v>
      </c>
      <c r="F2220" s="767">
        <v>-1651403.26</v>
      </c>
      <c r="G2220" s="767">
        <v>-76551</v>
      </c>
      <c r="H2220" s="767">
        <v>-1727954.26</v>
      </c>
      <c r="I2220" s="768" t="s">
        <v>1701</v>
      </c>
    </row>
    <row r="2221" spans="1:9" x14ac:dyDescent="0.25">
      <c r="A2221" s="753"/>
      <c r="C2221" s="131">
        <v>642</v>
      </c>
      <c r="D2221" s="131">
        <v>16</v>
      </c>
      <c r="E2221" s="131">
        <v>642</v>
      </c>
      <c r="F2221" s="767">
        <v>1546952.19</v>
      </c>
      <c r="G2221" s="767">
        <v>67158.94</v>
      </c>
      <c r="H2221" s="767">
        <v>1614111.13</v>
      </c>
      <c r="I2221" s="768" t="s">
        <v>1702</v>
      </c>
    </row>
    <row r="2222" spans="1:9" x14ac:dyDescent="0.25">
      <c r="A2222" s="753">
        <v>706818</v>
      </c>
      <c r="B2222" s="130">
        <v>2348</v>
      </c>
      <c r="E2222" s="131"/>
    </row>
    <row r="2223" spans="1:9" x14ac:dyDescent="0.25">
      <c r="A2223" s="753">
        <v>706822</v>
      </c>
      <c r="B2223" s="130">
        <v>59</v>
      </c>
      <c r="C2223" s="131" t="s">
        <v>1699</v>
      </c>
      <c r="D2223" s="131">
        <v>16</v>
      </c>
      <c r="E2223" s="131" t="s">
        <v>1699</v>
      </c>
      <c r="F2223" s="767">
        <v>-0.55000000000000004</v>
      </c>
      <c r="G2223" s="767">
        <v>-0.04</v>
      </c>
      <c r="H2223" s="767">
        <v>-0.59</v>
      </c>
      <c r="I2223" s="768" t="s">
        <v>1700</v>
      </c>
    </row>
    <row r="2224" spans="1:9" x14ac:dyDescent="0.25">
      <c r="A2224" s="753">
        <v>706824</v>
      </c>
      <c r="B2224" s="130">
        <v>1727954</v>
      </c>
      <c r="C2224" s="131">
        <v>442</v>
      </c>
      <c r="D2224" s="131">
        <v>16</v>
      </c>
      <c r="E2224" s="131">
        <v>442</v>
      </c>
      <c r="F2224" s="767">
        <v>-1651403.26</v>
      </c>
      <c r="G2224" s="767">
        <v>-76551</v>
      </c>
      <c r="H2224" s="767">
        <v>-1727954.26</v>
      </c>
      <c r="I2224" s="768" t="s">
        <v>1701</v>
      </c>
    </row>
    <row r="2225" spans="1:9" x14ac:dyDescent="0.25">
      <c r="A2225" s="753">
        <v>706826</v>
      </c>
      <c r="B2225" s="130">
        <v>113843</v>
      </c>
      <c r="C2225" s="131">
        <v>442</v>
      </c>
      <c r="D2225" s="131">
        <v>16</v>
      </c>
      <c r="E2225" s="131">
        <v>442</v>
      </c>
      <c r="F2225" s="767">
        <v>-1651403.26</v>
      </c>
      <c r="G2225" s="767">
        <v>-76551</v>
      </c>
      <c r="H2225" s="767">
        <v>-1727954.26</v>
      </c>
      <c r="I2225" s="768" t="s">
        <v>1701</v>
      </c>
    </row>
    <row r="2226" spans="1:9" x14ac:dyDescent="0.25">
      <c r="A2226" s="753"/>
      <c r="C2226" s="131">
        <v>642</v>
      </c>
      <c r="D2226" s="131">
        <v>16</v>
      </c>
      <c r="E2226" s="131">
        <v>642</v>
      </c>
      <c r="F2226" s="767">
        <v>1546952.19</v>
      </c>
      <c r="G2226" s="767">
        <v>67158.94</v>
      </c>
      <c r="H2226" s="767">
        <v>1614111.13</v>
      </c>
      <c r="I2226" s="768" t="s">
        <v>1702</v>
      </c>
    </row>
    <row r="2227" spans="1:9" x14ac:dyDescent="0.25">
      <c r="A2227" s="753">
        <v>706828</v>
      </c>
      <c r="B2227" s="130">
        <v>1930</v>
      </c>
      <c r="E2227" s="131"/>
    </row>
    <row r="2228" spans="1:9" x14ac:dyDescent="0.25">
      <c r="A2228" s="753">
        <v>706916</v>
      </c>
      <c r="B2228" s="130">
        <v>4191</v>
      </c>
      <c r="C2228" s="131">
        <v>643</v>
      </c>
      <c r="D2228" s="131">
        <v>16</v>
      </c>
      <c r="E2228" s="131">
        <v>643</v>
      </c>
      <c r="F2228" s="767">
        <v>40863.03</v>
      </c>
      <c r="G2228" s="767">
        <v>4191.04</v>
      </c>
      <c r="H2228" s="767">
        <v>45054.07</v>
      </c>
      <c r="I2228" s="768" t="s">
        <v>1703</v>
      </c>
    </row>
    <row r="2229" spans="1:9" x14ac:dyDescent="0.25">
      <c r="A2229" s="753">
        <v>706918</v>
      </c>
      <c r="B2229" s="130">
        <v>1048</v>
      </c>
      <c r="E2229" s="131"/>
    </row>
    <row r="2230" spans="1:9" x14ac:dyDescent="0.25">
      <c r="A2230" s="753">
        <v>706926</v>
      </c>
      <c r="B2230" s="130">
        <v>45054</v>
      </c>
      <c r="C2230" s="131">
        <v>643</v>
      </c>
      <c r="D2230" s="131">
        <v>16</v>
      </c>
      <c r="E2230" s="131">
        <v>643</v>
      </c>
      <c r="F2230" s="767">
        <v>40863.03</v>
      </c>
      <c r="G2230" s="767">
        <v>4191.04</v>
      </c>
      <c r="H2230" s="767">
        <v>45054.07</v>
      </c>
      <c r="I2230" s="768" t="s">
        <v>1703</v>
      </c>
    </row>
    <row r="2231" spans="1:9" x14ac:dyDescent="0.25">
      <c r="A2231" s="753">
        <v>706928</v>
      </c>
      <c r="B2231" s="130">
        <v>764</v>
      </c>
      <c r="E2231" s="131"/>
    </row>
    <row r="2232" spans="1:9" x14ac:dyDescent="0.25">
      <c r="A2232" s="753">
        <v>707012</v>
      </c>
      <c r="B2232" s="130">
        <v>7</v>
      </c>
      <c r="C2232" s="131" t="s">
        <v>1095</v>
      </c>
      <c r="D2232" s="131">
        <v>16</v>
      </c>
      <c r="E2232" s="131" t="s">
        <v>1095</v>
      </c>
      <c r="F2232" s="767">
        <v>-0.95</v>
      </c>
      <c r="G2232" s="767">
        <v>-7.0000000000000007E-2</v>
      </c>
      <c r="H2232" s="767">
        <v>-1.02</v>
      </c>
      <c r="I2232" s="768" t="s">
        <v>1704</v>
      </c>
    </row>
    <row r="2233" spans="1:9" x14ac:dyDescent="0.25">
      <c r="A2233" s="753">
        <v>707014</v>
      </c>
      <c r="B2233" s="130">
        <v>161600</v>
      </c>
      <c r="C2233" s="131" t="s">
        <v>1096</v>
      </c>
      <c r="D2233" s="131">
        <v>16</v>
      </c>
      <c r="E2233" s="131" t="s">
        <v>1096</v>
      </c>
      <c r="F2233" s="767">
        <v>-2644494</v>
      </c>
      <c r="G2233" s="767">
        <v>-161600</v>
      </c>
      <c r="H2233" s="767">
        <v>-2806094</v>
      </c>
      <c r="I2233" s="768" t="s">
        <v>1705</v>
      </c>
    </row>
    <row r="2234" spans="1:9" x14ac:dyDescent="0.25">
      <c r="A2234" s="753">
        <v>707016</v>
      </c>
      <c r="B2234" s="130">
        <v>4236</v>
      </c>
      <c r="C2234" s="131" t="s">
        <v>1096</v>
      </c>
      <c r="D2234" s="131">
        <v>16</v>
      </c>
      <c r="E2234" s="131" t="s">
        <v>1096</v>
      </c>
      <c r="F2234" s="767">
        <v>-2644494</v>
      </c>
      <c r="G2234" s="767">
        <v>-161600</v>
      </c>
      <c r="H2234" s="767">
        <v>-2806094</v>
      </c>
      <c r="I2234" s="768" t="s">
        <v>1705</v>
      </c>
    </row>
    <row r="2235" spans="1:9" x14ac:dyDescent="0.25">
      <c r="A2235" s="753"/>
      <c r="C2235" s="131" t="s">
        <v>1086</v>
      </c>
      <c r="D2235" s="131">
        <v>16</v>
      </c>
      <c r="E2235" s="131" t="s">
        <v>1086</v>
      </c>
      <c r="F2235" s="767">
        <v>2614487.8199999998</v>
      </c>
      <c r="G2235" s="767">
        <v>157364.25</v>
      </c>
      <c r="H2235" s="767">
        <v>2771852.07</v>
      </c>
      <c r="I2235" s="768" t="s">
        <v>1706</v>
      </c>
    </row>
    <row r="2236" spans="1:9" x14ac:dyDescent="0.25">
      <c r="A2236" s="753">
        <v>707018</v>
      </c>
      <c r="B2236" s="130">
        <v>605</v>
      </c>
      <c r="E2236" s="131"/>
    </row>
    <row r="2237" spans="1:9" x14ac:dyDescent="0.25">
      <c r="A2237" s="753">
        <v>707022</v>
      </c>
      <c r="B2237" s="130">
        <v>102</v>
      </c>
      <c r="C2237" s="131" t="s">
        <v>1095</v>
      </c>
      <c r="D2237" s="131">
        <v>16</v>
      </c>
      <c r="E2237" s="131" t="s">
        <v>1095</v>
      </c>
      <c r="F2237" s="767">
        <v>-0.95</v>
      </c>
      <c r="G2237" s="767">
        <v>-7.0000000000000007E-2</v>
      </c>
      <c r="H2237" s="767">
        <v>-1.02</v>
      </c>
      <c r="I2237" s="768" t="s">
        <v>1704</v>
      </c>
    </row>
    <row r="2238" spans="1:9" x14ac:dyDescent="0.25">
      <c r="A2238" s="753">
        <v>707024</v>
      </c>
      <c r="B2238" s="130">
        <v>2806094</v>
      </c>
      <c r="C2238" s="131" t="s">
        <v>1096</v>
      </c>
      <c r="D2238" s="131">
        <v>16</v>
      </c>
      <c r="E2238" s="131" t="s">
        <v>1096</v>
      </c>
      <c r="F2238" s="767">
        <v>-2644494</v>
      </c>
      <c r="G2238" s="767">
        <v>-161600</v>
      </c>
      <c r="H2238" s="767">
        <v>-2806094</v>
      </c>
      <c r="I2238" s="768" t="s">
        <v>1705</v>
      </c>
    </row>
    <row r="2239" spans="1:9" x14ac:dyDescent="0.25">
      <c r="A2239" s="753">
        <v>707026</v>
      </c>
      <c r="B2239" s="130">
        <v>34242</v>
      </c>
      <c r="C2239" s="131" t="s">
        <v>1096</v>
      </c>
      <c r="D2239" s="131">
        <v>16</v>
      </c>
      <c r="E2239" s="131" t="s">
        <v>1096</v>
      </c>
      <c r="F2239" s="767">
        <v>-2644494</v>
      </c>
      <c r="G2239" s="767">
        <v>-161600</v>
      </c>
      <c r="H2239" s="767">
        <v>-2806094</v>
      </c>
      <c r="I2239" s="768" t="s">
        <v>1705</v>
      </c>
    </row>
    <row r="2240" spans="1:9" x14ac:dyDescent="0.25">
      <c r="A2240" s="753"/>
      <c r="C2240" s="131" t="s">
        <v>1086</v>
      </c>
      <c r="D2240" s="131">
        <v>16</v>
      </c>
      <c r="E2240" s="131" t="s">
        <v>1086</v>
      </c>
      <c r="F2240" s="767">
        <v>2614487.8199999998</v>
      </c>
      <c r="G2240" s="767">
        <v>157364.25</v>
      </c>
      <c r="H2240" s="767">
        <v>2771852.07</v>
      </c>
      <c r="I2240" s="768" t="s">
        <v>1706</v>
      </c>
    </row>
    <row r="2241" spans="1:9" x14ac:dyDescent="0.25">
      <c r="A2241" s="753">
        <v>707028</v>
      </c>
      <c r="B2241" s="130">
        <v>336</v>
      </c>
      <c r="E2241" s="131"/>
    </row>
    <row r="2242" spans="1:9" x14ac:dyDescent="0.25">
      <c r="A2242" s="753">
        <v>707112</v>
      </c>
      <c r="B2242" s="130">
        <v>8</v>
      </c>
      <c r="C2242" s="131" t="s">
        <v>1707</v>
      </c>
      <c r="D2242" s="131">
        <v>16</v>
      </c>
      <c r="E2242" s="131" t="s">
        <v>1707</v>
      </c>
      <c r="F2242" s="767">
        <v>-0.36</v>
      </c>
      <c r="G2242" s="767">
        <v>-0.02</v>
      </c>
      <c r="H2242" s="767">
        <v>-0.38</v>
      </c>
      <c r="I2242" s="768" t="s">
        <v>1708</v>
      </c>
    </row>
    <row r="2243" spans="1:9" x14ac:dyDescent="0.25">
      <c r="A2243" s="753"/>
      <c r="C2243" s="131" t="s">
        <v>1707</v>
      </c>
      <c r="D2243" s="131">
        <v>16</v>
      </c>
      <c r="E2243" s="131" t="s">
        <v>2258</v>
      </c>
      <c r="F2243" s="767">
        <v>0</v>
      </c>
      <c r="G2243" s="767">
        <v>-0.01</v>
      </c>
      <c r="H2243" s="767">
        <v>-0.01</v>
      </c>
      <c r="I2243" s="768" t="s">
        <v>2259</v>
      </c>
    </row>
    <row r="2244" spans="1:9" x14ac:dyDescent="0.25">
      <c r="A2244" s="753"/>
      <c r="C2244" s="131" t="s">
        <v>1707</v>
      </c>
      <c r="D2244" s="131">
        <v>16</v>
      </c>
      <c r="E2244" s="131" t="s">
        <v>2260</v>
      </c>
      <c r="F2244" s="767">
        <v>0</v>
      </c>
      <c r="G2244" s="767">
        <v>-0.01</v>
      </c>
      <c r="H2244" s="767">
        <v>-0.01</v>
      </c>
      <c r="I2244" s="768" t="s">
        <v>2261</v>
      </c>
    </row>
    <row r="2245" spans="1:9" x14ac:dyDescent="0.25">
      <c r="A2245" s="753"/>
      <c r="C2245" s="131" t="s">
        <v>1709</v>
      </c>
      <c r="D2245" s="131">
        <v>16</v>
      </c>
      <c r="E2245" s="131" t="s">
        <v>1709</v>
      </c>
      <c r="F2245" s="767">
        <v>-0.18</v>
      </c>
      <c r="G2245" s="767">
        <v>-0.02</v>
      </c>
      <c r="H2245" s="767">
        <v>-0.2</v>
      </c>
      <c r="I2245" s="768" t="s">
        <v>1710</v>
      </c>
    </row>
    <row r="2246" spans="1:9" x14ac:dyDescent="0.25">
      <c r="A2246" s="753"/>
      <c r="C2246" s="131" t="s">
        <v>1711</v>
      </c>
      <c r="D2246" s="131">
        <v>16</v>
      </c>
      <c r="E2246" s="131" t="s">
        <v>1711</v>
      </c>
      <c r="F2246" s="767">
        <v>-0.05</v>
      </c>
      <c r="G2246" s="767">
        <v>-0.02</v>
      </c>
      <c r="H2246" s="767">
        <v>-7.0000000000000007E-2</v>
      </c>
      <c r="I2246" s="768" t="s">
        <v>1712</v>
      </c>
    </row>
    <row r="2247" spans="1:9" x14ac:dyDescent="0.25">
      <c r="A2247" s="753">
        <v>707114</v>
      </c>
      <c r="B2247" s="130">
        <v>10030</v>
      </c>
      <c r="C2247" s="131">
        <v>451</v>
      </c>
      <c r="D2247" s="131">
        <v>16</v>
      </c>
      <c r="E2247" s="131">
        <v>451</v>
      </c>
      <c r="F2247" s="767">
        <v>-14963.99</v>
      </c>
      <c r="G2247" s="767">
        <v>-798</v>
      </c>
      <c r="H2247" s="767">
        <v>-15761.99</v>
      </c>
      <c r="I2247" s="768" t="s">
        <v>1713</v>
      </c>
    </row>
    <row r="2248" spans="1:9" x14ac:dyDescent="0.25">
      <c r="A2248" s="753"/>
      <c r="C2248" s="131">
        <v>451</v>
      </c>
      <c r="D2248" s="131">
        <v>16</v>
      </c>
      <c r="E2248" s="131" t="s">
        <v>2262</v>
      </c>
      <c r="F2248" s="767">
        <v>0</v>
      </c>
      <c r="G2248" s="767">
        <v>-1879</v>
      </c>
      <c r="H2248" s="767">
        <v>-1879</v>
      </c>
      <c r="I2248" s="768" t="s">
        <v>2263</v>
      </c>
    </row>
    <row r="2249" spans="1:9" x14ac:dyDescent="0.25">
      <c r="A2249" s="753"/>
      <c r="C2249" s="131">
        <v>451</v>
      </c>
      <c r="D2249" s="131">
        <v>16</v>
      </c>
      <c r="E2249" s="131" t="s">
        <v>2264</v>
      </c>
      <c r="F2249" s="767">
        <v>0</v>
      </c>
      <c r="G2249" s="767">
        <v>-1495</v>
      </c>
      <c r="H2249" s="767">
        <v>-1495</v>
      </c>
      <c r="I2249" s="768" t="s">
        <v>2265</v>
      </c>
    </row>
    <row r="2250" spans="1:9" x14ac:dyDescent="0.25">
      <c r="A2250" s="753"/>
      <c r="C2250" s="131">
        <v>453</v>
      </c>
      <c r="D2250" s="131">
        <v>16</v>
      </c>
      <c r="E2250" s="131">
        <v>453</v>
      </c>
      <c r="F2250" s="767">
        <v>-19920.2</v>
      </c>
      <c r="G2250" s="767">
        <v>-2226.5</v>
      </c>
      <c r="H2250" s="767">
        <v>-22146.7</v>
      </c>
      <c r="I2250" s="768" t="s">
        <v>1714</v>
      </c>
    </row>
    <row r="2251" spans="1:9" x14ac:dyDescent="0.25">
      <c r="A2251" s="753"/>
      <c r="C2251" s="131">
        <v>455</v>
      </c>
      <c r="D2251" s="131">
        <v>16</v>
      </c>
      <c r="E2251" s="131">
        <v>455</v>
      </c>
      <c r="F2251" s="767">
        <v>-24874</v>
      </c>
      <c r="G2251" s="767">
        <v>-3631</v>
      </c>
      <c r="H2251" s="767">
        <v>-28505</v>
      </c>
      <c r="I2251" s="768" t="s">
        <v>1715</v>
      </c>
    </row>
    <row r="2252" spans="1:9" x14ac:dyDescent="0.25">
      <c r="A2252" s="753">
        <v>707116</v>
      </c>
      <c r="B2252" s="130">
        <v>7196</v>
      </c>
      <c r="C2252" s="131">
        <v>451</v>
      </c>
      <c r="D2252" s="131">
        <v>16</v>
      </c>
      <c r="E2252" s="131">
        <v>451</v>
      </c>
      <c r="F2252" s="767">
        <v>-14963.99</v>
      </c>
      <c r="G2252" s="767">
        <v>-798</v>
      </c>
      <c r="H2252" s="767">
        <v>-15761.99</v>
      </c>
      <c r="I2252" s="768" t="s">
        <v>1713</v>
      </c>
    </row>
    <row r="2253" spans="1:9" x14ac:dyDescent="0.25">
      <c r="A2253" s="753"/>
      <c r="C2253" s="131">
        <v>451</v>
      </c>
      <c r="D2253" s="131">
        <v>16</v>
      </c>
      <c r="E2253" s="131" t="s">
        <v>2262</v>
      </c>
      <c r="F2253" s="767">
        <v>0</v>
      </c>
      <c r="G2253" s="767">
        <v>-1879</v>
      </c>
      <c r="H2253" s="767">
        <v>-1879</v>
      </c>
      <c r="I2253" s="768" t="s">
        <v>2263</v>
      </c>
    </row>
    <row r="2254" spans="1:9" x14ac:dyDescent="0.25">
      <c r="A2254" s="753"/>
      <c r="C2254" s="131">
        <v>451</v>
      </c>
      <c r="D2254" s="131">
        <v>16</v>
      </c>
      <c r="E2254" s="131" t="s">
        <v>2264</v>
      </c>
      <c r="F2254" s="767">
        <v>0</v>
      </c>
      <c r="G2254" s="767">
        <v>-1495</v>
      </c>
      <c r="H2254" s="767">
        <v>-1495</v>
      </c>
      <c r="I2254" s="768" t="s">
        <v>2265</v>
      </c>
    </row>
    <row r="2255" spans="1:9" x14ac:dyDescent="0.25">
      <c r="A2255" s="753"/>
      <c r="C2255" s="131">
        <v>453</v>
      </c>
      <c r="D2255" s="131">
        <v>16</v>
      </c>
      <c r="E2255" s="131">
        <v>453</v>
      </c>
      <c r="F2255" s="767">
        <v>-19920.2</v>
      </c>
      <c r="G2255" s="767">
        <v>-2226.5</v>
      </c>
      <c r="H2255" s="767">
        <v>-22146.7</v>
      </c>
      <c r="I2255" s="768" t="s">
        <v>1714</v>
      </c>
    </row>
    <row r="2256" spans="1:9" x14ac:dyDescent="0.25">
      <c r="A2256" s="753"/>
      <c r="C2256" s="131">
        <v>455</v>
      </c>
      <c r="D2256" s="131">
        <v>16</v>
      </c>
      <c r="E2256" s="131">
        <v>455</v>
      </c>
      <c r="F2256" s="767">
        <v>-24874</v>
      </c>
      <c r="G2256" s="767">
        <v>-3631</v>
      </c>
      <c r="H2256" s="767">
        <v>-28505</v>
      </c>
      <c r="I2256" s="768" t="s">
        <v>1715</v>
      </c>
    </row>
    <row r="2257" spans="1:9" x14ac:dyDescent="0.25">
      <c r="A2257" s="753"/>
      <c r="C2257" s="131">
        <v>651</v>
      </c>
      <c r="D2257" s="131">
        <v>16</v>
      </c>
      <c r="E2257" s="131">
        <v>651</v>
      </c>
      <c r="F2257" s="767">
        <v>2984.9</v>
      </c>
      <c r="G2257" s="767">
        <v>140</v>
      </c>
      <c r="H2257" s="767">
        <v>3124.9</v>
      </c>
      <c r="I2257" s="768" t="s">
        <v>1716</v>
      </c>
    </row>
    <row r="2258" spans="1:9" x14ac:dyDescent="0.25">
      <c r="A2258" s="753"/>
      <c r="C2258" s="131">
        <v>651</v>
      </c>
      <c r="D2258" s="131">
        <v>16</v>
      </c>
      <c r="E2258" s="131" t="s">
        <v>2266</v>
      </c>
      <c r="F2258" s="767">
        <v>0</v>
      </c>
      <c r="G2258" s="767">
        <v>1315.3</v>
      </c>
      <c r="H2258" s="767">
        <v>1315.3</v>
      </c>
      <c r="I2258" s="768" t="s">
        <v>2267</v>
      </c>
    </row>
    <row r="2259" spans="1:9" x14ac:dyDescent="0.25">
      <c r="A2259" s="753"/>
      <c r="C2259" s="131">
        <v>651</v>
      </c>
      <c r="D2259" s="131">
        <v>16</v>
      </c>
      <c r="E2259" s="131" t="s">
        <v>2268</v>
      </c>
      <c r="F2259" s="767">
        <v>0</v>
      </c>
      <c r="G2259" s="767">
        <v>747.5</v>
      </c>
      <c r="H2259" s="767">
        <v>747.5</v>
      </c>
      <c r="I2259" s="768" t="s">
        <v>2269</v>
      </c>
    </row>
    <row r="2260" spans="1:9" x14ac:dyDescent="0.25">
      <c r="A2260" s="753"/>
      <c r="C2260" s="131">
        <v>655</v>
      </c>
      <c r="D2260" s="131">
        <v>16</v>
      </c>
      <c r="E2260" s="131">
        <v>655</v>
      </c>
      <c r="F2260" s="767">
        <v>16330</v>
      </c>
      <c r="G2260" s="767">
        <v>631</v>
      </c>
      <c r="H2260" s="767">
        <v>16961</v>
      </c>
      <c r="I2260" s="768" t="s">
        <v>1717</v>
      </c>
    </row>
    <row r="2261" spans="1:9" x14ac:dyDescent="0.25">
      <c r="A2261" s="753">
        <v>707118</v>
      </c>
      <c r="B2261" s="130">
        <v>900</v>
      </c>
      <c r="E2261" s="131"/>
    </row>
    <row r="2262" spans="1:9" x14ac:dyDescent="0.25">
      <c r="A2262" s="753">
        <v>707122</v>
      </c>
      <c r="B2262" s="130">
        <v>67</v>
      </c>
      <c r="C2262" s="131" t="s">
        <v>1707</v>
      </c>
      <c r="D2262" s="131">
        <v>16</v>
      </c>
      <c r="E2262" s="131" t="s">
        <v>1707</v>
      </c>
      <c r="F2262" s="767">
        <v>-0.36</v>
      </c>
      <c r="G2262" s="767">
        <v>-0.02</v>
      </c>
      <c r="H2262" s="767">
        <v>-0.38</v>
      </c>
      <c r="I2262" s="768" t="s">
        <v>1708</v>
      </c>
    </row>
    <row r="2263" spans="1:9" x14ac:dyDescent="0.25">
      <c r="A2263" s="753"/>
      <c r="C2263" s="131" t="s">
        <v>1707</v>
      </c>
      <c r="D2263" s="131">
        <v>16</v>
      </c>
      <c r="E2263" s="131" t="s">
        <v>2258</v>
      </c>
      <c r="F2263" s="767">
        <v>0</v>
      </c>
      <c r="G2263" s="767">
        <v>-0.01</v>
      </c>
      <c r="H2263" s="767">
        <v>-0.01</v>
      </c>
      <c r="I2263" s="768" t="s">
        <v>2259</v>
      </c>
    </row>
    <row r="2264" spans="1:9" x14ac:dyDescent="0.25">
      <c r="A2264" s="753"/>
      <c r="C2264" s="131" t="s">
        <v>1707</v>
      </c>
      <c r="D2264" s="131">
        <v>16</v>
      </c>
      <c r="E2264" s="131" t="s">
        <v>2260</v>
      </c>
      <c r="F2264" s="767">
        <v>0</v>
      </c>
      <c r="G2264" s="767">
        <v>-0.01</v>
      </c>
      <c r="H2264" s="767">
        <v>-0.01</v>
      </c>
      <c r="I2264" s="768" t="s">
        <v>2261</v>
      </c>
    </row>
    <row r="2265" spans="1:9" x14ac:dyDescent="0.25">
      <c r="A2265" s="753"/>
      <c r="C2265" s="131" t="s">
        <v>1709</v>
      </c>
      <c r="D2265" s="131">
        <v>16</v>
      </c>
      <c r="E2265" s="131" t="s">
        <v>1709</v>
      </c>
      <c r="F2265" s="767">
        <v>-0.18</v>
      </c>
      <c r="G2265" s="767">
        <v>-0.02</v>
      </c>
      <c r="H2265" s="767">
        <v>-0.2</v>
      </c>
      <c r="I2265" s="768" t="s">
        <v>1710</v>
      </c>
    </row>
    <row r="2266" spans="1:9" x14ac:dyDescent="0.25">
      <c r="A2266" s="753"/>
      <c r="C2266" s="131" t="s">
        <v>1711</v>
      </c>
      <c r="D2266" s="131">
        <v>16</v>
      </c>
      <c r="E2266" s="131" t="s">
        <v>1711</v>
      </c>
      <c r="F2266" s="767">
        <v>-0.05</v>
      </c>
      <c r="G2266" s="767">
        <v>-0.02</v>
      </c>
      <c r="H2266" s="767">
        <v>-7.0000000000000007E-2</v>
      </c>
      <c r="I2266" s="768" t="s">
        <v>1712</v>
      </c>
    </row>
    <row r="2267" spans="1:9" x14ac:dyDescent="0.25">
      <c r="A2267" s="753">
        <v>707124</v>
      </c>
      <c r="B2267" s="130">
        <v>69788</v>
      </c>
      <c r="C2267" s="131">
        <v>451</v>
      </c>
      <c r="D2267" s="131">
        <v>16</v>
      </c>
      <c r="E2267" s="131">
        <v>451</v>
      </c>
      <c r="F2267" s="767">
        <v>-14963.99</v>
      </c>
      <c r="G2267" s="767">
        <v>-798</v>
      </c>
      <c r="H2267" s="767">
        <v>-15761.99</v>
      </c>
      <c r="I2267" s="768" t="s">
        <v>1713</v>
      </c>
    </row>
    <row r="2268" spans="1:9" x14ac:dyDescent="0.25">
      <c r="A2268" s="753"/>
      <c r="C2268" s="131">
        <v>451</v>
      </c>
      <c r="D2268" s="131">
        <v>16</v>
      </c>
      <c r="E2268" s="131" t="s">
        <v>2262</v>
      </c>
      <c r="F2268" s="767">
        <v>0</v>
      </c>
      <c r="G2268" s="767">
        <v>-1879</v>
      </c>
      <c r="H2268" s="767">
        <v>-1879</v>
      </c>
      <c r="I2268" s="768" t="s">
        <v>2263</v>
      </c>
    </row>
    <row r="2269" spans="1:9" x14ac:dyDescent="0.25">
      <c r="A2269" s="753"/>
      <c r="C2269" s="131">
        <v>451</v>
      </c>
      <c r="D2269" s="131">
        <v>16</v>
      </c>
      <c r="E2269" s="131" t="s">
        <v>2264</v>
      </c>
      <c r="F2269" s="767">
        <v>0</v>
      </c>
      <c r="G2269" s="767">
        <v>-1495</v>
      </c>
      <c r="H2269" s="767">
        <v>-1495</v>
      </c>
      <c r="I2269" s="768" t="s">
        <v>2265</v>
      </c>
    </row>
    <row r="2270" spans="1:9" x14ac:dyDescent="0.25">
      <c r="A2270" s="753"/>
      <c r="C2270" s="131">
        <v>453</v>
      </c>
      <c r="D2270" s="131">
        <v>16</v>
      </c>
      <c r="E2270" s="131">
        <v>453</v>
      </c>
      <c r="F2270" s="767">
        <v>-19920.2</v>
      </c>
      <c r="G2270" s="767">
        <v>-2226.5</v>
      </c>
      <c r="H2270" s="767">
        <v>-22146.7</v>
      </c>
      <c r="I2270" s="768" t="s">
        <v>1714</v>
      </c>
    </row>
    <row r="2271" spans="1:9" x14ac:dyDescent="0.25">
      <c r="A2271" s="753"/>
      <c r="C2271" s="131">
        <v>455</v>
      </c>
      <c r="D2271" s="131">
        <v>16</v>
      </c>
      <c r="E2271" s="131">
        <v>455</v>
      </c>
      <c r="F2271" s="767">
        <v>-24874</v>
      </c>
      <c r="G2271" s="767">
        <v>-3631</v>
      </c>
      <c r="H2271" s="767">
        <v>-28505</v>
      </c>
      <c r="I2271" s="768" t="s">
        <v>1715</v>
      </c>
    </row>
    <row r="2272" spans="1:9" x14ac:dyDescent="0.25">
      <c r="A2272" s="753">
        <v>707126</v>
      </c>
      <c r="B2272" s="130">
        <v>47639</v>
      </c>
      <c r="C2272" s="131">
        <v>451</v>
      </c>
      <c r="D2272" s="131">
        <v>16</v>
      </c>
      <c r="E2272" s="131">
        <v>451</v>
      </c>
      <c r="F2272" s="767">
        <v>-14963.99</v>
      </c>
      <c r="G2272" s="767">
        <v>-798</v>
      </c>
      <c r="H2272" s="767">
        <v>-15761.99</v>
      </c>
      <c r="I2272" s="768" t="s">
        <v>1713</v>
      </c>
    </row>
    <row r="2273" spans="1:9" x14ac:dyDescent="0.25">
      <c r="A2273" s="753"/>
      <c r="C2273" s="131">
        <v>451</v>
      </c>
      <c r="D2273" s="131">
        <v>16</v>
      </c>
      <c r="E2273" s="131" t="s">
        <v>2262</v>
      </c>
      <c r="F2273" s="767">
        <v>0</v>
      </c>
      <c r="G2273" s="767">
        <v>-1879</v>
      </c>
      <c r="H2273" s="767">
        <v>-1879</v>
      </c>
      <c r="I2273" s="768" t="s">
        <v>2263</v>
      </c>
    </row>
    <row r="2274" spans="1:9" x14ac:dyDescent="0.25">
      <c r="A2274" s="753"/>
      <c r="C2274" s="131">
        <v>451</v>
      </c>
      <c r="D2274" s="131">
        <v>16</v>
      </c>
      <c r="E2274" s="131" t="s">
        <v>2264</v>
      </c>
      <c r="F2274" s="767">
        <v>0</v>
      </c>
      <c r="G2274" s="767">
        <v>-1495</v>
      </c>
      <c r="H2274" s="767">
        <v>-1495</v>
      </c>
      <c r="I2274" s="768" t="s">
        <v>2265</v>
      </c>
    </row>
    <row r="2275" spans="1:9" x14ac:dyDescent="0.25">
      <c r="A2275" s="753"/>
      <c r="C2275" s="131">
        <v>453</v>
      </c>
      <c r="D2275" s="131">
        <v>16</v>
      </c>
      <c r="E2275" s="131">
        <v>453</v>
      </c>
      <c r="F2275" s="767">
        <v>-19920.2</v>
      </c>
      <c r="G2275" s="767">
        <v>-2226.5</v>
      </c>
      <c r="H2275" s="767">
        <v>-22146.7</v>
      </c>
      <c r="I2275" s="768" t="s">
        <v>1714</v>
      </c>
    </row>
    <row r="2276" spans="1:9" x14ac:dyDescent="0.25">
      <c r="A2276" s="753"/>
      <c r="C2276" s="131">
        <v>455</v>
      </c>
      <c r="D2276" s="131">
        <v>16</v>
      </c>
      <c r="E2276" s="131">
        <v>455</v>
      </c>
      <c r="F2276" s="767">
        <v>-24874</v>
      </c>
      <c r="G2276" s="767">
        <v>-3631</v>
      </c>
      <c r="H2276" s="767">
        <v>-28505</v>
      </c>
      <c r="I2276" s="768" t="s">
        <v>1715</v>
      </c>
    </row>
    <row r="2277" spans="1:9" x14ac:dyDescent="0.25">
      <c r="A2277" s="753"/>
      <c r="C2277" s="131">
        <v>651</v>
      </c>
      <c r="D2277" s="131">
        <v>16</v>
      </c>
      <c r="E2277" s="131">
        <v>651</v>
      </c>
      <c r="F2277" s="767">
        <v>2984.9</v>
      </c>
      <c r="G2277" s="767">
        <v>140</v>
      </c>
      <c r="H2277" s="767">
        <v>3124.9</v>
      </c>
      <c r="I2277" s="768" t="s">
        <v>1716</v>
      </c>
    </row>
    <row r="2278" spans="1:9" x14ac:dyDescent="0.25">
      <c r="A2278" s="753"/>
      <c r="C2278" s="131">
        <v>651</v>
      </c>
      <c r="D2278" s="131">
        <v>16</v>
      </c>
      <c r="E2278" s="131" t="s">
        <v>2266</v>
      </c>
      <c r="F2278" s="767">
        <v>0</v>
      </c>
      <c r="G2278" s="767">
        <v>1315.3</v>
      </c>
      <c r="H2278" s="767">
        <v>1315.3</v>
      </c>
      <c r="I2278" s="768" t="s">
        <v>2267</v>
      </c>
    </row>
    <row r="2279" spans="1:9" x14ac:dyDescent="0.25">
      <c r="A2279" s="753"/>
      <c r="C2279" s="131">
        <v>651</v>
      </c>
      <c r="D2279" s="131">
        <v>16</v>
      </c>
      <c r="E2279" s="131" t="s">
        <v>2268</v>
      </c>
      <c r="F2279" s="767">
        <v>0</v>
      </c>
      <c r="G2279" s="767">
        <v>747.5</v>
      </c>
      <c r="H2279" s="767">
        <v>747.5</v>
      </c>
      <c r="I2279" s="768" t="s">
        <v>2269</v>
      </c>
    </row>
    <row r="2280" spans="1:9" x14ac:dyDescent="0.25">
      <c r="A2280" s="753"/>
      <c r="C2280" s="131">
        <v>655</v>
      </c>
      <c r="D2280" s="131">
        <v>16</v>
      </c>
      <c r="E2280" s="131">
        <v>655</v>
      </c>
      <c r="F2280" s="767">
        <v>16330</v>
      </c>
      <c r="G2280" s="767">
        <v>631</v>
      </c>
      <c r="H2280" s="767">
        <v>16961</v>
      </c>
      <c r="I2280" s="768" t="s">
        <v>1717</v>
      </c>
    </row>
    <row r="2281" spans="1:9" x14ac:dyDescent="0.25">
      <c r="A2281" s="753">
        <v>707128</v>
      </c>
      <c r="B2281" s="130">
        <v>711</v>
      </c>
      <c r="E2281" s="131"/>
    </row>
    <row r="2282" spans="1:9" x14ac:dyDescent="0.25">
      <c r="A2282" s="753">
        <v>707212</v>
      </c>
      <c r="B2282" s="130">
        <v>0</v>
      </c>
      <c r="E2282" s="131"/>
    </row>
    <row r="2283" spans="1:9" x14ac:dyDescent="0.25">
      <c r="A2283" s="753">
        <v>707214</v>
      </c>
      <c r="B2283" s="130">
        <v>0</v>
      </c>
      <c r="E2283" s="131"/>
    </row>
    <row r="2284" spans="1:9" x14ac:dyDescent="0.25">
      <c r="A2284" s="753">
        <v>707216</v>
      </c>
      <c r="B2284" s="130">
        <v>0</v>
      </c>
      <c r="E2284" s="131"/>
    </row>
    <row r="2285" spans="1:9" x14ac:dyDescent="0.25">
      <c r="A2285" s="753">
        <v>707218</v>
      </c>
      <c r="B2285" s="130">
        <v>0</v>
      </c>
      <c r="E2285" s="131"/>
    </row>
    <row r="2286" spans="1:9" x14ac:dyDescent="0.25">
      <c r="A2286" s="753">
        <v>707222</v>
      </c>
      <c r="B2286" s="130">
        <v>0</v>
      </c>
      <c r="E2286" s="131"/>
    </row>
    <row r="2287" spans="1:9" x14ac:dyDescent="0.25">
      <c r="A2287" s="753">
        <v>707224</v>
      </c>
      <c r="B2287" s="130">
        <v>0</v>
      </c>
      <c r="E2287" s="131"/>
    </row>
    <row r="2288" spans="1:9" x14ac:dyDescent="0.25">
      <c r="A2288" s="753">
        <v>707226</v>
      </c>
      <c r="B2288" s="130">
        <v>0</v>
      </c>
      <c r="E2288" s="131"/>
    </row>
    <row r="2289" spans="1:9" x14ac:dyDescent="0.25">
      <c r="A2289" s="753">
        <v>707228</v>
      </c>
      <c r="B2289" s="130">
        <v>0</v>
      </c>
      <c r="E2289" s="131"/>
    </row>
    <row r="2290" spans="1:9" x14ac:dyDescent="0.25">
      <c r="A2290" s="753">
        <v>707316</v>
      </c>
      <c r="B2290" s="130">
        <v>0</v>
      </c>
      <c r="C2290" s="131">
        <v>817</v>
      </c>
      <c r="D2290" s="131">
        <v>16</v>
      </c>
      <c r="E2290" s="131">
        <v>817</v>
      </c>
      <c r="F2290" s="767">
        <v>-26075</v>
      </c>
      <c r="G2290" s="767">
        <v>0</v>
      </c>
      <c r="H2290" s="767">
        <v>-26075</v>
      </c>
      <c r="I2290" s="768" t="s">
        <v>1718</v>
      </c>
    </row>
    <row r="2291" spans="1:9" x14ac:dyDescent="0.25">
      <c r="A2291" s="753">
        <v>707326</v>
      </c>
      <c r="B2291" s="130">
        <v>26075</v>
      </c>
      <c r="C2291" s="131">
        <v>817</v>
      </c>
      <c r="D2291" s="131">
        <v>16</v>
      </c>
      <c r="E2291" s="131">
        <v>817</v>
      </c>
      <c r="F2291" s="767">
        <v>-26075</v>
      </c>
      <c r="G2291" s="767">
        <v>0</v>
      </c>
      <c r="H2291" s="767">
        <v>-26075</v>
      </c>
      <c r="I2291" s="768" t="s">
        <v>1718</v>
      </c>
    </row>
    <row r="2292" spans="1:9" x14ac:dyDescent="0.25">
      <c r="A2292" s="753">
        <v>707416</v>
      </c>
      <c r="B2292" s="130">
        <v>0</v>
      </c>
      <c r="E2292" s="131"/>
    </row>
    <row r="2293" spans="1:9" x14ac:dyDescent="0.25">
      <c r="A2293" s="753">
        <v>707426</v>
      </c>
      <c r="B2293" s="130">
        <v>0</v>
      </c>
      <c r="E2293" s="131"/>
    </row>
    <row r="2294" spans="1:9" x14ac:dyDescent="0.25">
      <c r="A2294" s="753">
        <v>707512</v>
      </c>
      <c r="B2294" s="130">
        <v>4</v>
      </c>
      <c r="E2294" s="131"/>
    </row>
    <row r="2295" spans="1:9" x14ac:dyDescent="0.25">
      <c r="A2295" s="753">
        <v>707514</v>
      </c>
      <c r="B2295" s="130">
        <v>248181</v>
      </c>
      <c r="E2295" s="131"/>
    </row>
    <row r="2296" spans="1:9" x14ac:dyDescent="0.25">
      <c r="A2296" s="753">
        <v>707522</v>
      </c>
      <c r="B2296" s="130">
        <v>59</v>
      </c>
      <c r="E2296" s="131"/>
    </row>
    <row r="2297" spans="1:9" x14ac:dyDescent="0.25">
      <c r="A2297" s="753">
        <v>707524</v>
      </c>
      <c r="B2297" s="130">
        <v>4603836</v>
      </c>
      <c r="E2297" s="131"/>
    </row>
    <row r="2298" spans="1:9" x14ac:dyDescent="0.25">
      <c r="A2298" s="753">
        <v>707526</v>
      </c>
      <c r="B2298" s="130">
        <v>176745</v>
      </c>
      <c r="C2298" s="131">
        <v>442</v>
      </c>
      <c r="D2298" s="131">
        <v>16</v>
      </c>
      <c r="E2298" s="131">
        <v>442</v>
      </c>
      <c r="F2298" s="767">
        <v>-1651403.26</v>
      </c>
      <c r="G2298" s="767">
        <v>-76551</v>
      </c>
      <c r="H2298" s="767">
        <v>-1727954.26</v>
      </c>
      <c r="I2298" s="768" t="s">
        <v>1701</v>
      </c>
    </row>
    <row r="2299" spans="1:9" x14ac:dyDescent="0.25">
      <c r="A2299" s="753"/>
      <c r="C2299" s="131">
        <v>642</v>
      </c>
      <c r="D2299" s="131">
        <v>16</v>
      </c>
      <c r="E2299" s="131">
        <v>642</v>
      </c>
      <c r="F2299" s="767">
        <v>1546952.19</v>
      </c>
      <c r="G2299" s="767">
        <v>67158.94</v>
      </c>
      <c r="H2299" s="767">
        <v>1614111.13</v>
      </c>
      <c r="I2299" s="768" t="s">
        <v>1702</v>
      </c>
    </row>
    <row r="2300" spans="1:9" x14ac:dyDescent="0.25">
      <c r="A2300" s="753"/>
      <c r="C2300" s="131">
        <v>643</v>
      </c>
      <c r="D2300" s="131">
        <v>16</v>
      </c>
      <c r="E2300" s="131">
        <v>643</v>
      </c>
      <c r="F2300" s="767">
        <v>40863.03</v>
      </c>
      <c r="G2300" s="767">
        <v>4191.04</v>
      </c>
      <c r="H2300" s="767">
        <v>45054.07</v>
      </c>
      <c r="I2300" s="768" t="s">
        <v>1703</v>
      </c>
    </row>
    <row r="2301" spans="1:9" x14ac:dyDescent="0.25">
      <c r="A2301" s="753"/>
      <c r="C2301" s="131" t="s">
        <v>1096</v>
      </c>
      <c r="D2301" s="131">
        <v>16</v>
      </c>
      <c r="E2301" s="131" t="s">
        <v>1096</v>
      </c>
      <c r="F2301" s="767">
        <v>-2644494</v>
      </c>
      <c r="G2301" s="767">
        <v>-161600</v>
      </c>
      <c r="H2301" s="767">
        <v>-2806094</v>
      </c>
      <c r="I2301" s="768" t="s">
        <v>1705</v>
      </c>
    </row>
    <row r="2302" spans="1:9" x14ac:dyDescent="0.25">
      <c r="A2302" s="753"/>
      <c r="C2302" s="131" t="s">
        <v>1086</v>
      </c>
      <c r="D2302" s="131">
        <v>16</v>
      </c>
      <c r="E2302" s="131" t="s">
        <v>1086</v>
      </c>
      <c r="F2302" s="767">
        <v>2614487.8199999998</v>
      </c>
      <c r="G2302" s="767">
        <v>157364.25</v>
      </c>
      <c r="H2302" s="767">
        <v>2771852.07</v>
      </c>
      <c r="I2302" s="768" t="s">
        <v>1706</v>
      </c>
    </row>
    <row r="2303" spans="1:9" x14ac:dyDescent="0.25">
      <c r="A2303" s="753"/>
      <c r="C2303" s="131">
        <v>451</v>
      </c>
      <c r="D2303" s="131">
        <v>16</v>
      </c>
      <c r="E2303" s="131">
        <v>451</v>
      </c>
      <c r="F2303" s="767">
        <v>-14963.99</v>
      </c>
      <c r="G2303" s="767">
        <v>-798</v>
      </c>
      <c r="H2303" s="767">
        <v>-15761.99</v>
      </c>
      <c r="I2303" s="768" t="s">
        <v>1713</v>
      </c>
    </row>
    <row r="2304" spans="1:9" x14ac:dyDescent="0.25">
      <c r="A2304" s="753"/>
      <c r="C2304" s="131">
        <v>451</v>
      </c>
      <c r="D2304" s="131">
        <v>16</v>
      </c>
      <c r="E2304" s="131" t="s">
        <v>2262</v>
      </c>
      <c r="F2304" s="767">
        <v>0</v>
      </c>
      <c r="G2304" s="767">
        <v>-1879</v>
      </c>
      <c r="H2304" s="767">
        <v>-1879</v>
      </c>
      <c r="I2304" s="768" t="s">
        <v>2263</v>
      </c>
    </row>
    <row r="2305" spans="1:9" x14ac:dyDescent="0.25">
      <c r="A2305" s="753"/>
      <c r="C2305" s="131">
        <v>451</v>
      </c>
      <c r="D2305" s="131">
        <v>16</v>
      </c>
      <c r="E2305" s="131" t="s">
        <v>2264</v>
      </c>
      <c r="F2305" s="767">
        <v>0</v>
      </c>
      <c r="G2305" s="767">
        <v>-1495</v>
      </c>
      <c r="H2305" s="767">
        <v>-1495</v>
      </c>
      <c r="I2305" s="768" t="s">
        <v>2265</v>
      </c>
    </row>
    <row r="2306" spans="1:9" x14ac:dyDescent="0.25">
      <c r="A2306" s="753"/>
      <c r="C2306" s="131">
        <v>453</v>
      </c>
      <c r="D2306" s="131">
        <v>16</v>
      </c>
      <c r="E2306" s="131">
        <v>453</v>
      </c>
      <c r="F2306" s="767">
        <v>-19920.2</v>
      </c>
      <c r="G2306" s="767">
        <v>-2226.5</v>
      </c>
      <c r="H2306" s="767">
        <v>-22146.7</v>
      </c>
      <c r="I2306" s="768" t="s">
        <v>1714</v>
      </c>
    </row>
    <row r="2307" spans="1:9" x14ac:dyDescent="0.25">
      <c r="A2307" s="753"/>
      <c r="C2307" s="131">
        <v>455</v>
      </c>
      <c r="D2307" s="131">
        <v>16</v>
      </c>
      <c r="E2307" s="131">
        <v>455</v>
      </c>
      <c r="F2307" s="767">
        <v>-24874</v>
      </c>
      <c r="G2307" s="767">
        <v>-3631</v>
      </c>
      <c r="H2307" s="767">
        <v>-28505</v>
      </c>
      <c r="I2307" s="768" t="s">
        <v>1715</v>
      </c>
    </row>
    <row r="2308" spans="1:9" x14ac:dyDescent="0.25">
      <c r="A2308" s="753"/>
      <c r="C2308" s="131">
        <v>651</v>
      </c>
      <c r="D2308" s="131">
        <v>16</v>
      </c>
      <c r="E2308" s="131">
        <v>651</v>
      </c>
      <c r="F2308" s="767">
        <v>2984.9</v>
      </c>
      <c r="G2308" s="767">
        <v>140</v>
      </c>
      <c r="H2308" s="767">
        <v>3124.9</v>
      </c>
      <c r="I2308" s="768" t="s">
        <v>1716</v>
      </c>
    </row>
    <row r="2309" spans="1:9" x14ac:dyDescent="0.25">
      <c r="A2309" s="753"/>
      <c r="C2309" s="131">
        <v>651</v>
      </c>
      <c r="D2309" s="131">
        <v>16</v>
      </c>
      <c r="E2309" s="131" t="s">
        <v>2266</v>
      </c>
      <c r="F2309" s="767">
        <v>0</v>
      </c>
      <c r="G2309" s="767">
        <v>1315.3</v>
      </c>
      <c r="H2309" s="767">
        <v>1315.3</v>
      </c>
      <c r="I2309" s="768" t="s">
        <v>2267</v>
      </c>
    </row>
    <row r="2310" spans="1:9" x14ac:dyDescent="0.25">
      <c r="A2310" s="753"/>
      <c r="C2310" s="131">
        <v>651</v>
      </c>
      <c r="D2310" s="131">
        <v>16</v>
      </c>
      <c r="E2310" s="131" t="s">
        <v>2268</v>
      </c>
      <c r="F2310" s="767">
        <v>0</v>
      </c>
      <c r="G2310" s="767">
        <v>747.5</v>
      </c>
      <c r="H2310" s="767">
        <v>747.5</v>
      </c>
      <c r="I2310" s="768" t="s">
        <v>2269</v>
      </c>
    </row>
    <row r="2311" spans="1:9" x14ac:dyDescent="0.25">
      <c r="A2311" s="753"/>
      <c r="C2311" s="131">
        <v>655</v>
      </c>
      <c r="D2311" s="131">
        <v>16</v>
      </c>
      <c r="E2311" s="131">
        <v>655</v>
      </c>
      <c r="F2311" s="767">
        <v>16330</v>
      </c>
      <c r="G2311" s="767">
        <v>631</v>
      </c>
      <c r="H2311" s="767">
        <v>16961</v>
      </c>
      <c r="I2311" s="768" t="s">
        <v>1717</v>
      </c>
    </row>
    <row r="2312" spans="1:9" x14ac:dyDescent="0.25">
      <c r="A2312" s="753"/>
      <c r="C2312" s="131">
        <v>817</v>
      </c>
      <c r="D2312" s="131">
        <v>16</v>
      </c>
      <c r="E2312" s="131">
        <v>817</v>
      </c>
      <c r="F2312" s="767">
        <v>-26075</v>
      </c>
      <c r="G2312" s="767">
        <v>0</v>
      </c>
      <c r="H2312" s="767">
        <v>-26075</v>
      </c>
      <c r="I2312" s="768" t="s">
        <v>1718</v>
      </c>
    </row>
    <row r="2313" spans="1:9" x14ac:dyDescent="0.25">
      <c r="A2313" s="753">
        <v>707612</v>
      </c>
      <c r="B2313" s="130">
        <v>14</v>
      </c>
      <c r="E2313" s="131"/>
    </row>
    <row r="2314" spans="1:9" x14ac:dyDescent="0.25">
      <c r="A2314" s="753">
        <v>707614</v>
      </c>
      <c r="B2314" s="130">
        <v>1535462</v>
      </c>
      <c r="E2314" s="131"/>
    </row>
    <row r="2315" spans="1:9" x14ac:dyDescent="0.25">
      <c r="A2315" s="753">
        <v>707622</v>
      </c>
      <c r="B2315" s="130">
        <v>178</v>
      </c>
      <c r="E2315" s="131"/>
    </row>
    <row r="2316" spans="1:9" x14ac:dyDescent="0.25">
      <c r="A2316" s="753">
        <v>707624</v>
      </c>
      <c r="B2316" s="130">
        <v>15163998</v>
      </c>
      <c r="E2316" s="131"/>
    </row>
    <row r="2317" spans="1:9" x14ac:dyDescent="0.25">
      <c r="A2317" s="753">
        <v>707626</v>
      </c>
      <c r="B2317" s="130">
        <v>786750</v>
      </c>
      <c r="C2317" s="131" t="s">
        <v>1060</v>
      </c>
      <c r="D2317" s="131">
        <v>16</v>
      </c>
      <c r="E2317" s="131" t="s">
        <v>1060</v>
      </c>
      <c r="F2317" s="767">
        <v>-1460919</v>
      </c>
      <c r="G2317" s="767">
        <v>-53091</v>
      </c>
      <c r="H2317" s="767">
        <v>-1514010</v>
      </c>
      <c r="I2317" s="768" t="s">
        <v>1609</v>
      </c>
    </row>
    <row r="2318" spans="1:9" x14ac:dyDescent="0.25">
      <c r="A2318" s="753"/>
      <c r="C2318" s="131" t="s">
        <v>1061</v>
      </c>
      <c r="D2318" s="131">
        <v>16</v>
      </c>
      <c r="E2318" s="131" t="s">
        <v>1061</v>
      </c>
      <c r="F2318" s="767">
        <v>-1549824.14</v>
      </c>
      <c r="G2318" s="767">
        <v>-195712.38</v>
      </c>
      <c r="H2318" s="767">
        <v>-1745536.52</v>
      </c>
      <c r="I2318" s="768" t="s">
        <v>1610</v>
      </c>
    </row>
    <row r="2319" spans="1:9" x14ac:dyDescent="0.25">
      <c r="A2319" s="753"/>
      <c r="C2319" s="131" t="s">
        <v>1062</v>
      </c>
      <c r="D2319" s="131">
        <v>16</v>
      </c>
      <c r="E2319" s="131" t="s">
        <v>1062</v>
      </c>
      <c r="F2319" s="767">
        <v>1375160.23</v>
      </c>
      <c r="G2319" s="767">
        <v>47910.8</v>
      </c>
      <c r="H2319" s="767">
        <v>1423071.03</v>
      </c>
      <c r="I2319" s="768" t="s">
        <v>1611</v>
      </c>
    </row>
    <row r="2320" spans="1:9" x14ac:dyDescent="0.25">
      <c r="A2320" s="753"/>
      <c r="C2320" s="131" t="s">
        <v>1063</v>
      </c>
      <c r="D2320" s="131">
        <v>16</v>
      </c>
      <c r="E2320" s="131" t="s">
        <v>1063</v>
      </c>
      <c r="F2320" s="767">
        <v>1475708.6</v>
      </c>
      <c r="G2320" s="767">
        <v>186649.34</v>
      </c>
      <c r="H2320" s="767">
        <v>1662357.94</v>
      </c>
      <c r="I2320" s="768" t="s">
        <v>1612</v>
      </c>
    </row>
    <row r="2321" spans="1:9" x14ac:dyDescent="0.25">
      <c r="A2321" s="753"/>
      <c r="C2321" s="131" t="s">
        <v>1064</v>
      </c>
      <c r="D2321" s="131">
        <v>16</v>
      </c>
      <c r="E2321" s="131" t="s">
        <v>1064</v>
      </c>
      <c r="F2321" s="767">
        <v>21586.03</v>
      </c>
      <c r="G2321" s="767">
        <v>462.45</v>
      </c>
      <c r="H2321" s="767">
        <v>22048.48</v>
      </c>
      <c r="I2321" s="768" t="s">
        <v>1613</v>
      </c>
    </row>
    <row r="2322" spans="1:9" x14ac:dyDescent="0.25">
      <c r="A2322" s="753"/>
      <c r="C2322" s="131" t="s">
        <v>1065</v>
      </c>
      <c r="D2322" s="131">
        <v>16</v>
      </c>
      <c r="E2322" s="131" t="s">
        <v>1065</v>
      </c>
      <c r="F2322" s="767">
        <v>18995.09</v>
      </c>
      <c r="G2322" s="767">
        <v>3073.52</v>
      </c>
      <c r="H2322" s="767">
        <v>22068.61</v>
      </c>
      <c r="I2322" s="768" t="s">
        <v>1614</v>
      </c>
    </row>
    <row r="2323" spans="1:9" x14ac:dyDescent="0.25">
      <c r="A2323" s="753"/>
      <c r="C2323" s="131" t="s">
        <v>1067</v>
      </c>
      <c r="D2323" s="131">
        <v>16</v>
      </c>
      <c r="E2323" s="131" t="s">
        <v>1067</v>
      </c>
      <c r="F2323" s="767">
        <v>-1130418.73</v>
      </c>
      <c r="G2323" s="767">
        <v>-109756</v>
      </c>
      <c r="H2323" s="767">
        <v>-1240174.73</v>
      </c>
      <c r="I2323" s="768" t="s">
        <v>1618</v>
      </c>
    </row>
    <row r="2324" spans="1:9" x14ac:dyDescent="0.25">
      <c r="A2324" s="753"/>
      <c r="C2324" s="131" t="s">
        <v>1068</v>
      </c>
      <c r="D2324" s="131">
        <v>16</v>
      </c>
      <c r="E2324" s="131" t="s">
        <v>1068</v>
      </c>
      <c r="F2324" s="767">
        <v>-1119790.01</v>
      </c>
      <c r="G2324" s="767">
        <v>-77747</v>
      </c>
      <c r="H2324" s="767">
        <v>-1197537.01</v>
      </c>
      <c r="I2324" s="768" t="s">
        <v>1619</v>
      </c>
    </row>
    <row r="2325" spans="1:9" x14ac:dyDescent="0.25">
      <c r="A2325" s="753"/>
      <c r="C2325" s="131" t="s">
        <v>1069</v>
      </c>
      <c r="D2325" s="131">
        <v>16</v>
      </c>
      <c r="E2325" s="131" t="s">
        <v>1069</v>
      </c>
      <c r="F2325" s="767">
        <v>1022346.95</v>
      </c>
      <c r="G2325" s="767">
        <v>96071.65</v>
      </c>
      <c r="H2325" s="767">
        <v>1118418.6000000001</v>
      </c>
      <c r="I2325" s="768" t="s">
        <v>1620</v>
      </c>
    </row>
    <row r="2326" spans="1:9" x14ac:dyDescent="0.25">
      <c r="A2326" s="753"/>
      <c r="C2326" s="131" t="s">
        <v>1621</v>
      </c>
      <c r="D2326" s="131">
        <v>16</v>
      </c>
      <c r="E2326" s="131" t="s">
        <v>1621</v>
      </c>
      <c r="F2326" s="767">
        <v>1010840.53</v>
      </c>
      <c r="G2326" s="767">
        <v>65873.399999999994</v>
      </c>
      <c r="H2326" s="767">
        <v>1076713.93</v>
      </c>
      <c r="I2326" s="768" t="s">
        <v>1622</v>
      </c>
    </row>
    <row r="2327" spans="1:9" x14ac:dyDescent="0.25">
      <c r="A2327" s="753"/>
      <c r="C2327" s="131" t="s">
        <v>1070</v>
      </c>
      <c r="D2327" s="131">
        <v>16</v>
      </c>
      <c r="E2327" s="131" t="s">
        <v>1070</v>
      </c>
      <c r="F2327" s="767">
        <v>49886.239999999998</v>
      </c>
      <c r="G2327" s="767">
        <v>2176.36</v>
      </c>
      <c r="H2327" s="767">
        <v>52062.6</v>
      </c>
      <c r="I2327" s="768" t="s">
        <v>1623</v>
      </c>
    </row>
    <row r="2328" spans="1:9" x14ac:dyDescent="0.25">
      <c r="A2328" s="753"/>
      <c r="C2328" s="131" t="s">
        <v>1071</v>
      </c>
      <c r="D2328" s="131">
        <v>16</v>
      </c>
      <c r="E2328" s="131" t="s">
        <v>1071</v>
      </c>
      <c r="F2328" s="767">
        <v>58297.48</v>
      </c>
      <c r="G2328" s="767">
        <v>1557.59</v>
      </c>
      <c r="H2328" s="767">
        <v>59855.07</v>
      </c>
      <c r="I2328" s="768" t="s">
        <v>1624</v>
      </c>
    </row>
    <row r="2329" spans="1:9" x14ac:dyDescent="0.25">
      <c r="A2329" s="753"/>
      <c r="C2329" s="131" t="s">
        <v>1073</v>
      </c>
      <c r="D2329" s="131">
        <v>16</v>
      </c>
      <c r="E2329" s="131" t="s">
        <v>1073</v>
      </c>
      <c r="F2329" s="767">
        <v>-965583</v>
      </c>
      <c r="G2329" s="767">
        <v>-284605</v>
      </c>
      <c r="H2329" s="767">
        <v>-1250188</v>
      </c>
      <c r="I2329" s="768" t="s">
        <v>1628</v>
      </c>
    </row>
    <row r="2330" spans="1:9" x14ac:dyDescent="0.25">
      <c r="A2330" s="753"/>
      <c r="C2330" s="131" t="s">
        <v>1074</v>
      </c>
      <c r="D2330" s="131">
        <v>16</v>
      </c>
      <c r="E2330" s="131" t="s">
        <v>1074</v>
      </c>
      <c r="F2330" s="767">
        <v>-1430324.1</v>
      </c>
      <c r="G2330" s="767">
        <v>-390900</v>
      </c>
      <c r="H2330" s="767">
        <v>-1821224.1</v>
      </c>
      <c r="I2330" s="768" t="s">
        <v>1629</v>
      </c>
    </row>
    <row r="2331" spans="1:9" x14ac:dyDescent="0.25">
      <c r="A2331" s="753"/>
      <c r="C2331" s="131" t="s">
        <v>1075</v>
      </c>
      <c r="D2331" s="131">
        <v>16</v>
      </c>
      <c r="E2331" s="131" t="s">
        <v>1075</v>
      </c>
      <c r="F2331" s="767">
        <v>954358.14</v>
      </c>
      <c r="G2331" s="767">
        <v>291394.84000000003</v>
      </c>
      <c r="H2331" s="767">
        <v>1245752.98</v>
      </c>
      <c r="I2331" s="768" t="s">
        <v>1630</v>
      </c>
    </row>
    <row r="2332" spans="1:9" x14ac:dyDescent="0.25">
      <c r="A2332" s="753"/>
      <c r="C2332" s="131" t="s">
        <v>1076</v>
      </c>
      <c r="D2332" s="131">
        <v>16</v>
      </c>
      <c r="E2332" s="131" t="s">
        <v>1076</v>
      </c>
      <c r="F2332" s="767">
        <v>1420210.23</v>
      </c>
      <c r="G2332" s="767">
        <v>376052.95</v>
      </c>
      <c r="H2332" s="767">
        <v>1796263.18</v>
      </c>
      <c r="I2332" s="768" t="s">
        <v>1631</v>
      </c>
    </row>
    <row r="2333" spans="1:9" x14ac:dyDescent="0.25">
      <c r="A2333" s="753"/>
      <c r="C2333" s="131">
        <v>448</v>
      </c>
      <c r="D2333" s="131">
        <v>16</v>
      </c>
      <c r="E2333" s="131">
        <v>448</v>
      </c>
      <c r="F2333" s="767">
        <v>-1190183.3500000001</v>
      </c>
      <c r="G2333" s="767">
        <v>-142311.89000000001</v>
      </c>
      <c r="H2333" s="767">
        <v>-1332495.24</v>
      </c>
      <c r="I2333" s="768" t="s">
        <v>1633</v>
      </c>
    </row>
    <row r="2334" spans="1:9" x14ac:dyDescent="0.25">
      <c r="A2334" s="753"/>
      <c r="C2334" s="131">
        <v>648</v>
      </c>
      <c r="D2334" s="131">
        <v>16</v>
      </c>
      <c r="E2334" s="131">
        <v>648</v>
      </c>
      <c r="F2334" s="767">
        <v>1150313.78</v>
      </c>
      <c r="G2334" s="767">
        <v>138940.88</v>
      </c>
      <c r="H2334" s="767">
        <v>1289254.6599999999</v>
      </c>
      <c r="I2334" s="768" t="s">
        <v>1634</v>
      </c>
    </row>
    <row r="2335" spans="1:9" x14ac:dyDescent="0.25">
      <c r="A2335" s="753"/>
      <c r="C2335" s="131">
        <v>450</v>
      </c>
      <c r="D2335" s="131">
        <v>16</v>
      </c>
      <c r="E2335" s="131" t="s">
        <v>296</v>
      </c>
      <c r="F2335" s="767">
        <v>-24681.279999999999</v>
      </c>
      <c r="G2335" s="767">
        <v>-1050.4000000000001</v>
      </c>
      <c r="H2335" s="767">
        <v>-25731.68</v>
      </c>
      <c r="I2335" s="768" t="s">
        <v>1641</v>
      </c>
    </row>
    <row r="2336" spans="1:9" x14ac:dyDescent="0.25">
      <c r="A2336" s="753"/>
      <c r="C2336" s="131">
        <v>450</v>
      </c>
      <c r="D2336" s="131">
        <v>16</v>
      </c>
      <c r="E2336" s="131" t="s">
        <v>1642</v>
      </c>
      <c r="F2336" s="767">
        <v>-1526</v>
      </c>
      <c r="G2336" s="767">
        <v>0</v>
      </c>
      <c r="H2336" s="767">
        <v>-1526</v>
      </c>
      <c r="I2336" s="768" t="s">
        <v>1643</v>
      </c>
    </row>
    <row r="2337" spans="1:9" x14ac:dyDescent="0.25">
      <c r="A2337" s="753"/>
      <c r="C2337" s="131">
        <v>450</v>
      </c>
      <c r="D2337" s="131">
        <v>16</v>
      </c>
      <c r="E2337" s="131">
        <v>450</v>
      </c>
      <c r="F2337" s="767">
        <v>-15561</v>
      </c>
      <c r="G2337" s="767">
        <v>-1596</v>
      </c>
      <c r="H2337" s="767">
        <v>-17157</v>
      </c>
      <c r="I2337" s="768" t="s">
        <v>1644</v>
      </c>
    </row>
    <row r="2338" spans="1:9" x14ac:dyDescent="0.25">
      <c r="A2338" s="753"/>
      <c r="C2338" s="131">
        <v>450</v>
      </c>
      <c r="D2338" s="131">
        <v>16</v>
      </c>
      <c r="E2338" s="131" t="s">
        <v>1645</v>
      </c>
      <c r="F2338" s="767">
        <v>-675</v>
      </c>
      <c r="G2338" s="767">
        <v>0</v>
      </c>
      <c r="H2338" s="767">
        <v>-675</v>
      </c>
      <c r="I2338" s="768" t="s">
        <v>1646</v>
      </c>
    </row>
    <row r="2339" spans="1:9" x14ac:dyDescent="0.25">
      <c r="A2339" s="753"/>
      <c r="C2339" s="131">
        <v>450</v>
      </c>
      <c r="D2339" s="131">
        <v>16</v>
      </c>
      <c r="E2339" s="131" t="s">
        <v>295</v>
      </c>
      <c r="F2339" s="767">
        <v>-9310</v>
      </c>
      <c r="G2339" s="767">
        <v>-545</v>
      </c>
      <c r="H2339" s="767">
        <v>-9855</v>
      </c>
      <c r="I2339" s="768" t="s">
        <v>1647</v>
      </c>
    </row>
    <row r="2340" spans="1:9" x14ac:dyDescent="0.25">
      <c r="A2340" s="753"/>
      <c r="C2340" s="131">
        <v>450</v>
      </c>
      <c r="D2340" s="131">
        <v>16</v>
      </c>
      <c r="E2340" s="131" t="s">
        <v>1648</v>
      </c>
      <c r="F2340" s="767">
        <v>-965</v>
      </c>
      <c r="G2340" s="767">
        <v>0</v>
      </c>
      <c r="H2340" s="767">
        <v>-965</v>
      </c>
      <c r="I2340" s="768" t="s">
        <v>1649</v>
      </c>
    </row>
    <row r="2341" spans="1:9" x14ac:dyDescent="0.25">
      <c r="A2341" s="753"/>
      <c r="C2341" s="131">
        <v>450</v>
      </c>
      <c r="D2341" s="131">
        <v>16</v>
      </c>
      <c r="E2341" s="131" t="s">
        <v>974</v>
      </c>
      <c r="F2341" s="767">
        <v>-80920</v>
      </c>
      <c r="G2341" s="767">
        <v>-7140</v>
      </c>
      <c r="H2341" s="767">
        <v>-88060</v>
      </c>
      <c r="I2341" s="768" t="s">
        <v>1650</v>
      </c>
    </row>
    <row r="2342" spans="1:9" x14ac:dyDescent="0.25">
      <c r="A2342" s="753"/>
      <c r="C2342" s="131">
        <v>450</v>
      </c>
      <c r="D2342" s="131">
        <v>16</v>
      </c>
      <c r="E2342" s="131" t="s">
        <v>292</v>
      </c>
      <c r="F2342" s="767">
        <v>-2798</v>
      </c>
      <c r="G2342" s="767">
        <v>0</v>
      </c>
      <c r="H2342" s="767">
        <v>-2798</v>
      </c>
      <c r="I2342" s="768" t="s">
        <v>1651</v>
      </c>
    </row>
    <row r="2343" spans="1:9" x14ac:dyDescent="0.25">
      <c r="A2343" s="753"/>
      <c r="C2343" s="131">
        <v>450</v>
      </c>
      <c r="D2343" s="131">
        <v>16</v>
      </c>
      <c r="E2343" s="131" t="s">
        <v>1652</v>
      </c>
      <c r="F2343" s="767">
        <v>1068.2</v>
      </c>
      <c r="G2343" s="767">
        <v>0</v>
      </c>
      <c r="H2343" s="767">
        <v>1068.2</v>
      </c>
      <c r="I2343" s="768" t="s">
        <v>1653</v>
      </c>
    </row>
    <row r="2344" spans="1:9" x14ac:dyDescent="0.25">
      <c r="A2344" s="753"/>
      <c r="C2344" s="131">
        <v>450</v>
      </c>
      <c r="D2344" s="131">
        <v>16</v>
      </c>
      <c r="E2344" s="131" t="s">
        <v>1176</v>
      </c>
      <c r="F2344" s="767">
        <v>6380</v>
      </c>
      <c r="G2344" s="767">
        <v>545</v>
      </c>
      <c r="H2344" s="767">
        <v>6925</v>
      </c>
      <c r="I2344" s="768" t="s">
        <v>1654</v>
      </c>
    </row>
    <row r="2345" spans="1:9" x14ac:dyDescent="0.25">
      <c r="A2345" s="753"/>
      <c r="C2345" s="131">
        <v>450</v>
      </c>
      <c r="D2345" s="131">
        <v>16</v>
      </c>
      <c r="E2345" s="131" t="s">
        <v>1655</v>
      </c>
      <c r="F2345" s="767">
        <v>840</v>
      </c>
      <c r="G2345" s="767">
        <v>0</v>
      </c>
      <c r="H2345" s="767">
        <v>840</v>
      </c>
      <c r="I2345" s="768" t="s">
        <v>1656</v>
      </c>
    </row>
    <row r="2346" spans="1:9" x14ac:dyDescent="0.25">
      <c r="A2346" s="753"/>
      <c r="C2346" s="131">
        <v>450</v>
      </c>
      <c r="D2346" s="131">
        <v>16</v>
      </c>
      <c r="E2346" s="131">
        <v>650</v>
      </c>
      <c r="F2346" s="767">
        <v>2730</v>
      </c>
      <c r="G2346" s="767">
        <v>280</v>
      </c>
      <c r="H2346" s="767">
        <v>3010</v>
      </c>
      <c r="I2346" s="768" t="s">
        <v>1657</v>
      </c>
    </row>
    <row r="2347" spans="1:9" x14ac:dyDescent="0.25">
      <c r="A2347" s="753"/>
      <c r="C2347" s="131">
        <v>450</v>
      </c>
      <c r="D2347" s="131">
        <v>16</v>
      </c>
      <c r="E2347" s="131" t="s">
        <v>1174</v>
      </c>
      <c r="F2347" s="767">
        <v>1770</v>
      </c>
      <c r="G2347" s="767">
        <v>0</v>
      </c>
      <c r="H2347" s="767">
        <v>1770</v>
      </c>
      <c r="I2347" s="768" t="s">
        <v>1658</v>
      </c>
    </row>
    <row r="2348" spans="1:9" x14ac:dyDescent="0.25">
      <c r="A2348" s="753"/>
      <c r="C2348" s="131" t="s">
        <v>1080</v>
      </c>
      <c r="D2348" s="131">
        <v>16</v>
      </c>
      <c r="E2348" s="131" t="s">
        <v>1667</v>
      </c>
      <c r="F2348" s="767">
        <v>1160</v>
      </c>
      <c r="G2348" s="767">
        <v>0</v>
      </c>
      <c r="H2348" s="767">
        <v>1160</v>
      </c>
      <c r="I2348" s="768" t="s">
        <v>1668</v>
      </c>
    </row>
    <row r="2349" spans="1:9" x14ac:dyDescent="0.25">
      <c r="A2349" s="753"/>
      <c r="C2349" s="131" t="s">
        <v>1080</v>
      </c>
      <c r="D2349" s="131">
        <v>16</v>
      </c>
      <c r="E2349" s="131" t="s">
        <v>1669</v>
      </c>
      <c r="F2349" s="767">
        <v>-2349</v>
      </c>
      <c r="G2349" s="767">
        <v>0</v>
      </c>
      <c r="H2349" s="767">
        <v>-2349</v>
      </c>
      <c r="I2349" s="768" t="s">
        <v>1670</v>
      </c>
    </row>
    <row r="2350" spans="1:9" x14ac:dyDescent="0.25">
      <c r="A2350" s="753"/>
      <c r="C2350" s="131" t="s">
        <v>1080</v>
      </c>
      <c r="D2350" s="131">
        <v>16</v>
      </c>
      <c r="E2350" s="131" t="s">
        <v>1671</v>
      </c>
      <c r="F2350" s="767">
        <v>1165</v>
      </c>
      <c r="G2350" s="767">
        <v>0</v>
      </c>
      <c r="H2350" s="767">
        <v>1165</v>
      </c>
      <c r="I2350" s="768" t="s">
        <v>1672</v>
      </c>
    </row>
    <row r="2351" spans="1:9" x14ac:dyDescent="0.25">
      <c r="A2351" s="753"/>
      <c r="C2351" s="131" t="s">
        <v>1080</v>
      </c>
      <c r="D2351" s="131">
        <v>16</v>
      </c>
      <c r="E2351" s="131" t="s">
        <v>1673</v>
      </c>
      <c r="F2351" s="767">
        <v>115.05</v>
      </c>
      <c r="G2351" s="767">
        <v>0</v>
      </c>
      <c r="H2351" s="767">
        <v>115.05</v>
      </c>
      <c r="I2351" s="768" t="s">
        <v>1674</v>
      </c>
    </row>
    <row r="2352" spans="1:9" x14ac:dyDescent="0.25">
      <c r="A2352" s="753"/>
      <c r="C2352" s="131" t="s">
        <v>1080</v>
      </c>
      <c r="D2352" s="131">
        <v>16</v>
      </c>
      <c r="E2352" s="131" t="s">
        <v>1675</v>
      </c>
      <c r="F2352" s="767">
        <v>-795</v>
      </c>
      <c r="G2352" s="767">
        <v>0</v>
      </c>
      <c r="H2352" s="767">
        <v>-795</v>
      </c>
      <c r="I2352" s="768" t="s">
        <v>1676</v>
      </c>
    </row>
    <row r="2353" spans="1:9" x14ac:dyDescent="0.25">
      <c r="A2353" s="753"/>
      <c r="C2353" s="131" t="s">
        <v>1080</v>
      </c>
      <c r="D2353" s="131">
        <v>16</v>
      </c>
      <c r="E2353" s="131" t="s">
        <v>1677</v>
      </c>
      <c r="F2353" s="767">
        <v>3640</v>
      </c>
      <c r="G2353" s="767">
        <v>350</v>
      </c>
      <c r="H2353" s="767">
        <v>3990</v>
      </c>
      <c r="I2353" s="768" t="s">
        <v>1678</v>
      </c>
    </row>
    <row r="2354" spans="1:9" x14ac:dyDescent="0.25">
      <c r="A2354" s="753"/>
      <c r="C2354" s="131" t="s">
        <v>1080</v>
      </c>
      <c r="D2354" s="131">
        <v>16</v>
      </c>
      <c r="E2354" s="131" t="s">
        <v>1679</v>
      </c>
      <c r="F2354" s="767">
        <v>-20748</v>
      </c>
      <c r="G2354" s="767">
        <v>-1995</v>
      </c>
      <c r="H2354" s="767">
        <v>-22743</v>
      </c>
      <c r="I2354" s="768" t="s">
        <v>1680</v>
      </c>
    </row>
    <row r="2355" spans="1:9" x14ac:dyDescent="0.25">
      <c r="A2355" s="753"/>
      <c r="C2355" s="131" t="s">
        <v>1080</v>
      </c>
      <c r="D2355" s="131">
        <v>16</v>
      </c>
      <c r="E2355" s="131" t="s">
        <v>1681</v>
      </c>
      <c r="F2355" s="767">
        <v>670</v>
      </c>
      <c r="G2355" s="767">
        <v>0</v>
      </c>
      <c r="H2355" s="767">
        <v>670</v>
      </c>
      <c r="I2355" s="768" t="s">
        <v>1682</v>
      </c>
    </row>
    <row r="2356" spans="1:9" x14ac:dyDescent="0.25">
      <c r="A2356" s="753"/>
      <c r="C2356" s="131" t="s">
        <v>1080</v>
      </c>
      <c r="D2356" s="131">
        <v>16</v>
      </c>
      <c r="E2356" s="131" t="s">
        <v>1683</v>
      </c>
      <c r="F2356" s="767">
        <v>-1199</v>
      </c>
      <c r="G2356" s="767">
        <v>0</v>
      </c>
      <c r="H2356" s="767">
        <v>-1199</v>
      </c>
      <c r="I2356" s="768" t="s">
        <v>1684</v>
      </c>
    </row>
    <row r="2357" spans="1:9" x14ac:dyDescent="0.25">
      <c r="A2357" s="753"/>
      <c r="C2357" s="131" t="s">
        <v>1080</v>
      </c>
      <c r="D2357" s="131">
        <v>16</v>
      </c>
      <c r="E2357" s="131" t="s">
        <v>1685</v>
      </c>
      <c r="F2357" s="767">
        <v>-14936.54</v>
      </c>
      <c r="G2357" s="767">
        <v>-4190.53</v>
      </c>
      <c r="H2357" s="767">
        <v>-19127.07</v>
      </c>
      <c r="I2357" s="768" t="s">
        <v>1686</v>
      </c>
    </row>
    <row r="2358" spans="1:9" x14ac:dyDescent="0.25">
      <c r="A2358" s="753"/>
      <c r="C2358" s="131" t="s">
        <v>1080</v>
      </c>
      <c r="D2358" s="131">
        <v>16</v>
      </c>
      <c r="E2358" s="131" t="s">
        <v>1687</v>
      </c>
      <c r="F2358" s="767">
        <v>-3765</v>
      </c>
      <c r="G2358" s="767">
        <v>0</v>
      </c>
      <c r="H2358" s="767">
        <v>-3765</v>
      </c>
      <c r="I2358" s="768" t="s">
        <v>1688</v>
      </c>
    </row>
    <row r="2359" spans="1:9" x14ac:dyDescent="0.25">
      <c r="A2359" s="753"/>
      <c r="C2359" s="131">
        <v>452</v>
      </c>
      <c r="D2359" s="131">
        <v>16</v>
      </c>
      <c r="E2359" s="131">
        <v>452</v>
      </c>
      <c r="F2359" s="767">
        <v>-123190.19</v>
      </c>
      <c r="G2359" s="767">
        <v>-7344</v>
      </c>
      <c r="H2359" s="767">
        <v>-130534.19</v>
      </c>
      <c r="I2359" s="768" t="s">
        <v>1690</v>
      </c>
    </row>
    <row r="2360" spans="1:9" x14ac:dyDescent="0.25">
      <c r="A2360" s="753"/>
      <c r="C2360" s="131">
        <v>652</v>
      </c>
      <c r="D2360" s="131">
        <v>16</v>
      </c>
      <c r="E2360" s="131">
        <v>652</v>
      </c>
      <c r="F2360" s="767">
        <v>75857</v>
      </c>
      <c r="G2360" s="767">
        <v>5728</v>
      </c>
      <c r="H2360" s="767">
        <v>81585</v>
      </c>
      <c r="I2360" s="768" t="s">
        <v>1691</v>
      </c>
    </row>
    <row r="2361" spans="1:9" x14ac:dyDescent="0.25">
      <c r="A2361" s="753"/>
      <c r="C2361" s="131" t="s">
        <v>1084</v>
      </c>
      <c r="D2361" s="131">
        <v>16</v>
      </c>
      <c r="E2361" s="131" t="s">
        <v>1084</v>
      </c>
      <c r="F2361" s="767">
        <v>-115818.16</v>
      </c>
      <c r="G2361" s="767">
        <v>-4632</v>
      </c>
      <c r="H2361" s="767">
        <v>-120450.16</v>
      </c>
      <c r="I2361" s="768" t="s">
        <v>1694</v>
      </c>
    </row>
    <row r="2362" spans="1:9" x14ac:dyDescent="0.25">
      <c r="A2362" s="753"/>
      <c r="C2362" s="131" t="s">
        <v>1085</v>
      </c>
      <c r="D2362" s="131">
        <v>16</v>
      </c>
      <c r="E2362" s="131" t="s">
        <v>1085</v>
      </c>
      <c r="F2362" s="767">
        <v>71941.759999999995</v>
      </c>
      <c r="G2362" s="767">
        <v>3339</v>
      </c>
      <c r="H2362" s="767">
        <v>75280.759999999995</v>
      </c>
      <c r="I2362" s="768" t="s">
        <v>1695</v>
      </c>
    </row>
    <row r="2363" spans="1:9" x14ac:dyDescent="0.25">
      <c r="A2363" s="753"/>
      <c r="C2363" s="131" t="s">
        <v>1088</v>
      </c>
      <c r="D2363" s="131">
        <v>16</v>
      </c>
      <c r="E2363" s="131" t="s">
        <v>1088</v>
      </c>
      <c r="F2363" s="767">
        <v>-26140</v>
      </c>
      <c r="G2363" s="767">
        <v>-5840</v>
      </c>
      <c r="H2363" s="767">
        <v>-31980</v>
      </c>
      <c r="I2363" s="768" t="s">
        <v>1697</v>
      </c>
    </row>
    <row r="2364" spans="1:9" x14ac:dyDescent="0.25">
      <c r="A2364" s="753"/>
      <c r="C2364" s="131" t="s">
        <v>1089</v>
      </c>
      <c r="D2364" s="131">
        <v>16</v>
      </c>
      <c r="E2364" s="131" t="s">
        <v>1089</v>
      </c>
      <c r="F2364" s="767">
        <v>20811</v>
      </c>
      <c r="G2364" s="767">
        <v>4612</v>
      </c>
      <c r="H2364" s="767">
        <v>25423</v>
      </c>
      <c r="I2364" s="768" t="s">
        <v>1698</v>
      </c>
    </row>
    <row r="2365" spans="1:9" x14ac:dyDescent="0.25">
      <c r="A2365" s="753"/>
      <c r="C2365" s="131">
        <v>442</v>
      </c>
      <c r="D2365" s="131">
        <v>16</v>
      </c>
      <c r="E2365" s="131">
        <v>442</v>
      </c>
      <c r="F2365" s="767">
        <v>-1651403.26</v>
      </c>
      <c r="G2365" s="767">
        <v>-76551</v>
      </c>
      <c r="H2365" s="767">
        <v>-1727954.26</v>
      </c>
      <c r="I2365" s="768" t="s">
        <v>1701</v>
      </c>
    </row>
    <row r="2366" spans="1:9" x14ac:dyDescent="0.25">
      <c r="A2366" s="753"/>
      <c r="C2366" s="131">
        <v>642</v>
      </c>
      <c r="D2366" s="131">
        <v>16</v>
      </c>
      <c r="E2366" s="131">
        <v>642</v>
      </c>
      <c r="F2366" s="767">
        <v>1546952.19</v>
      </c>
      <c r="G2366" s="767">
        <v>67158.94</v>
      </c>
      <c r="H2366" s="767">
        <v>1614111.13</v>
      </c>
      <c r="I2366" s="768" t="s">
        <v>1702</v>
      </c>
    </row>
    <row r="2367" spans="1:9" x14ac:dyDescent="0.25">
      <c r="A2367" s="753"/>
      <c r="C2367" s="131">
        <v>643</v>
      </c>
      <c r="D2367" s="131">
        <v>16</v>
      </c>
      <c r="E2367" s="131">
        <v>643</v>
      </c>
      <c r="F2367" s="767">
        <v>40863.03</v>
      </c>
      <c r="G2367" s="767">
        <v>4191.04</v>
      </c>
      <c r="H2367" s="767">
        <v>45054.07</v>
      </c>
      <c r="I2367" s="768" t="s">
        <v>1703</v>
      </c>
    </row>
    <row r="2368" spans="1:9" x14ac:dyDescent="0.25">
      <c r="A2368" s="753"/>
      <c r="C2368" s="131" t="s">
        <v>1096</v>
      </c>
      <c r="D2368" s="131">
        <v>16</v>
      </c>
      <c r="E2368" s="131" t="s">
        <v>1096</v>
      </c>
      <c r="F2368" s="767">
        <v>-2644494</v>
      </c>
      <c r="G2368" s="767">
        <v>-161600</v>
      </c>
      <c r="H2368" s="767">
        <v>-2806094</v>
      </c>
      <c r="I2368" s="768" t="s">
        <v>1705</v>
      </c>
    </row>
    <row r="2369" spans="1:9" x14ac:dyDescent="0.25">
      <c r="A2369" s="753"/>
      <c r="C2369" s="131" t="s">
        <v>1086</v>
      </c>
      <c r="D2369" s="131">
        <v>16</v>
      </c>
      <c r="E2369" s="131" t="s">
        <v>1086</v>
      </c>
      <c r="F2369" s="767">
        <v>2614487.8199999998</v>
      </c>
      <c r="G2369" s="767">
        <v>157364.25</v>
      </c>
      <c r="H2369" s="767">
        <v>2771852.07</v>
      </c>
      <c r="I2369" s="768" t="s">
        <v>1706</v>
      </c>
    </row>
    <row r="2370" spans="1:9" x14ac:dyDescent="0.25">
      <c r="A2370" s="753"/>
      <c r="C2370" s="131">
        <v>451</v>
      </c>
      <c r="D2370" s="131">
        <v>16</v>
      </c>
      <c r="E2370" s="131">
        <v>451</v>
      </c>
      <c r="F2370" s="767">
        <v>-14963.99</v>
      </c>
      <c r="G2370" s="767">
        <v>-798</v>
      </c>
      <c r="H2370" s="767">
        <v>-15761.99</v>
      </c>
      <c r="I2370" s="768" t="s">
        <v>1713</v>
      </c>
    </row>
    <row r="2371" spans="1:9" x14ac:dyDescent="0.25">
      <c r="A2371" s="753"/>
      <c r="C2371" s="131">
        <v>451</v>
      </c>
      <c r="D2371" s="131">
        <v>16</v>
      </c>
      <c r="E2371" s="131" t="s">
        <v>2262</v>
      </c>
      <c r="F2371" s="767">
        <v>0</v>
      </c>
      <c r="G2371" s="767">
        <v>-1879</v>
      </c>
      <c r="H2371" s="767">
        <v>-1879</v>
      </c>
      <c r="I2371" s="768" t="s">
        <v>2263</v>
      </c>
    </row>
    <row r="2372" spans="1:9" x14ac:dyDescent="0.25">
      <c r="A2372" s="753"/>
      <c r="C2372" s="131">
        <v>451</v>
      </c>
      <c r="D2372" s="131">
        <v>16</v>
      </c>
      <c r="E2372" s="131" t="s">
        <v>2264</v>
      </c>
      <c r="F2372" s="767">
        <v>0</v>
      </c>
      <c r="G2372" s="767">
        <v>-1495</v>
      </c>
      <c r="H2372" s="767">
        <v>-1495</v>
      </c>
      <c r="I2372" s="768" t="s">
        <v>2265</v>
      </c>
    </row>
    <row r="2373" spans="1:9" x14ac:dyDescent="0.25">
      <c r="A2373" s="753"/>
      <c r="C2373" s="131">
        <v>453</v>
      </c>
      <c r="D2373" s="131">
        <v>16</v>
      </c>
      <c r="E2373" s="131">
        <v>453</v>
      </c>
      <c r="F2373" s="767">
        <v>-19920.2</v>
      </c>
      <c r="G2373" s="767">
        <v>-2226.5</v>
      </c>
      <c r="H2373" s="767">
        <v>-22146.7</v>
      </c>
      <c r="I2373" s="768" t="s">
        <v>1714</v>
      </c>
    </row>
    <row r="2374" spans="1:9" x14ac:dyDescent="0.25">
      <c r="A2374" s="753"/>
      <c r="C2374" s="131">
        <v>455</v>
      </c>
      <c r="D2374" s="131">
        <v>16</v>
      </c>
      <c r="E2374" s="131">
        <v>455</v>
      </c>
      <c r="F2374" s="767">
        <v>-24874</v>
      </c>
      <c r="G2374" s="767">
        <v>-3631</v>
      </c>
      <c r="H2374" s="767">
        <v>-28505</v>
      </c>
      <c r="I2374" s="768" t="s">
        <v>1715</v>
      </c>
    </row>
    <row r="2375" spans="1:9" x14ac:dyDescent="0.25">
      <c r="A2375" s="753"/>
      <c r="C2375" s="131">
        <v>651</v>
      </c>
      <c r="D2375" s="131">
        <v>16</v>
      </c>
      <c r="E2375" s="131">
        <v>651</v>
      </c>
      <c r="F2375" s="767">
        <v>2984.9</v>
      </c>
      <c r="G2375" s="767">
        <v>140</v>
      </c>
      <c r="H2375" s="767">
        <v>3124.9</v>
      </c>
      <c r="I2375" s="768" t="s">
        <v>1716</v>
      </c>
    </row>
    <row r="2376" spans="1:9" x14ac:dyDescent="0.25">
      <c r="A2376" s="753"/>
      <c r="C2376" s="131">
        <v>651</v>
      </c>
      <c r="D2376" s="131">
        <v>16</v>
      </c>
      <c r="E2376" s="131" t="s">
        <v>2266</v>
      </c>
      <c r="F2376" s="767">
        <v>0</v>
      </c>
      <c r="G2376" s="767">
        <v>1315.3</v>
      </c>
      <c r="H2376" s="767">
        <v>1315.3</v>
      </c>
      <c r="I2376" s="768" t="s">
        <v>2267</v>
      </c>
    </row>
    <row r="2377" spans="1:9" x14ac:dyDescent="0.25">
      <c r="A2377" s="753"/>
      <c r="C2377" s="131">
        <v>651</v>
      </c>
      <c r="D2377" s="131">
        <v>16</v>
      </c>
      <c r="E2377" s="131" t="s">
        <v>2268</v>
      </c>
      <c r="F2377" s="767">
        <v>0</v>
      </c>
      <c r="G2377" s="767">
        <v>747.5</v>
      </c>
      <c r="H2377" s="767">
        <v>747.5</v>
      </c>
      <c r="I2377" s="768" t="s">
        <v>2269</v>
      </c>
    </row>
    <row r="2378" spans="1:9" x14ac:dyDescent="0.25">
      <c r="A2378" s="753"/>
      <c r="C2378" s="131">
        <v>655</v>
      </c>
      <c r="D2378" s="131">
        <v>16</v>
      </c>
      <c r="E2378" s="131">
        <v>655</v>
      </c>
      <c r="F2378" s="767">
        <v>16330</v>
      </c>
      <c r="G2378" s="767">
        <v>631</v>
      </c>
      <c r="H2378" s="767">
        <v>16961</v>
      </c>
      <c r="I2378" s="768" t="s">
        <v>1717</v>
      </c>
    </row>
    <row r="2379" spans="1:9" x14ac:dyDescent="0.25">
      <c r="A2379" s="753"/>
      <c r="C2379" s="131">
        <v>817</v>
      </c>
      <c r="D2379" s="131">
        <v>16</v>
      </c>
      <c r="E2379" s="131">
        <v>817</v>
      </c>
      <c r="F2379" s="767">
        <v>-26075</v>
      </c>
      <c r="G2379" s="767">
        <v>0</v>
      </c>
      <c r="H2379" s="767">
        <v>-26075</v>
      </c>
      <c r="I2379" s="768" t="s">
        <v>1718</v>
      </c>
    </row>
    <row r="2380" spans="1:9" x14ac:dyDescent="0.25">
      <c r="A2380" s="753">
        <v>600112</v>
      </c>
      <c r="B2380" s="130">
        <v>4</v>
      </c>
      <c r="C2380" s="131" t="s">
        <v>1097</v>
      </c>
      <c r="D2380" s="131">
        <v>16</v>
      </c>
      <c r="E2380" s="131" t="s">
        <v>1097</v>
      </c>
      <c r="F2380" s="767">
        <v>-0.17</v>
      </c>
      <c r="G2380" s="767">
        <v>-0.04</v>
      </c>
      <c r="H2380" s="767">
        <v>-0.21</v>
      </c>
      <c r="I2380" s="768" t="s">
        <v>1719</v>
      </c>
    </row>
    <row r="2381" spans="1:9" x14ac:dyDescent="0.25">
      <c r="A2381" s="753">
        <v>600114</v>
      </c>
      <c r="B2381" s="130">
        <v>238444</v>
      </c>
      <c r="C2381" s="131">
        <v>416</v>
      </c>
      <c r="D2381" s="131">
        <v>16</v>
      </c>
      <c r="E2381" s="131">
        <v>416</v>
      </c>
      <c r="F2381" s="767">
        <v>-1003631.7</v>
      </c>
      <c r="G2381" s="767">
        <v>-238444</v>
      </c>
      <c r="H2381" s="767">
        <v>-1242075.7</v>
      </c>
      <c r="I2381" s="768" t="s">
        <v>1720</v>
      </c>
    </row>
    <row r="2382" spans="1:9" x14ac:dyDescent="0.25">
      <c r="A2382" s="753">
        <v>600116</v>
      </c>
      <c r="B2382" s="130">
        <v>13830</v>
      </c>
      <c r="C2382" s="131">
        <v>416</v>
      </c>
      <c r="D2382" s="131">
        <v>16</v>
      </c>
      <c r="E2382" s="131">
        <v>416</v>
      </c>
      <c r="F2382" s="767">
        <v>-1003631.7</v>
      </c>
      <c r="G2382" s="767">
        <v>-238444</v>
      </c>
      <c r="H2382" s="767">
        <v>-1242075.7</v>
      </c>
      <c r="I2382" s="768" t="s">
        <v>1720</v>
      </c>
    </row>
    <row r="2383" spans="1:9" x14ac:dyDescent="0.25">
      <c r="A2383" s="753"/>
      <c r="C2383" s="131">
        <v>616</v>
      </c>
      <c r="D2383" s="131">
        <v>16</v>
      </c>
      <c r="E2383" s="131">
        <v>616</v>
      </c>
      <c r="F2383" s="767">
        <v>941860.05</v>
      </c>
      <c r="G2383" s="767">
        <v>224614.34</v>
      </c>
      <c r="H2383" s="767">
        <v>1166474.3899999999</v>
      </c>
      <c r="I2383" s="768" t="s">
        <v>1721</v>
      </c>
    </row>
    <row r="2384" spans="1:9" x14ac:dyDescent="0.25">
      <c r="A2384" s="753">
        <v>600118</v>
      </c>
      <c r="B2384" s="130">
        <v>3458</v>
      </c>
      <c r="E2384" s="131"/>
    </row>
    <row r="2385" spans="1:9" x14ac:dyDescent="0.25">
      <c r="A2385" s="753">
        <v>600122</v>
      </c>
      <c r="B2385" s="130">
        <v>21</v>
      </c>
      <c r="C2385" s="131" t="s">
        <v>1097</v>
      </c>
      <c r="D2385" s="131">
        <v>16</v>
      </c>
      <c r="E2385" s="131" t="s">
        <v>1097</v>
      </c>
      <c r="F2385" s="767">
        <v>-0.17</v>
      </c>
      <c r="G2385" s="767">
        <v>-0.04</v>
      </c>
      <c r="H2385" s="767">
        <v>-0.21</v>
      </c>
      <c r="I2385" s="768" t="s">
        <v>1719</v>
      </c>
    </row>
    <row r="2386" spans="1:9" x14ac:dyDescent="0.25">
      <c r="A2386" s="753">
        <v>600124</v>
      </c>
      <c r="B2386" s="130">
        <v>1242076</v>
      </c>
      <c r="C2386" s="131">
        <v>416</v>
      </c>
      <c r="D2386" s="131">
        <v>16</v>
      </c>
      <c r="E2386" s="131">
        <v>416</v>
      </c>
      <c r="F2386" s="767">
        <v>-1003631.7</v>
      </c>
      <c r="G2386" s="767">
        <v>-238444</v>
      </c>
      <c r="H2386" s="767">
        <v>-1242075.7</v>
      </c>
      <c r="I2386" s="768" t="s">
        <v>1720</v>
      </c>
    </row>
    <row r="2387" spans="1:9" x14ac:dyDescent="0.25">
      <c r="A2387" s="753">
        <v>600126</v>
      </c>
      <c r="B2387" s="130">
        <v>75602</v>
      </c>
      <c r="C2387" s="131">
        <v>416</v>
      </c>
      <c r="D2387" s="131">
        <v>16</v>
      </c>
      <c r="E2387" s="131">
        <v>416</v>
      </c>
      <c r="F2387" s="767">
        <v>-1003631.7</v>
      </c>
      <c r="G2387" s="767">
        <v>-238444</v>
      </c>
      <c r="H2387" s="767">
        <v>-1242075.7</v>
      </c>
      <c r="I2387" s="768" t="s">
        <v>1720</v>
      </c>
    </row>
    <row r="2388" spans="1:9" x14ac:dyDescent="0.25">
      <c r="A2388" s="753"/>
      <c r="C2388" s="131">
        <v>616</v>
      </c>
      <c r="D2388" s="131">
        <v>16</v>
      </c>
      <c r="E2388" s="131">
        <v>616</v>
      </c>
      <c r="F2388" s="767">
        <v>941860.05</v>
      </c>
      <c r="G2388" s="767">
        <v>224614.34</v>
      </c>
      <c r="H2388" s="767">
        <v>1166474.3899999999</v>
      </c>
      <c r="I2388" s="768" t="s">
        <v>1721</v>
      </c>
    </row>
    <row r="2389" spans="1:9" x14ac:dyDescent="0.25">
      <c r="A2389" s="753">
        <v>600128</v>
      </c>
      <c r="B2389" s="130">
        <v>3600</v>
      </c>
      <c r="E2389" s="131"/>
    </row>
    <row r="2390" spans="1:9" x14ac:dyDescent="0.25">
      <c r="A2390" s="753">
        <v>600212</v>
      </c>
      <c r="B2390" s="130">
        <v>1</v>
      </c>
      <c r="C2390" s="131" t="s">
        <v>1098</v>
      </c>
      <c r="D2390" s="131">
        <v>16</v>
      </c>
      <c r="E2390" s="131" t="s">
        <v>1098</v>
      </c>
      <c r="F2390" s="767">
        <v>-0.02</v>
      </c>
      <c r="G2390" s="767">
        <v>-0.01</v>
      </c>
      <c r="H2390" s="767">
        <v>-0.03</v>
      </c>
      <c r="I2390" s="768" t="s">
        <v>1722</v>
      </c>
    </row>
    <row r="2391" spans="1:9" x14ac:dyDescent="0.25">
      <c r="A2391" s="753">
        <v>600214</v>
      </c>
      <c r="B2391" s="130">
        <v>74470</v>
      </c>
      <c r="C2391" s="131" t="s">
        <v>400</v>
      </c>
      <c r="D2391" s="131">
        <v>16</v>
      </c>
      <c r="E2391" s="131" t="s">
        <v>400</v>
      </c>
      <c r="F2391" s="767">
        <v>-139749.68</v>
      </c>
      <c r="G2391" s="767">
        <v>-74470.399999999994</v>
      </c>
      <c r="H2391" s="767">
        <v>-214220.08</v>
      </c>
      <c r="I2391" s="768" t="s">
        <v>1723</v>
      </c>
    </row>
    <row r="2392" spans="1:9" x14ac:dyDescent="0.25">
      <c r="A2392" s="753">
        <v>600216</v>
      </c>
      <c r="B2392" s="130">
        <v>4655</v>
      </c>
      <c r="C2392" s="131" t="s">
        <v>400</v>
      </c>
      <c r="D2392" s="131">
        <v>16</v>
      </c>
      <c r="E2392" s="131" t="s">
        <v>400</v>
      </c>
      <c r="F2392" s="767">
        <v>-139749.68</v>
      </c>
      <c r="G2392" s="767">
        <v>-74470.399999999994</v>
      </c>
      <c r="H2392" s="767">
        <v>-214220.08</v>
      </c>
      <c r="I2392" s="768" t="s">
        <v>1723</v>
      </c>
    </row>
    <row r="2393" spans="1:9" x14ac:dyDescent="0.25">
      <c r="A2393" s="753"/>
      <c r="C2393" s="131" t="s">
        <v>1100</v>
      </c>
      <c r="D2393" s="131">
        <v>16</v>
      </c>
      <c r="E2393" s="131" t="s">
        <v>1100</v>
      </c>
      <c r="F2393" s="767">
        <v>131422.87</v>
      </c>
      <c r="G2393" s="767">
        <v>69814.75</v>
      </c>
      <c r="H2393" s="767">
        <v>201237.62</v>
      </c>
      <c r="I2393" s="768" t="s">
        <v>1724</v>
      </c>
    </row>
    <row r="2394" spans="1:9" x14ac:dyDescent="0.25">
      <c r="A2394" s="753">
        <v>600218</v>
      </c>
      <c r="B2394" s="130">
        <v>4655</v>
      </c>
      <c r="E2394" s="131"/>
    </row>
    <row r="2395" spans="1:9" x14ac:dyDescent="0.25">
      <c r="A2395" s="753">
        <v>600222</v>
      </c>
      <c r="B2395" s="130">
        <v>3</v>
      </c>
      <c r="C2395" s="131" t="s">
        <v>1098</v>
      </c>
      <c r="D2395" s="131">
        <v>16</v>
      </c>
      <c r="E2395" s="131" t="s">
        <v>1098</v>
      </c>
      <c r="F2395" s="767">
        <v>-0.02</v>
      </c>
      <c r="G2395" s="767">
        <v>-0.01</v>
      </c>
      <c r="H2395" s="767">
        <v>-0.03</v>
      </c>
      <c r="I2395" s="768" t="s">
        <v>1722</v>
      </c>
    </row>
    <row r="2396" spans="1:9" x14ac:dyDescent="0.25">
      <c r="A2396" s="753">
        <v>600224</v>
      </c>
      <c r="B2396" s="130">
        <v>214220</v>
      </c>
      <c r="C2396" s="131" t="s">
        <v>400</v>
      </c>
      <c r="D2396" s="131">
        <v>16</v>
      </c>
      <c r="E2396" s="131" t="s">
        <v>400</v>
      </c>
      <c r="F2396" s="767">
        <v>-139749.68</v>
      </c>
      <c r="G2396" s="767">
        <v>-74470.399999999994</v>
      </c>
      <c r="H2396" s="767">
        <v>-214220.08</v>
      </c>
      <c r="I2396" s="768" t="s">
        <v>1723</v>
      </c>
    </row>
    <row r="2397" spans="1:9" x14ac:dyDescent="0.25">
      <c r="A2397" s="753">
        <v>600226</v>
      </c>
      <c r="B2397" s="130">
        <v>12982</v>
      </c>
      <c r="C2397" s="131" t="s">
        <v>400</v>
      </c>
      <c r="D2397" s="131">
        <v>16</v>
      </c>
      <c r="E2397" s="131" t="s">
        <v>400</v>
      </c>
      <c r="F2397" s="767">
        <v>-139749.68</v>
      </c>
      <c r="G2397" s="767">
        <v>-74470.399999999994</v>
      </c>
      <c r="H2397" s="767">
        <v>-214220.08</v>
      </c>
      <c r="I2397" s="768" t="s">
        <v>1723</v>
      </c>
    </row>
    <row r="2398" spans="1:9" x14ac:dyDescent="0.25">
      <c r="A2398" s="753"/>
      <c r="C2398" s="131" t="s">
        <v>1100</v>
      </c>
      <c r="D2398" s="131">
        <v>16</v>
      </c>
      <c r="E2398" s="131" t="s">
        <v>1100</v>
      </c>
      <c r="F2398" s="767">
        <v>131422.87</v>
      </c>
      <c r="G2398" s="767">
        <v>69814.75</v>
      </c>
      <c r="H2398" s="767">
        <v>201237.62</v>
      </c>
      <c r="I2398" s="768" t="s">
        <v>1724</v>
      </c>
    </row>
    <row r="2399" spans="1:9" x14ac:dyDescent="0.25">
      <c r="A2399" s="753">
        <v>600228</v>
      </c>
      <c r="B2399" s="130">
        <v>4327</v>
      </c>
      <c r="E2399" s="131"/>
    </row>
    <row r="2400" spans="1:9" x14ac:dyDescent="0.25">
      <c r="A2400" s="753">
        <v>600312</v>
      </c>
      <c r="B2400" s="130">
        <v>5</v>
      </c>
      <c r="E2400" s="131"/>
    </row>
    <row r="2401" spans="1:9" x14ac:dyDescent="0.25">
      <c r="A2401" s="753">
        <v>600314</v>
      </c>
      <c r="B2401" s="130">
        <v>312914</v>
      </c>
      <c r="E2401" s="131"/>
    </row>
    <row r="2402" spans="1:9" x14ac:dyDescent="0.25">
      <c r="A2402" s="753">
        <v>600316</v>
      </c>
      <c r="B2402" s="130">
        <v>18485</v>
      </c>
      <c r="C2402" s="131">
        <v>416</v>
      </c>
      <c r="D2402" s="131">
        <v>16</v>
      </c>
      <c r="E2402" s="131">
        <v>416</v>
      </c>
      <c r="F2402" s="767">
        <v>-1003631.7</v>
      </c>
      <c r="G2402" s="767">
        <v>-238444</v>
      </c>
      <c r="H2402" s="767">
        <v>-1242075.7</v>
      </c>
      <c r="I2402" s="768" t="s">
        <v>1720</v>
      </c>
    </row>
    <row r="2403" spans="1:9" x14ac:dyDescent="0.25">
      <c r="A2403" s="753"/>
      <c r="C2403" s="131">
        <v>616</v>
      </c>
      <c r="D2403" s="131">
        <v>16</v>
      </c>
      <c r="E2403" s="131">
        <v>616</v>
      </c>
      <c r="F2403" s="767">
        <v>941860.05</v>
      </c>
      <c r="G2403" s="767">
        <v>224614.34</v>
      </c>
      <c r="H2403" s="767">
        <v>1166474.3899999999</v>
      </c>
      <c r="I2403" s="768" t="s">
        <v>1721</v>
      </c>
    </row>
    <row r="2404" spans="1:9" x14ac:dyDescent="0.25">
      <c r="A2404" s="753"/>
      <c r="C2404" s="131" t="s">
        <v>400</v>
      </c>
      <c r="D2404" s="131">
        <v>16</v>
      </c>
      <c r="E2404" s="131" t="s">
        <v>400</v>
      </c>
      <c r="F2404" s="767">
        <v>-139749.68</v>
      </c>
      <c r="G2404" s="767">
        <v>-74470.399999999994</v>
      </c>
      <c r="H2404" s="767">
        <v>-214220.08</v>
      </c>
      <c r="I2404" s="768" t="s">
        <v>1723</v>
      </c>
    </row>
    <row r="2405" spans="1:9" x14ac:dyDescent="0.25">
      <c r="A2405" s="753"/>
      <c r="C2405" s="131" t="s">
        <v>1100</v>
      </c>
      <c r="D2405" s="131">
        <v>16</v>
      </c>
      <c r="E2405" s="131" t="s">
        <v>1100</v>
      </c>
      <c r="F2405" s="767">
        <v>131422.87</v>
      </c>
      <c r="G2405" s="767">
        <v>69814.75</v>
      </c>
      <c r="H2405" s="767">
        <v>201237.62</v>
      </c>
      <c r="I2405" s="768" t="s">
        <v>1724</v>
      </c>
    </row>
    <row r="2406" spans="1:9" x14ac:dyDescent="0.25">
      <c r="A2406" s="753">
        <v>600318</v>
      </c>
      <c r="B2406" s="130">
        <v>3697</v>
      </c>
      <c r="E2406" s="131"/>
    </row>
    <row r="2407" spans="1:9" x14ac:dyDescent="0.25">
      <c r="A2407" s="753">
        <v>600322</v>
      </c>
      <c r="B2407" s="130">
        <v>24</v>
      </c>
      <c r="E2407" s="131"/>
    </row>
    <row r="2408" spans="1:9" x14ac:dyDescent="0.25">
      <c r="A2408" s="753">
        <v>600324</v>
      </c>
      <c r="B2408" s="130">
        <v>1456296</v>
      </c>
      <c r="E2408" s="131"/>
    </row>
    <row r="2409" spans="1:9" x14ac:dyDescent="0.25">
      <c r="A2409" s="753">
        <v>600326</v>
      </c>
      <c r="B2409" s="130">
        <v>88584</v>
      </c>
      <c r="C2409" s="131">
        <v>416</v>
      </c>
      <c r="D2409" s="131">
        <v>16</v>
      </c>
      <c r="E2409" s="131">
        <v>416</v>
      </c>
      <c r="F2409" s="767">
        <v>-1003631.7</v>
      </c>
      <c r="G2409" s="767">
        <v>-238444</v>
      </c>
      <c r="H2409" s="767">
        <v>-1242075.7</v>
      </c>
      <c r="I2409" s="768" t="s">
        <v>1720</v>
      </c>
    </row>
    <row r="2410" spans="1:9" x14ac:dyDescent="0.25">
      <c r="A2410" s="753"/>
      <c r="C2410" s="131">
        <v>616</v>
      </c>
      <c r="D2410" s="131">
        <v>16</v>
      </c>
      <c r="E2410" s="131">
        <v>616</v>
      </c>
      <c r="F2410" s="767">
        <v>941860.05</v>
      </c>
      <c r="G2410" s="767">
        <v>224614.34</v>
      </c>
      <c r="H2410" s="767">
        <v>1166474.3899999999</v>
      </c>
      <c r="I2410" s="768" t="s">
        <v>1721</v>
      </c>
    </row>
    <row r="2411" spans="1:9" x14ac:dyDescent="0.25">
      <c r="A2411" s="753"/>
      <c r="C2411" s="131" t="s">
        <v>400</v>
      </c>
      <c r="D2411" s="131">
        <v>16</v>
      </c>
      <c r="E2411" s="131" t="s">
        <v>400</v>
      </c>
      <c r="F2411" s="767">
        <v>-139749.68</v>
      </c>
      <c r="G2411" s="767">
        <v>-74470.399999999994</v>
      </c>
      <c r="H2411" s="767">
        <v>-214220.08</v>
      </c>
      <c r="I2411" s="768" t="s">
        <v>1723</v>
      </c>
    </row>
    <row r="2412" spans="1:9" x14ac:dyDescent="0.25">
      <c r="A2412" s="753"/>
      <c r="C2412" s="131" t="s">
        <v>1100</v>
      </c>
      <c r="D2412" s="131">
        <v>16</v>
      </c>
      <c r="E2412" s="131" t="s">
        <v>1100</v>
      </c>
      <c r="F2412" s="767">
        <v>131422.87</v>
      </c>
      <c r="G2412" s="767">
        <v>69814.75</v>
      </c>
      <c r="H2412" s="767">
        <v>201237.62</v>
      </c>
      <c r="I2412" s="768" t="s">
        <v>1724</v>
      </c>
    </row>
    <row r="2413" spans="1:9" x14ac:dyDescent="0.25">
      <c r="A2413" s="753">
        <v>600328</v>
      </c>
      <c r="B2413" s="130">
        <v>3691</v>
      </c>
      <c r="E2413" s="131"/>
    </row>
    <row r="2414" spans="1:9" x14ac:dyDescent="0.25">
      <c r="A2414" s="753">
        <v>600412</v>
      </c>
      <c r="B2414" s="130">
        <v>3</v>
      </c>
      <c r="C2414" s="131" t="s">
        <v>1099</v>
      </c>
      <c r="D2414" s="131">
        <v>16</v>
      </c>
      <c r="E2414" s="131" t="s">
        <v>1099</v>
      </c>
      <c r="F2414" s="767">
        <v>-0.06</v>
      </c>
      <c r="G2414" s="767">
        <v>-0.03</v>
      </c>
      <c r="H2414" s="767">
        <v>-0.09</v>
      </c>
      <c r="I2414" s="768" t="s">
        <v>1725</v>
      </c>
    </row>
    <row r="2415" spans="1:9" x14ac:dyDescent="0.25">
      <c r="A2415" s="753">
        <v>600414</v>
      </c>
      <c r="B2415" s="130">
        <v>188224</v>
      </c>
      <c r="C2415" s="131">
        <v>409</v>
      </c>
      <c r="D2415" s="131">
        <v>16</v>
      </c>
      <c r="E2415" s="131">
        <v>409</v>
      </c>
      <c r="F2415" s="767">
        <v>-363098.13</v>
      </c>
      <c r="G2415" s="767">
        <v>-188223.59</v>
      </c>
      <c r="H2415" s="767">
        <v>-551321.72</v>
      </c>
      <c r="I2415" s="768" t="s">
        <v>1725</v>
      </c>
    </row>
    <row r="2416" spans="1:9" x14ac:dyDescent="0.25">
      <c r="A2416" s="753">
        <v>600416</v>
      </c>
      <c r="B2416" s="130">
        <v>8588</v>
      </c>
      <c r="C2416" s="131">
        <v>409</v>
      </c>
      <c r="D2416" s="131">
        <v>16</v>
      </c>
      <c r="E2416" s="131">
        <v>409</v>
      </c>
      <c r="F2416" s="767">
        <v>-363098.13</v>
      </c>
      <c r="G2416" s="767">
        <v>-188223.59</v>
      </c>
      <c r="H2416" s="767">
        <v>-551321.72</v>
      </c>
      <c r="I2416" s="768" t="s">
        <v>1725</v>
      </c>
    </row>
    <row r="2417" spans="1:9" x14ac:dyDescent="0.25">
      <c r="A2417" s="753"/>
      <c r="C2417" s="131">
        <v>609</v>
      </c>
      <c r="D2417" s="131">
        <v>16</v>
      </c>
      <c r="E2417" s="131">
        <v>609</v>
      </c>
      <c r="F2417" s="767">
        <v>341003.75</v>
      </c>
      <c r="G2417" s="767">
        <v>179636.18</v>
      </c>
      <c r="H2417" s="767">
        <v>520639.93</v>
      </c>
      <c r="I2417" s="768" t="s">
        <v>1725</v>
      </c>
    </row>
    <row r="2418" spans="1:9" x14ac:dyDescent="0.25">
      <c r="A2418" s="753">
        <v>600418</v>
      </c>
      <c r="B2418" s="130">
        <v>2863</v>
      </c>
      <c r="E2418" s="131"/>
    </row>
    <row r="2419" spans="1:9" x14ac:dyDescent="0.25">
      <c r="A2419" s="753">
        <v>600422</v>
      </c>
      <c r="B2419" s="130">
        <v>9</v>
      </c>
      <c r="C2419" s="131" t="s">
        <v>1099</v>
      </c>
      <c r="D2419" s="131">
        <v>16</v>
      </c>
      <c r="E2419" s="131" t="s">
        <v>1099</v>
      </c>
      <c r="F2419" s="767">
        <v>-0.06</v>
      </c>
      <c r="G2419" s="767">
        <v>-0.03</v>
      </c>
      <c r="H2419" s="767">
        <v>-0.09</v>
      </c>
      <c r="I2419" s="768" t="s">
        <v>1725</v>
      </c>
    </row>
    <row r="2420" spans="1:9" x14ac:dyDescent="0.25">
      <c r="A2420" s="753">
        <v>600424</v>
      </c>
      <c r="B2420" s="130">
        <v>551322</v>
      </c>
      <c r="C2420" s="131">
        <v>409</v>
      </c>
      <c r="D2420" s="131">
        <v>16</v>
      </c>
      <c r="E2420" s="131">
        <v>409</v>
      </c>
      <c r="F2420" s="767">
        <v>-363098.13</v>
      </c>
      <c r="G2420" s="767">
        <v>-188223.59</v>
      </c>
      <c r="H2420" s="767">
        <v>-551321.72</v>
      </c>
      <c r="I2420" s="768" t="s">
        <v>1725</v>
      </c>
    </row>
    <row r="2421" spans="1:9" x14ac:dyDescent="0.25">
      <c r="A2421" s="753">
        <v>600426</v>
      </c>
      <c r="B2421" s="130">
        <v>30682</v>
      </c>
      <c r="C2421" s="131">
        <v>409</v>
      </c>
      <c r="D2421" s="131">
        <v>16</v>
      </c>
      <c r="E2421" s="131">
        <v>409</v>
      </c>
      <c r="F2421" s="767">
        <v>-363098.13</v>
      </c>
      <c r="G2421" s="767">
        <v>-188223.59</v>
      </c>
      <c r="H2421" s="767">
        <v>-551321.72</v>
      </c>
      <c r="I2421" s="768" t="s">
        <v>1725</v>
      </c>
    </row>
    <row r="2422" spans="1:9" x14ac:dyDescent="0.25">
      <c r="A2422" s="753"/>
      <c r="C2422" s="131">
        <v>609</v>
      </c>
      <c r="D2422" s="131">
        <v>16</v>
      </c>
      <c r="E2422" s="131">
        <v>609</v>
      </c>
      <c r="F2422" s="767">
        <v>341003.75</v>
      </c>
      <c r="G2422" s="767">
        <v>179636.18</v>
      </c>
      <c r="H2422" s="767">
        <v>520639.93</v>
      </c>
      <c r="I2422" s="768" t="s">
        <v>1725</v>
      </c>
    </row>
    <row r="2423" spans="1:9" x14ac:dyDescent="0.25">
      <c r="A2423" s="753">
        <v>600428</v>
      </c>
      <c r="B2423" s="130">
        <v>3409</v>
      </c>
      <c r="E2423" s="131"/>
    </row>
    <row r="2424" spans="1:9" x14ac:dyDescent="0.25">
      <c r="A2424" s="753">
        <v>600512</v>
      </c>
      <c r="B2424" s="130">
        <v>1</v>
      </c>
      <c r="C2424" s="131" t="s">
        <v>1101</v>
      </c>
      <c r="D2424" s="131">
        <v>16</v>
      </c>
      <c r="E2424" s="131" t="s">
        <v>1101</v>
      </c>
      <c r="F2424" s="767">
        <v>-0.01</v>
      </c>
      <c r="G2424" s="767">
        <v>-0.01</v>
      </c>
      <c r="H2424" s="767">
        <v>-0.02</v>
      </c>
      <c r="I2424" s="768" t="s">
        <v>1726</v>
      </c>
    </row>
    <row r="2425" spans="1:9" x14ac:dyDescent="0.25">
      <c r="A2425" s="753">
        <v>600514</v>
      </c>
      <c r="B2425" s="130">
        <v>79724</v>
      </c>
      <c r="C2425" s="131" t="s">
        <v>1102</v>
      </c>
      <c r="D2425" s="131">
        <v>16</v>
      </c>
      <c r="E2425" s="131" t="s">
        <v>1102</v>
      </c>
      <c r="F2425" s="767">
        <v>-90100.5</v>
      </c>
      <c r="G2425" s="767">
        <v>-79723.5</v>
      </c>
      <c r="H2425" s="767">
        <v>-169824</v>
      </c>
      <c r="I2425" s="768" t="s">
        <v>1726</v>
      </c>
    </row>
    <row r="2426" spans="1:9" x14ac:dyDescent="0.25">
      <c r="A2426" s="753">
        <v>600516</v>
      </c>
      <c r="B2426" s="130">
        <v>5375</v>
      </c>
      <c r="C2426" s="131" t="s">
        <v>1102</v>
      </c>
      <c r="D2426" s="131">
        <v>16</v>
      </c>
      <c r="E2426" s="131" t="s">
        <v>1102</v>
      </c>
      <c r="F2426" s="767">
        <v>-90100.5</v>
      </c>
      <c r="G2426" s="767">
        <v>-79723.5</v>
      </c>
      <c r="H2426" s="767">
        <v>-169824</v>
      </c>
      <c r="I2426" s="768" t="s">
        <v>1726</v>
      </c>
    </row>
    <row r="2427" spans="1:9" x14ac:dyDescent="0.25">
      <c r="A2427" s="753"/>
      <c r="C2427" s="131" t="s">
        <v>1103</v>
      </c>
      <c r="D2427" s="131">
        <v>16</v>
      </c>
      <c r="E2427" s="131" t="s">
        <v>1103</v>
      </c>
      <c r="F2427" s="767">
        <v>84965.15</v>
      </c>
      <c r="G2427" s="767">
        <v>74349.23</v>
      </c>
      <c r="H2427" s="767">
        <v>159314.38</v>
      </c>
      <c r="I2427" s="768" t="s">
        <v>1726</v>
      </c>
    </row>
    <row r="2428" spans="1:9" x14ac:dyDescent="0.25">
      <c r="A2428" s="753">
        <v>600518</v>
      </c>
      <c r="B2428" s="130">
        <v>5375</v>
      </c>
      <c r="E2428" s="131"/>
    </row>
    <row r="2429" spans="1:9" x14ac:dyDescent="0.25">
      <c r="A2429" s="753">
        <v>600522</v>
      </c>
      <c r="B2429" s="130">
        <v>2</v>
      </c>
      <c r="C2429" s="131" t="s">
        <v>1101</v>
      </c>
      <c r="D2429" s="131">
        <v>16</v>
      </c>
      <c r="E2429" s="131" t="s">
        <v>1101</v>
      </c>
      <c r="F2429" s="767">
        <v>-0.01</v>
      </c>
      <c r="G2429" s="767">
        <v>-0.01</v>
      </c>
      <c r="H2429" s="767">
        <v>-0.02</v>
      </c>
      <c r="I2429" s="768" t="s">
        <v>1726</v>
      </c>
    </row>
    <row r="2430" spans="1:9" x14ac:dyDescent="0.25">
      <c r="A2430" s="753">
        <v>600524</v>
      </c>
      <c r="B2430" s="130">
        <v>169824</v>
      </c>
      <c r="C2430" s="131" t="s">
        <v>1102</v>
      </c>
      <c r="D2430" s="131">
        <v>16</v>
      </c>
      <c r="E2430" s="131" t="s">
        <v>1102</v>
      </c>
      <c r="F2430" s="767">
        <v>-90100.5</v>
      </c>
      <c r="G2430" s="767">
        <v>-79723.5</v>
      </c>
      <c r="H2430" s="767">
        <v>-169824</v>
      </c>
      <c r="I2430" s="768" t="s">
        <v>1726</v>
      </c>
    </row>
    <row r="2431" spans="1:9" x14ac:dyDescent="0.25">
      <c r="A2431" s="753">
        <v>600526</v>
      </c>
      <c r="B2431" s="130">
        <v>10510</v>
      </c>
      <c r="C2431" s="131" t="s">
        <v>1102</v>
      </c>
      <c r="D2431" s="131">
        <v>16</v>
      </c>
      <c r="E2431" s="131" t="s">
        <v>1102</v>
      </c>
      <c r="F2431" s="767">
        <v>-90100.5</v>
      </c>
      <c r="G2431" s="767">
        <v>-79723.5</v>
      </c>
      <c r="H2431" s="767">
        <v>-169824</v>
      </c>
      <c r="I2431" s="768" t="s">
        <v>1726</v>
      </c>
    </row>
    <row r="2432" spans="1:9" x14ac:dyDescent="0.25">
      <c r="A2432" s="753"/>
      <c r="C2432" s="131" t="s">
        <v>1103</v>
      </c>
      <c r="D2432" s="131">
        <v>16</v>
      </c>
      <c r="E2432" s="131" t="s">
        <v>1103</v>
      </c>
      <c r="F2432" s="767">
        <v>84965.15</v>
      </c>
      <c r="G2432" s="767">
        <v>74349.23</v>
      </c>
      <c r="H2432" s="767">
        <v>159314.38</v>
      </c>
      <c r="I2432" s="768" t="s">
        <v>1726</v>
      </c>
    </row>
    <row r="2433" spans="1:9" x14ac:dyDescent="0.25">
      <c r="A2433" s="753">
        <v>600528</v>
      </c>
      <c r="B2433" s="130">
        <v>5255</v>
      </c>
      <c r="E2433" s="131"/>
    </row>
    <row r="2434" spans="1:9" x14ac:dyDescent="0.25">
      <c r="A2434" s="753">
        <v>600612</v>
      </c>
      <c r="B2434" s="130">
        <v>4</v>
      </c>
      <c r="E2434" s="131"/>
    </row>
    <row r="2435" spans="1:9" x14ac:dyDescent="0.25">
      <c r="A2435" s="753">
        <v>600614</v>
      </c>
      <c r="B2435" s="130">
        <v>267948</v>
      </c>
      <c r="E2435" s="131"/>
    </row>
    <row r="2436" spans="1:9" x14ac:dyDescent="0.25">
      <c r="A2436" s="753">
        <v>600616</v>
      </c>
      <c r="B2436" s="130">
        <v>13963</v>
      </c>
      <c r="C2436" s="131">
        <v>409</v>
      </c>
      <c r="D2436" s="131">
        <v>16</v>
      </c>
      <c r="E2436" s="131">
        <v>409</v>
      </c>
      <c r="F2436" s="767">
        <v>-363098.13</v>
      </c>
      <c r="G2436" s="767">
        <v>-188223.59</v>
      </c>
      <c r="H2436" s="767">
        <v>-551321.72</v>
      </c>
      <c r="I2436" s="768" t="s">
        <v>1725</v>
      </c>
    </row>
    <row r="2437" spans="1:9" x14ac:dyDescent="0.25">
      <c r="A2437" s="753"/>
      <c r="C2437" s="131">
        <v>609</v>
      </c>
      <c r="D2437" s="131">
        <v>16</v>
      </c>
      <c r="E2437" s="131">
        <v>609</v>
      </c>
      <c r="F2437" s="767">
        <v>341003.75</v>
      </c>
      <c r="G2437" s="767">
        <v>179636.18</v>
      </c>
      <c r="H2437" s="767">
        <v>520639.93</v>
      </c>
      <c r="I2437" s="768" t="s">
        <v>1725</v>
      </c>
    </row>
    <row r="2438" spans="1:9" x14ac:dyDescent="0.25">
      <c r="A2438" s="753"/>
      <c r="C2438" s="131" t="s">
        <v>1102</v>
      </c>
      <c r="D2438" s="131">
        <v>16</v>
      </c>
      <c r="E2438" s="131" t="s">
        <v>1102</v>
      </c>
      <c r="F2438" s="767">
        <v>-90100.5</v>
      </c>
      <c r="G2438" s="767">
        <v>-79723.5</v>
      </c>
      <c r="H2438" s="767">
        <v>-169824</v>
      </c>
      <c r="I2438" s="768" t="s">
        <v>1726</v>
      </c>
    </row>
    <row r="2439" spans="1:9" x14ac:dyDescent="0.25">
      <c r="A2439" s="753"/>
      <c r="C2439" s="131" t="s">
        <v>1103</v>
      </c>
      <c r="D2439" s="131">
        <v>16</v>
      </c>
      <c r="E2439" s="131" t="s">
        <v>1103</v>
      </c>
      <c r="F2439" s="767">
        <v>84965.15</v>
      </c>
      <c r="G2439" s="767">
        <v>74349.23</v>
      </c>
      <c r="H2439" s="767">
        <v>159314.38</v>
      </c>
      <c r="I2439" s="768" t="s">
        <v>1726</v>
      </c>
    </row>
    <row r="2440" spans="1:9" x14ac:dyDescent="0.25">
      <c r="A2440" s="753">
        <v>600618</v>
      </c>
      <c r="B2440" s="130">
        <v>3491</v>
      </c>
      <c r="E2440" s="131"/>
    </row>
    <row r="2441" spans="1:9" x14ac:dyDescent="0.25">
      <c r="A2441" s="753">
        <v>600622</v>
      </c>
      <c r="B2441" s="130">
        <v>11</v>
      </c>
      <c r="E2441" s="131"/>
    </row>
    <row r="2442" spans="1:9" x14ac:dyDescent="0.25">
      <c r="A2442" s="753">
        <v>600624</v>
      </c>
      <c r="B2442" s="130">
        <v>721146</v>
      </c>
      <c r="E2442" s="131"/>
    </row>
    <row r="2443" spans="1:9" x14ac:dyDescent="0.25">
      <c r="A2443" s="753">
        <v>600626</v>
      </c>
      <c r="B2443" s="130">
        <v>41192</v>
      </c>
      <c r="C2443" s="131">
        <v>409</v>
      </c>
      <c r="D2443" s="131">
        <v>16</v>
      </c>
      <c r="E2443" s="131">
        <v>409</v>
      </c>
      <c r="F2443" s="767">
        <v>-363098.13</v>
      </c>
      <c r="G2443" s="767">
        <v>-188223.59</v>
      </c>
      <c r="H2443" s="767">
        <v>-551321.72</v>
      </c>
      <c r="I2443" s="768" t="s">
        <v>1725</v>
      </c>
    </row>
    <row r="2444" spans="1:9" x14ac:dyDescent="0.25">
      <c r="A2444" s="753"/>
      <c r="C2444" s="131">
        <v>609</v>
      </c>
      <c r="D2444" s="131">
        <v>16</v>
      </c>
      <c r="E2444" s="131">
        <v>609</v>
      </c>
      <c r="F2444" s="767">
        <v>341003.75</v>
      </c>
      <c r="G2444" s="767">
        <v>179636.18</v>
      </c>
      <c r="H2444" s="767">
        <v>520639.93</v>
      </c>
      <c r="I2444" s="768" t="s">
        <v>1725</v>
      </c>
    </row>
    <row r="2445" spans="1:9" x14ac:dyDescent="0.25">
      <c r="A2445" s="753"/>
      <c r="C2445" s="131" t="s">
        <v>1102</v>
      </c>
      <c r="D2445" s="131">
        <v>16</v>
      </c>
      <c r="E2445" s="131" t="s">
        <v>1102</v>
      </c>
      <c r="F2445" s="767">
        <v>-90100.5</v>
      </c>
      <c r="G2445" s="767">
        <v>-79723.5</v>
      </c>
      <c r="H2445" s="767">
        <v>-169824</v>
      </c>
      <c r="I2445" s="768" t="s">
        <v>1726</v>
      </c>
    </row>
    <row r="2446" spans="1:9" x14ac:dyDescent="0.25">
      <c r="A2446" s="753"/>
      <c r="C2446" s="131" t="s">
        <v>1103</v>
      </c>
      <c r="D2446" s="131">
        <v>16</v>
      </c>
      <c r="E2446" s="131" t="s">
        <v>1103</v>
      </c>
      <c r="F2446" s="767">
        <v>84965.15</v>
      </c>
      <c r="G2446" s="767">
        <v>74349.23</v>
      </c>
      <c r="H2446" s="767">
        <v>159314.38</v>
      </c>
      <c r="I2446" s="768" t="s">
        <v>1726</v>
      </c>
    </row>
    <row r="2447" spans="1:9" x14ac:dyDescent="0.25">
      <c r="A2447" s="753">
        <v>600628</v>
      </c>
      <c r="B2447" s="130">
        <v>3745</v>
      </c>
      <c r="E2447" s="131"/>
    </row>
    <row r="2448" spans="1:9" x14ac:dyDescent="0.25">
      <c r="A2448" s="753">
        <v>600712</v>
      </c>
      <c r="B2448" s="130">
        <v>0</v>
      </c>
      <c r="C2448" s="131" t="s">
        <v>1104</v>
      </c>
      <c r="D2448" s="131">
        <v>16</v>
      </c>
      <c r="E2448" s="131" t="s">
        <v>1104</v>
      </c>
      <c r="F2448" s="767">
        <v>-0.23</v>
      </c>
      <c r="G2448" s="767">
        <v>0</v>
      </c>
      <c r="H2448" s="767">
        <v>-0.23</v>
      </c>
      <c r="I2448" s="768" t="s">
        <v>1727</v>
      </c>
    </row>
    <row r="2449" spans="1:9" x14ac:dyDescent="0.25">
      <c r="A2449" s="753">
        <v>600714</v>
      </c>
      <c r="B2449" s="130">
        <v>0</v>
      </c>
      <c r="C2449" s="131" t="s">
        <v>104</v>
      </c>
      <c r="D2449" s="131">
        <v>16</v>
      </c>
      <c r="E2449" s="131" t="s">
        <v>104</v>
      </c>
      <c r="F2449" s="767">
        <v>-1584890.7</v>
      </c>
      <c r="G2449" s="767">
        <v>0</v>
      </c>
      <c r="H2449" s="767">
        <v>-1584890.7</v>
      </c>
      <c r="I2449" s="768" t="s">
        <v>1728</v>
      </c>
    </row>
    <row r="2450" spans="1:9" x14ac:dyDescent="0.25">
      <c r="A2450" s="753">
        <v>600716</v>
      </c>
      <c r="B2450" s="130">
        <v>0</v>
      </c>
      <c r="C2450" s="131" t="s">
        <v>104</v>
      </c>
      <c r="D2450" s="131">
        <v>16</v>
      </c>
      <c r="E2450" s="131" t="s">
        <v>104</v>
      </c>
      <c r="F2450" s="767">
        <v>-1584890.7</v>
      </c>
      <c r="G2450" s="767">
        <v>0</v>
      </c>
      <c r="H2450" s="767">
        <v>-1584890.7</v>
      </c>
      <c r="I2450" s="768" t="s">
        <v>1728</v>
      </c>
    </row>
    <row r="2451" spans="1:9" x14ac:dyDescent="0.25">
      <c r="A2451" s="753"/>
      <c r="C2451" s="131" t="s">
        <v>1106</v>
      </c>
      <c r="D2451" s="131">
        <v>16</v>
      </c>
      <c r="E2451" s="131" t="s">
        <v>1106</v>
      </c>
      <c r="F2451" s="767">
        <v>1486270.54</v>
      </c>
      <c r="G2451" s="767">
        <v>0</v>
      </c>
      <c r="H2451" s="767">
        <v>1486270.54</v>
      </c>
      <c r="I2451" s="768" t="s">
        <v>1729</v>
      </c>
    </row>
    <row r="2452" spans="1:9" x14ac:dyDescent="0.25">
      <c r="A2452" s="753">
        <v>600718</v>
      </c>
      <c r="B2452" s="130">
        <v>0</v>
      </c>
      <c r="E2452" s="131"/>
    </row>
    <row r="2453" spans="1:9" x14ac:dyDescent="0.25">
      <c r="A2453" s="753">
        <v>600722</v>
      </c>
      <c r="B2453" s="130">
        <v>23</v>
      </c>
      <c r="C2453" s="131" t="s">
        <v>1104</v>
      </c>
      <c r="D2453" s="131">
        <v>16</v>
      </c>
      <c r="E2453" s="131" t="s">
        <v>1104</v>
      </c>
      <c r="F2453" s="767">
        <v>-0.23</v>
      </c>
      <c r="G2453" s="767">
        <v>0</v>
      </c>
      <c r="H2453" s="767">
        <v>-0.23</v>
      </c>
      <c r="I2453" s="768" t="s">
        <v>1727</v>
      </c>
    </row>
    <row r="2454" spans="1:9" x14ac:dyDescent="0.25">
      <c r="A2454" s="753">
        <v>600724</v>
      </c>
      <c r="B2454" s="130">
        <v>1584891</v>
      </c>
      <c r="C2454" s="131" t="s">
        <v>104</v>
      </c>
      <c r="D2454" s="131">
        <v>16</v>
      </c>
      <c r="E2454" s="131" t="s">
        <v>104</v>
      </c>
      <c r="F2454" s="767">
        <v>-1584890.7</v>
      </c>
      <c r="G2454" s="767">
        <v>0</v>
      </c>
      <c r="H2454" s="767">
        <v>-1584890.7</v>
      </c>
      <c r="I2454" s="768" t="s">
        <v>1728</v>
      </c>
    </row>
    <row r="2455" spans="1:9" x14ac:dyDescent="0.25">
      <c r="A2455" s="753">
        <v>600726</v>
      </c>
      <c r="B2455" s="130">
        <v>98620</v>
      </c>
      <c r="C2455" s="131" t="s">
        <v>104</v>
      </c>
      <c r="D2455" s="131">
        <v>16</v>
      </c>
      <c r="E2455" s="131" t="s">
        <v>104</v>
      </c>
      <c r="F2455" s="767">
        <v>-1584890.7</v>
      </c>
      <c r="G2455" s="767">
        <v>0</v>
      </c>
      <c r="H2455" s="767">
        <v>-1584890.7</v>
      </c>
      <c r="I2455" s="768" t="s">
        <v>1728</v>
      </c>
    </row>
    <row r="2456" spans="1:9" x14ac:dyDescent="0.25">
      <c r="A2456" s="753"/>
      <c r="C2456" s="131" t="s">
        <v>1106</v>
      </c>
      <c r="D2456" s="131">
        <v>16</v>
      </c>
      <c r="E2456" s="131" t="s">
        <v>1106</v>
      </c>
      <c r="F2456" s="767">
        <v>1486270.54</v>
      </c>
      <c r="G2456" s="767">
        <v>0</v>
      </c>
      <c r="H2456" s="767">
        <v>1486270.54</v>
      </c>
      <c r="I2456" s="768" t="s">
        <v>1729</v>
      </c>
    </row>
    <row r="2457" spans="1:9" x14ac:dyDescent="0.25">
      <c r="A2457" s="753">
        <v>600728</v>
      </c>
      <c r="B2457" s="130">
        <v>4288</v>
      </c>
      <c r="E2457" s="131"/>
    </row>
    <row r="2458" spans="1:9" x14ac:dyDescent="0.25">
      <c r="A2458" s="753">
        <v>600812</v>
      </c>
      <c r="B2458" s="130">
        <v>0</v>
      </c>
      <c r="C2458" s="131" t="s">
        <v>1105</v>
      </c>
      <c r="D2458" s="131">
        <v>16</v>
      </c>
      <c r="E2458" s="131" t="s">
        <v>1105</v>
      </c>
      <c r="F2458" s="767">
        <v>-0.04</v>
      </c>
      <c r="G2458" s="767">
        <v>0</v>
      </c>
      <c r="H2458" s="767">
        <v>-0.04</v>
      </c>
      <c r="I2458" s="768" t="s">
        <v>1730</v>
      </c>
    </row>
    <row r="2459" spans="1:9" x14ac:dyDescent="0.25">
      <c r="A2459" s="753">
        <v>600814</v>
      </c>
      <c r="B2459" s="130">
        <v>0</v>
      </c>
      <c r="C2459" s="131" t="s">
        <v>282</v>
      </c>
      <c r="D2459" s="131">
        <v>16</v>
      </c>
      <c r="E2459" s="131" t="s">
        <v>282</v>
      </c>
      <c r="F2459" s="767">
        <v>-355284</v>
      </c>
      <c r="G2459" s="767">
        <v>0</v>
      </c>
      <c r="H2459" s="767">
        <v>-355284</v>
      </c>
      <c r="I2459" s="768" t="s">
        <v>1731</v>
      </c>
    </row>
    <row r="2460" spans="1:9" x14ac:dyDescent="0.25">
      <c r="A2460" s="753">
        <v>600816</v>
      </c>
      <c r="B2460" s="130">
        <v>0</v>
      </c>
      <c r="C2460" s="131" t="s">
        <v>282</v>
      </c>
      <c r="D2460" s="131">
        <v>16</v>
      </c>
      <c r="E2460" s="131" t="s">
        <v>282</v>
      </c>
      <c r="F2460" s="767">
        <v>-355284</v>
      </c>
      <c r="G2460" s="767">
        <v>0</v>
      </c>
      <c r="H2460" s="767">
        <v>-355284</v>
      </c>
      <c r="I2460" s="768" t="s">
        <v>1731</v>
      </c>
    </row>
    <row r="2461" spans="1:9" x14ac:dyDescent="0.25">
      <c r="A2461" s="753"/>
      <c r="C2461" s="131" t="s">
        <v>1107</v>
      </c>
      <c r="D2461" s="131">
        <v>16</v>
      </c>
      <c r="E2461" s="131" t="s">
        <v>1107</v>
      </c>
      <c r="F2461" s="767">
        <v>333495.65000000002</v>
      </c>
      <c r="G2461" s="767">
        <v>0</v>
      </c>
      <c r="H2461" s="767">
        <v>333495.65000000002</v>
      </c>
      <c r="I2461" s="768" t="s">
        <v>1732</v>
      </c>
    </row>
    <row r="2462" spans="1:9" x14ac:dyDescent="0.25">
      <c r="A2462" s="753">
        <v>600818</v>
      </c>
      <c r="B2462" s="130">
        <v>0</v>
      </c>
      <c r="E2462" s="131"/>
    </row>
    <row r="2463" spans="1:9" x14ac:dyDescent="0.25">
      <c r="A2463" s="753">
        <v>600822</v>
      </c>
      <c r="B2463" s="130">
        <v>4</v>
      </c>
      <c r="C2463" s="131" t="s">
        <v>1105</v>
      </c>
      <c r="D2463" s="131">
        <v>16</v>
      </c>
      <c r="E2463" s="131" t="s">
        <v>1105</v>
      </c>
      <c r="F2463" s="767">
        <v>-0.04</v>
      </c>
      <c r="G2463" s="767">
        <v>0</v>
      </c>
      <c r="H2463" s="767">
        <v>-0.04</v>
      </c>
      <c r="I2463" s="768" t="s">
        <v>1730</v>
      </c>
    </row>
    <row r="2464" spans="1:9" x14ac:dyDescent="0.25">
      <c r="A2464" s="753">
        <v>600824</v>
      </c>
      <c r="B2464" s="130">
        <v>355284</v>
      </c>
      <c r="C2464" s="131" t="s">
        <v>282</v>
      </c>
      <c r="D2464" s="131">
        <v>16</v>
      </c>
      <c r="E2464" s="131" t="s">
        <v>282</v>
      </c>
      <c r="F2464" s="767">
        <v>-355284</v>
      </c>
      <c r="G2464" s="767">
        <v>0</v>
      </c>
      <c r="H2464" s="767">
        <v>-355284</v>
      </c>
      <c r="I2464" s="768" t="s">
        <v>1731</v>
      </c>
    </row>
    <row r="2465" spans="1:9" x14ac:dyDescent="0.25">
      <c r="A2465" s="753">
        <v>600826</v>
      </c>
      <c r="B2465" s="130">
        <v>21788</v>
      </c>
      <c r="C2465" s="131" t="s">
        <v>282</v>
      </c>
      <c r="D2465" s="131">
        <v>16</v>
      </c>
      <c r="E2465" s="131" t="s">
        <v>282</v>
      </c>
      <c r="F2465" s="767">
        <v>-355284</v>
      </c>
      <c r="G2465" s="767">
        <v>0</v>
      </c>
      <c r="H2465" s="767">
        <v>-355284</v>
      </c>
      <c r="I2465" s="768" t="s">
        <v>1731</v>
      </c>
    </row>
    <row r="2466" spans="1:9" x14ac:dyDescent="0.25">
      <c r="A2466" s="753"/>
      <c r="C2466" s="131" t="s">
        <v>1107</v>
      </c>
      <c r="D2466" s="131">
        <v>16</v>
      </c>
      <c r="E2466" s="131" t="s">
        <v>1107</v>
      </c>
      <c r="F2466" s="767">
        <v>333495.65000000002</v>
      </c>
      <c r="G2466" s="767">
        <v>0</v>
      </c>
      <c r="H2466" s="767">
        <v>333495.65000000002</v>
      </c>
      <c r="I2466" s="768" t="s">
        <v>1732</v>
      </c>
    </row>
    <row r="2467" spans="1:9" x14ac:dyDescent="0.25">
      <c r="A2467" s="753">
        <v>600828</v>
      </c>
      <c r="B2467" s="130">
        <v>5447</v>
      </c>
      <c r="E2467" s="131"/>
    </row>
    <row r="2468" spans="1:9" x14ac:dyDescent="0.25">
      <c r="A2468" s="753">
        <v>600912</v>
      </c>
      <c r="B2468" s="130">
        <v>3</v>
      </c>
      <c r="C2468" s="131" t="s">
        <v>1172</v>
      </c>
      <c r="D2468" s="131">
        <v>16</v>
      </c>
      <c r="E2468" s="131" t="s">
        <v>1172</v>
      </c>
      <c r="F2468" s="767">
        <v>-0.06</v>
      </c>
      <c r="G2468" s="767">
        <v>-0.03</v>
      </c>
      <c r="H2468" s="767">
        <v>-0.09</v>
      </c>
      <c r="I2468" s="768" t="s">
        <v>1733</v>
      </c>
    </row>
    <row r="2469" spans="1:9" x14ac:dyDescent="0.25">
      <c r="A2469" s="753">
        <v>600914</v>
      </c>
      <c r="B2469" s="130">
        <v>236790</v>
      </c>
      <c r="C2469" s="131" t="s">
        <v>340</v>
      </c>
      <c r="D2469" s="131">
        <v>16</v>
      </c>
      <c r="E2469" s="131" t="s">
        <v>340</v>
      </c>
      <c r="F2469" s="767">
        <v>-482797.12</v>
      </c>
      <c r="G2469" s="767">
        <v>-236789.98</v>
      </c>
      <c r="H2469" s="767">
        <v>-719587.1</v>
      </c>
      <c r="I2469" s="768" t="s">
        <v>1734</v>
      </c>
    </row>
    <row r="2470" spans="1:9" x14ac:dyDescent="0.25">
      <c r="A2470" s="753">
        <v>600916</v>
      </c>
      <c r="B2470" s="130">
        <v>19425</v>
      </c>
      <c r="C2470" s="131" t="s">
        <v>340</v>
      </c>
      <c r="D2470" s="131">
        <v>16</v>
      </c>
      <c r="E2470" s="131" t="s">
        <v>340</v>
      </c>
      <c r="F2470" s="767">
        <v>-482797.12</v>
      </c>
      <c r="G2470" s="767">
        <v>-236789.98</v>
      </c>
      <c r="H2470" s="767">
        <v>-719587.1</v>
      </c>
      <c r="I2470" s="768" t="s">
        <v>1734</v>
      </c>
    </row>
    <row r="2471" spans="1:9" x14ac:dyDescent="0.25">
      <c r="A2471" s="753"/>
      <c r="C2471" s="131" t="s">
        <v>1108</v>
      </c>
      <c r="D2471" s="131">
        <v>16</v>
      </c>
      <c r="E2471" s="131" t="s">
        <v>1108</v>
      </c>
      <c r="F2471" s="767">
        <v>453323.44</v>
      </c>
      <c r="G2471" s="767">
        <v>217365.05</v>
      </c>
      <c r="H2471" s="767">
        <v>670688.49</v>
      </c>
      <c r="I2471" s="768" t="s">
        <v>1735</v>
      </c>
    </row>
    <row r="2472" spans="1:9" x14ac:dyDescent="0.25">
      <c r="A2472" s="753">
        <v>600918</v>
      </c>
      <c r="B2472" s="130">
        <v>6475</v>
      </c>
      <c r="E2472" s="131"/>
    </row>
    <row r="2473" spans="1:9" x14ac:dyDescent="0.25">
      <c r="A2473" s="753">
        <v>600922</v>
      </c>
      <c r="B2473" s="130">
        <v>9</v>
      </c>
      <c r="C2473" s="131" t="s">
        <v>1172</v>
      </c>
      <c r="D2473" s="131">
        <v>16</v>
      </c>
      <c r="E2473" s="131" t="s">
        <v>1172</v>
      </c>
      <c r="F2473" s="767">
        <v>-0.06</v>
      </c>
      <c r="G2473" s="767">
        <v>-0.03</v>
      </c>
      <c r="H2473" s="767">
        <v>-0.09</v>
      </c>
      <c r="I2473" s="768" t="s">
        <v>1733</v>
      </c>
    </row>
    <row r="2474" spans="1:9" x14ac:dyDescent="0.25">
      <c r="A2474" s="753">
        <v>600924</v>
      </c>
      <c r="B2474" s="130">
        <v>719587</v>
      </c>
      <c r="C2474" s="131" t="s">
        <v>340</v>
      </c>
      <c r="D2474" s="131">
        <v>16</v>
      </c>
      <c r="E2474" s="131" t="s">
        <v>340</v>
      </c>
      <c r="F2474" s="767">
        <v>-482797.12</v>
      </c>
      <c r="G2474" s="767">
        <v>-236789.98</v>
      </c>
      <c r="H2474" s="767">
        <v>-719587.1</v>
      </c>
      <c r="I2474" s="768" t="s">
        <v>1734</v>
      </c>
    </row>
    <row r="2475" spans="1:9" x14ac:dyDescent="0.25">
      <c r="A2475" s="753">
        <v>600926</v>
      </c>
      <c r="B2475" s="130">
        <v>48899</v>
      </c>
      <c r="C2475" s="131" t="s">
        <v>340</v>
      </c>
      <c r="D2475" s="131">
        <v>16</v>
      </c>
      <c r="E2475" s="131" t="s">
        <v>340</v>
      </c>
      <c r="F2475" s="767">
        <v>-482797.12</v>
      </c>
      <c r="G2475" s="767">
        <v>-236789.98</v>
      </c>
      <c r="H2475" s="767">
        <v>-719587.1</v>
      </c>
      <c r="I2475" s="768" t="s">
        <v>1734</v>
      </c>
    </row>
    <row r="2476" spans="1:9" x14ac:dyDescent="0.25">
      <c r="A2476" s="753"/>
      <c r="C2476" s="131" t="s">
        <v>1108</v>
      </c>
      <c r="D2476" s="131">
        <v>16</v>
      </c>
      <c r="E2476" s="131" t="s">
        <v>1108</v>
      </c>
      <c r="F2476" s="767">
        <v>453323.44</v>
      </c>
      <c r="G2476" s="767">
        <v>217365.05</v>
      </c>
      <c r="H2476" s="767">
        <v>670688.49</v>
      </c>
      <c r="I2476" s="768" t="s">
        <v>1735</v>
      </c>
    </row>
    <row r="2477" spans="1:9" x14ac:dyDescent="0.25">
      <c r="A2477" s="753">
        <v>600928</v>
      </c>
      <c r="B2477" s="130">
        <v>5433</v>
      </c>
      <c r="E2477" s="131"/>
    </row>
    <row r="2478" spans="1:9" x14ac:dyDescent="0.25">
      <c r="A2478" s="753">
        <v>601012</v>
      </c>
      <c r="B2478" s="130">
        <v>0</v>
      </c>
      <c r="C2478" s="131" t="s">
        <v>2270</v>
      </c>
      <c r="D2478" s="131">
        <v>16</v>
      </c>
      <c r="E2478" s="131" t="s">
        <v>2270</v>
      </c>
      <c r="F2478" s="767">
        <v>-0.01</v>
      </c>
      <c r="G2478" s="767">
        <v>0</v>
      </c>
      <c r="H2478" s="767">
        <v>-0.01</v>
      </c>
      <c r="I2478" s="768" t="s">
        <v>2271</v>
      </c>
    </row>
    <row r="2479" spans="1:9" x14ac:dyDescent="0.25">
      <c r="A2479" s="753">
        <v>601014</v>
      </c>
      <c r="B2479" s="130">
        <v>0</v>
      </c>
      <c r="C2479" s="131" t="s">
        <v>301</v>
      </c>
      <c r="D2479" s="131">
        <v>16</v>
      </c>
      <c r="E2479" s="131" t="s">
        <v>301</v>
      </c>
      <c r="F2479" s="767">
        <v>-109302.93</v>
      </c>
      <c r="G2479" s="767">
        <v>0</v>
      </c>
      <c r="H2479" s="767">
        <v>-109302.93</v>
      </c>
      <c r="I2479" s="768" t="s">
        <v>2272</v>
      </c>
    </row>
    <row r="2480" spans="1:9" x14ac:dyDescent="0.25">
      <c r="A2480" s="753">
        <v>601016</v>
      </c>
      <c r="B2480" s="130">
        <v>0</v>
      </c>
      <c r="C2480" s="131" t="s">
        <v>301</v>
      </c>
      <c r="D2480" s="131">
        <v>16</v>
      </c>
      <c r="E2480" s="131" t="s">
        <v>301</v>
      </c>
      <c r="F2480" s="767">
        <v>-109302.93</v>
      </c>
      <c r="G2480" s="767">
        <v>0</v>
      </c>
      <c r="H2480" s="767">
        <v>-109302.93</v>
      </c>
      <c r="I2480" s="768" t="s">
        <v>2272</v>
      </c>
    </row>
    <row r="2481" spans="1:9" x14ac:dyDescent="0.25">
      <c r="A2481" s="753"/>
      <c r="C2481" s="131" t="s">
        <v>2273</v>
      </c>
      <c r="D2481" s="131">
        <v>16</v>
      </c>
      <c r="E2481" s="131" t="s">
        <v>2273</v>
      </c>
      <c r="F2481" s="767">
        <v>109633.12</v>
      </c>
      <c r="G2481" s="767">
        <v>0</v>
      </c>
      <c r="H2481" s="767">
        <v>109633.12</v>
      </c>
      <c r="I2481" s="768" t="s">
        <v>2274</v>
      </c>
    </row>
    <row r="2482" spans="1:9" x14ac:dyDescent="0.25">
      <c r="A2482" s="753">
        <v>601018</v>
      </c>
      <c r="B2482" s="130">
        <v>0</v>
      </c>
      <c r="E2482" s="131"/>
    </row>
    <row r="2483" spans="1:9" x14ac:dyDescent="0.25">
      <c r="A2483" s="753">
        <v>601022</v>
      </c>
      <c r="B2483" s="130">
        <v>1</v>
      </c>
      <c r="C2483" s="131" t="s">
        <v>2270</v>
      </c>
      <c r="D2483" s="131">
        <v>16</v>
      </c>
      <c r="E2483" s="131" t="s">
        <v>2270</v>
      </c>
      <c r="F2483" s="767">
        <v>-0.01</v>
      </c>
      <c r="G2483" s="767">
        <v>0</v>
      </c>
      <c r="H2483" s="767">
        <v>-0.01</v>
      </c>
      <c r="I2483" s="768" t="s">
        <v>2271</v>
      </c>
    </row>
    <row r="2484" spans="1:9" x14ac:dyDescent="0.25">
      <c r="A2484" s="753">
        <v>601024</v>
      </c>
      <c r="B2484" s="130">
        <v>109303</v>
      </c>
      <c r="C2484" s="131" t="s">
        <v>301</v>
      </c>
      <c r="D2484" s="131">
        <v>16</v>
      </c>
      <c r="E2484" s="131" t="s">
        <v>301</v>
      </c>
      <c r="F2484" s="767">
        <v>-109302.93</v>
      </c>
      <c r="G2484" s="767">
        <v>0</v>
      </c>
      <c r="H2484" s="767">
        <v>-109302.93</v>
      </c>
      <c r="I2484" s="768" t="s">
        <v>2272</v>
      </c>
    </row>
    <row r="2485" spans="1:9" x14ac:dyDescent="0.25">
      <c r="A2485" s="753">
        <v>601026</v>
      </c>
      <c r="B2485" s="130">
        <v>-330</v>
      </c>
      <c r="C2485" s="131" t="s">
        <v>301</v>
      </c>
      <c r="D2485" s="131">
        <v>16</v>
      </c>
      <c r="E2485" s="131" t="s">
        <v>301</v>
      </c>
      <c r="F2485" s="767">
        <v>-109302.93</v>
      </c>
      <c r="G2485" s="767">
        <v>0</v>
      </c>
      <c r="H2485" s="767">
        <v>-109302.93</v>
      </c>
      <c r="I2485" s="768" t="s">
        <v>2272</v>
      </c>
    </row>
    <row r="2486" spans="1:9" x14ac:dyDescent="0.25">
      <c r="A2486" s="753"/>
      <c r="C2486" s="131" t="s">
        <v>2273</v>
      </c>
      <c r="D2486" s="131">
        <v>16</v>
      </c>
      <c r="E2486" s="131" t="s">
        <v>2273</v>
      </c>
      <c r="F2486" s="767">
        <v>109633.12</v>
      </c>
      <c r="G2486" s="767">
        <v>0</v>
      </c>
      <c r="H2486" s="767">
        <v>109633.12</v>
      </c>
      <c r="I2486" s="768" t="s">
        <v>2274</v>
      </c>
    </row>
    <row r="2487" spans="1:9" x14ac:dyDescent="0.25">
      <c r="A2487" s="753">
        <v>601028</v>
      </c>
      <c r="B2487" s="130">
        <v>-330</v>
      </c>
      <c r="E2487" s="131"/>
    </row>
    <row r="2488" spans="1:9" x14ac:dyDescent="0.25">
      <c r="A2488" s="753">
        <v>601112</v>
      </c>
      <c r="B2488" s="130">
        <v>3</v>
      </c>
      <c r="E2488" s="131"/>
    </row>
    <row r="2489" spans="1:9" x14ac:dyDescent="0.25">
      <c r="A2489" s="753">
        <v>601114</v>
      </c>
      <c r="B2489" s="130">
        <v>236790</v>
      </c>
      <c r="E2489" s="131"/>
    </row>
    <row r="2490" spans="1:9" x14ac:dyDescent="0.25">
      <c r="A2490" s="753">
        <v>601116</v>
      </c>
      <c r="B2490" s="130">
        <v>19425</v>
      </c>
      <c r="C2490" s="131" t="s">
        <v>104</v>
      </c>
      <c r="D2490" s="131">
        <v>16</v>
      </c>
      <c r="E2490" s="131" t="s">
        <v>104</v>
      </c>
      <c r="F2490" s="767">
        <v>-1584890.7</v>
      </c>
      <c r="G2490" s="767">
        <v>0</v>
      </c>
      <c r="H2490" s="767">
        <v>-1584890.7</v>
      </c>
      <c r="I2490" s="768" t="s">
        <v>1728</v>
      </c>
    </row>
    <row r="2491" spans="1:9" x14ac:dyDescent="0.25">
      <c r="A2491" s="753"/>
      <c r="C2491" s="131" t="s">
        <v>1106</v>
      </c>
      <c r="D2491" s="131">
        <v>16</v>
      </c>
      <c r="E2491" s="131" t="s">
        <v>1106</v>
      </c>
      <c r="F2491" s="767">
        <v>1486270.54</v>
      </c>
      <c r="G2491" s="767">
        <v>0</v>
      </c>
      <c r="H2491" s="767">
        <v>1486270.54</v>
      </c>
      <c r="I2491" s="768" t="s">
        <v>1729</v>
      </c>
    </row>
    <row r="2492" spans="1:9" x14ac:dyDescent="0.25">
      <c r="A2492" s="753"/>
      <c r="C2492" s="131" t="s">
        <v>282</v>
      </c>
      <c r="D2492" s="131">
        <v>16</v>
      </c>
      <c r="E2492" s="131" t="s">
        <v>282</v>
      </c>
      <c r="F2492" s="767">
        <v>-355284</v>
      </c>
      <c r="G2492" s="767">
        <v>0</v>
      </c>
      <c r="H2492" s="767">
        <v>-355284</v>
      </c>
      <c r="I2492" s="768" t="s">
        <v>1731</v>
      </c>
    </row>
    <row r="2493" spans="1:9" x14ac:dyDescent="0.25">
      <c r="A2493" s="753"/>
      <c r="C2493" s="131" t="s">
        <v>1107</v>
      </c>
      <c r="D2493" s="131">
        <v>16</v>
      </c>
      <c r="E2493" s="131" t="s">
        <v>1107</v>
      </c>
      <c r="F2493" s="767">
        <v>333495.65000000002</v>
      </c>
      <c r="G2493" s="767">
        <v>0</v>
      </c>
      <c r="H2493" s="767">
        <v>333495.65000000002</v>
      </c>
      <c r="I2493" s="768" t="s">
        <v>1732</v>
      </c>
    </row>
    <row r="2494" spans="1:9" x14ac:dyDescent="0.25">
      <c r="A2494" s="753"/>
      <c r="C2494" s="131" t="s">
        <v>340</v>
      </c>
      <c r="D2494" s="131">
        <v>16</v>
      </c>
      <c r="E2494" s="131" t="s">
        <v>340</v>
      </c>
      <c r="F2494" s="767">
        <v>-482797.12</v>
      </c>
      <c r="G2494" s="767">
        <v>-236789.98</v>
      </c>
      <c r="H2494" s="767">
        <v>-719587.1</v>
      </c>
      <c r="I2494" s="768" t="s">
        <v>1734</v>
      </c>
    </row>
    <row r="2495" spans="1:9" x14ac:dyDescent="0.25">
      <c r="A2495" s="753"/>
      <c r="C2495" s="131" t="s">
        <v>1108</v>
      </c>
      <c r="D2495" s="131">
        <v>16</v>
      </c>
      <c r="E2495" s="131" t="s">
        <v>1108</v>
      </c>
      <c r="F2495" s="767">
        <v>453323.44</v>
      </c>
      <c r="G2495" s="767">
        <v>217365.05</v>
      </c>
      <c r="H2495" s="767">
        <v>670688.49</v>
      </c>
      <c r="I2495" s="768" t="s">
        <v>1735</v>
      </c>
    </row>
    <row r="2496" spans="1:9" x14ac:dyDescent="0.25">
      <c r="A2496" s="753"/>
      <c r="C2496" s="131" t="s">
        <v>301</v>
      </c>
      <c r="D2496" s="131">
        <v>16</v>
      </c>
      <c r="E2496" s="131" t="s">
        <v>301</v>
      </c>
      <c r="F2496" s="767">
        <v>-109302.93</v>
      </c>
      <c r="G2496" s="767">
        <v>0</v>
      </c>
      <c r="H2496" s="767">
        <v>-109302.93</v>
      </c>
      <c r="I2496" s="768" t="s">
        <v>2272</v>
      </c>
    </row>
    <row r="2497" spans="1:9" x14ac:dyDescent="0.25">
      <c r="A2497" s="753"/>
      <c r="C2497" s="131" t="s">
        <v>2273</v>
      </c>
      <c r="D2497" s="131">
        <v>16</v>
      </c>
      <c r="E2497" s="131" t="s">
        <v>2273</v>
      </c>
      <c r="F2497" s="767">
        <v>109633.12</v>
      </c>
      <c r="G2497" s="767">
        <v>0</v>
      </c>
      <c r="H2497" s="767">
        <v>109633.12</v>
      </c>
      <c r="I2497" s="768" t="s">
        <v>2274</v>
      </c>
    </row>
    <row r="2498" spans="1:9" x14ac:dyDescent="0.25">
      <c r="A2498" s="753">
        <v>601118</v>
      </c>
      <c r="B2498" s="130">
        <v>6475</v>
      </c>
      <c r="E2498" s="131"/>
    </row>
    <row r="2499" spans="1:9" x14ac:dyDescent="0.25">
      <c r="A2499" s="753">
        <v>601122</v>
      </c>
      <c r="B2499" s="130">
        <v>37</v>
      </c>
      <c r="E2499" s="131"/>
    </row>
    <row r="2500" spans="1:9" x14ac:dyDescent="0.25">
      <c r="A2500" s="753">
        <v>601124</v>
      </c>
      <c r="B2500" s="130">
        <v>2769065</v>
      </c>
      <c r="E2500" s="131"/>
    </row>
    <row r="2501" spans="1:9" x14ac:dyDescent="0.25">
      <c r="A2501" s="753">
        <v>601126</v>
      </c>
      <c r="B2501" s="130">
        <v>168977</v>
      </c>
      <c r="C2501" s="131" t="s">
        <v>104</v>
      </c>
      <c r="D2501" s="131">
        <v>16</v>
      </c>
      <c r="E2501" s="131" t="s">
        <v>104</v>
      </c>
      <c r="F2501" s="767">
        <v>-1584890.7</v>
      </c>
      <c r="G2501" s="767">
        <v>0</v>
      </c>
      <c r="H2501" s="767">
        <v>-1584890.7</v>
      </c>
      <c r="I2501" s="768" t="s">
        <v>1728</v>
      </c>
    </row>
    <row r="2502" spans="1:9" x14ac:dyDescent="0.25">
      <c r="A2502" s="753"/>
      <c r="C2502" s="131" t="s">
        <v>1106</v>
      </c>
      <c r="D2502" s="131">
        <v>16</v>
      </c>
      <c r="E2502" s="131" t="s">
        <v>1106</v>
      </c>
      <c r="F2502" s="767">
        <v>1486270.54</v>
      </c>
      <c r="G2502" s="767">
        <v>0</v>
      </c>
      <c r="H2502" s="767">
        <v>1486270.54</v>
      </c>
      <c r="I2502" s="768" t="s">
        <v>1729</v>
      </c>
    </row>
    <row r="2503" spans="1:9" x14ac:dyDescent="0.25">
      <c r="A2503" s="753"/>
      <c r="C2503" s="131" t="s">
        <v>282</v>
      </c>
      <c r="D2503" s="131">
        <v>16</v>
      </c>
      <c r="E2503" s="131" t="s">
        <v>282</v>
      </c>
      <c r="F2503" s="767">
        <v>-355284</v>
      </c>
      <c r="G2503" s="767">
        <v>0</v>
      </c>
      <c r="H2503" s="767">
        <v>-355284</v>
      </c>
      <c r="I2503" s="768" t="s">
        <v>1731</v>
      </c>
    </row>
    <row r="2504" spans="1:9" x14ac:dyDescent="0.25">
      <c r="A2504" s="753"/>
      <c r="C2504" s="131" t="s">
        <v>1107</v>
      </c>
      <c r="D2504" s="131">
        <v>16</v>
      </c>
      <c r="E2504" s="131" t="s">
        <v>1107</v>
      </c>
      <c r="F2504" s="767">
        <v>333495.65000000002</v>
      </c>
      <c r="G2504" s="767">
        <v>0</v>
      </c>
      <c r="H2504" s="767">
        <v>333495.65000000002</v>
      </c>
      <c r="I2504" s="768" t="s">
        <v>1732</v>
      </c>
    </row>
    <row r="2505" spans="1:9" x14ac:dyDescent="0.25">
      <c r="A2505" s="753"/>
      <c r="C2505" s="131" t="s">
        <v>340</v>
      </c>
      <c r="D2505" s="131">
        <v>16</v>
      </c>
      <c r="E2505" s="131" t="s">
        <v>340</v>
      </c>
      <c r="F2505" s="767">
        <v>-482797.12</v>
      </c>
      <c r="G2505" s="767">
        <v>-236789.98</v>
      </c>
      <c r="H2505" s="767">
        <v>-719587.1</v>
      </c>
      <c r="I2505" s="768" t="s">
        <v>1734</v>
      </c>
    </row>
    <row r="2506" spans="1:9" x14ac:dyDescent="0.25">
      <c r="A2506" s="753"/>
      <c r="C2506" s="131" t="s">
        <v>1108</v>
      </c>
      <c r="D2506" s="131">
        <v>16</v>
      </c>
      <c r="E2506" s="131" t="s">
        <v>1108</v>
      </c>
      <c r="F2506" s="767">
        <v>453323.44</v>
      </c>
      <c r="G2506" s="767">
        <v>217365.05</v>
      </c>
      <c r="H2506" s="767">
        <v>670688.49</v>
      </c>
      <c r="I2506" s="768" t="s">
        <v>1735</v>
      </c>
    </row>
    <row r="2507" spans="1:9" x14ac:dyDescent="0.25">
      <c r="A2507" s="753"/>
      <c r="C2507" s="131" t="s">
        <v>301</v>
      </c>
      <c r="D2507" s="131">
        <v>16</v>
      </c>
      <c r="E2507" s="131" t="s">
        <v>301</v>
      </c>
      <c r="F2507" s="767">
        <v>-109302.93</v>
      </c>
      <c r="G2507" s="767">
        <v>0</v>
      </c>
      <c r="H2507" s="767">
        <v>-109302.93</v>
      </c>
      <c r="I2507" s="768" t="s">
        <v>2272</v>
      </c>
    </row>
    <row r="2508" spans="1:9" x14ac:dyDescent="0.25">
      <c r="A2508" s="753"/>
      <c r="C2508" s="131" t="s">
        <v>2273</v>
      </c>
      <c r="D2508" s="131">
        <v>16</v>
      </c>
      <c r="E2508" s="131" t="s">
        <v>2273</v>
      </c>
      <c r="F2508" s="767">
        <v>109633.12</v>
      </c>
      <c r="G2508" s="767">
        <v>0</v>
      </c>
      <c r="H2508" s="767">
        <v>109633.12</v>
      </c>
      <c r="I2508" s="768" t="s">
        <v>2274</v>
      </c>
    </row>
    <row r="2509" spans="1:9" x14ac:dyDescent="0.25">
      <c r="A2509" s="753">
        <v>601128</v>
      </c>
      <c r="B2509" s="130">
        <v>4567</v>
      </c>
      <c r="E2509" s="131"/>
    </row>
    <row r="2510" spans="1:9" x14ac:dyDescent="0.25">
      <c r="A2510" s="753">
        <v>601212</v>
      </c>
      <c r="B2510" s="130">
        <v>0</v>
      </c>
      <c r="C2510" s="131" t="s">
        <v>1093</v>
      </c>
      <c r="D2510" s="131">
        <v>16</v>
      </c>
      <c r="E2510" s="131" t="s">
        <v>1093</v>
      </c>
      <c r="F2510" s="767">
        <v>-0.03</v>
      </c>
      <c r="G2510" s="767">
        <v>0</v>
      </c>
      <c r="H2510" s="767">
        <v>-0.03</v>
      </c>
      <c r="I2510" s="768" t="s">
        <v>1736</v>
      </c>
    </row>
    <row r="2511" spans="1:9" x14ac:dyDescent="0.25">
      <c r="A2511" s="753">
        <v>601214</v>
      </c>
      <c r="B2511" s="130">
        <v>0</v>
      </c>
      <c r="C2511" s="131" t="s">
        <v>237</v>
      </c>
      <c r="D2511" s="131">
        <v>16</v>
      </c>
      <c r="E2511" s="131" t="s">
        <v>237</v>
      </c>
      <c r="F2511" s="767">
        <v>-222837.66</v>
      </c>
      <c r="G2511" s="767">
        <v>0</v>
      </c>
      <c r="H2511" s="767">
        <v>-222837.66</v>
      </c>
      <c r="I2511" s="768" t="s">
        <v>1737</v>
      </c>
    </row>
    <row r="2512" spans="1:9" x14ac:dyDescent="0.25">
      <c r="A2512" s="753">
        <v>601216</v>
      </c>
      <c r="B2512" s="130">
        <v>0</v>
      </c>
      <c r="C2512" s="131" t="s">
        <v>237</v>
      </c>
      <c r="D2512" s="131">
        <v>16</v>
      </c>
      <c r="E2512" s="131" t="s">
        <v>237</v>
      </c>
      <c r="F2512" s="767">
        <v>-222837.66</v>
      </c>
      <c r="G2512" s="767">
        <v>0</v>
      </c>
      <c r="H2512" s="767">
        <v>-222837.66</v>
      </c>
      <c r="I2512" s="768" t="s">
        <v>1737</v>
      </c>
    </row>
    <row r="2513" spans="1:9" x14ac:dyDescent="0.25">
      <c r="A2513" s="753"/>
      <c r="C2513" s="131" t="s">
        <v>1094</v>
      </c>
      <c r="D2513" s="131">
        <v>16</v>
      </c>
      <c r="E2513" s="131" t="s">
        <v>1094</v>
      </c>
      <c r="F2513" s="767">
        <v>208571.21</v>
      </c>
      <c r="G2513" s="767">
        <v>0</v>
      </c>
      <c r="H2513" s="767">
        <v>208571.21</v>
      </c>
      <c r="I2513" s="768" t="s">
        <v>1738</v>
      </c>
    </row>
    <row r="2514" spans="1:9" x14ac:dyDescent="0.25">
      <c r="A2514" s="753">
        <v>601218</v>
      </c>
      <c r="B2514" s="130">
        <v>0</v>
      </c>
      <c r="E2514" s="131"/>
    </row>
    <row r="2515" spans="1:9" x14ac:dyDescent="0.25">
      <c r="A2515" s="753">
        <v>601222</v>
      </c>
      <c r="B2515" s="130">
        <v>3</v>
      </c>
      <c r="C2515" s="131" t="s">
        <v>1093</v>
      </c>
      <c r="D2515" s="131">
        <v>16</v>
      </c>
      <c r="E2515" s="131" t="s">
        <v>1093</v>
      </c>
      <c r="F2515" s="767">
        <v>-0.03</v>
      </c>
      <c r="G2515" s="767">
        <v>0</v>
      </c>
      <c r="H2515" s="767">
        <v>-0.03</v>
      </c>
      <c r="I2515" s="768" t="s">
        <v>1736</v>
      </c>
    </row>
    <row r="2516" spans="1:9" x14ac:dyDescent="0.25">
      <c r="A2516" s="753">
        <v>601224</v>
      </c>
      <c r="B2516" s="130">
        <v>222838</v>
      </c>
      <c r="C2516" s="131" t="s">
        <v>237</v>
      </c>
      <c r="D2516" s="131">
        <v>16</v>
      </c>
      <c r="E2516" s="131" t="s">
        <v>237</v>
      </c>
      <c r="F2516" s="767">
        <v>-222837.66</v>
      </c>
      <c r="G2516" s="767">
        <v>0</v>
      </c>
      <c r="H2516" s="767">
        <v>-222837.66</v>
      </c>
      <c r="I2516" s="768" t="s">
        <v>1737</v>
      </c>
    </row>
    <row r="2517" spans="1:9" x14ac:dyDescent="0.25">
      <c r="A2517" s="753">
        <v>601226</v>
      </c>
      <c r="B2517" s="130">
        <v>14267</v>
      </c>
      <c r="C2517" s="131" t="s">
        <v>237</v>
      </c>
      <c r="D2517" s="131">
        <v>16</v>
      </c>
      <c r="E2517" s="131" t="s">
        <v>237</v>
      </c>
      <c r="F2517" s="767">
        <v>-222837.66</v>
      </c>
      <c r="G2517" s="767">
        <v>0</v>
      </c>
      <c r="H2517" s="767">
        <v>-222837.66</v>
      </c>
      <c r="I2517" s="768" t="s">
        <v>1737</v>
      </c>
    </row>
    <row r="2518" spans="1:9" x14ac:dyDescent="0.25">
      <c r="A2518" s="753"/>
      <c r="C2518" s="131" t="s">
        <v>1094</v>
      </c>
      <c r="D2518" s="131">
        <v>16</v>
      </c>
      <c r="E2518" s="131" t="s">
        <v>1094</v>
      </c>
      <c r="F2518" s="767">
        <v>208571.21</v>
      </c>
      <c r="G2518" s="767">
        <v>0</v>
      </c>
      <c r="H2518" s="767">
        <v>208571.21</v>
      </c>
      <c r="I2518" s="768" t="s">
        <v>1738</v>
      </c>
    </row>
    <row r="2519" spans="1:9" x14ac:dyDescent="0.25">
      <c r="A2519" s="753">
        <v>601228</v>
      </c>
      <c r="B2519" s="130">
        <v>4756</v>
      </c>
      <c r="E2519" s="131"/>
    </row>
    <row r="2520" spans="1:9" x14ac:dyDescent="0.25">
      <c r="A2520" s="753">
        <v>601312</v>
      </c>
      <c r="B2520" s="130">
        <v>0</v>
      </c>
      <c r="C2520" s="131" t="s">
        <v>1739</v>
      </c>
      <c r="D2520" s="131">
        <v>16</v>
      </c>
      <c r="E2520" s="131" t="s">
        <v>1739</v>
      </c>
      <c r="F2520" s="767">
        <v>-0.02</v>
      </c>
      <c r="G2520" s="767">
        <v>0</v>
      </c>
      <c r="H2520" s="767">
        <v>-0.02</v>
      </c>
      <c r="I2520" s="768" t="s">
        <v>1740</v>
      </c>
    </row>
    <row r="2521" spans="1:9" x14ac:dyDescent="0.25">
      <c r="A2521" s="753">
        <v>601314</v>
      </c>
      <c r="B2521" s="130">
        <v>0</v>
      </c>
      <c r="C2521" s="131" t="s">
        <v>258</v>
      </c>
      <c r="D2521" s="131">
        <v>16</v>
      </c>
      <c r="E2521" s="131" t="s">
        <v>258</v>
      </c>
      <c r="F2521" s="767">
        <v>-180770</v>
      </c>
      <c r="G2521" s="767">
        <v>0</v>
      </c>
      <c r="H2521" s="767">
        <v>-180770</v>
      </c>
      <c r="I2521" s="768" t="s">
        <v>1741</v>
      </c>
    </row>
    <row r="2522" spans="1:9" x14ac:dyDescent="0.25">
      <c r="A2522" s="753">
        <v>601316</v>
      </c>
      <c r="B2522" s="130">
        <v>0</v>
      </c>
      <c r="C2522" s="131" t="s">
        <v>258</v>
      </c>
      <c r="D2522" s="131">
        <v>16</v>
      </c>
      <c r="E2522" s="131" t="s">
        <v>258</v>
      </c>
      <c r="F2522" s="767">
        <v>-180770</v>
      </c>
      <c r="G2522" s="767">
        <v>0</v>
      </c>
      <c r="H2522" s="767">
        <v>-180770</v>
      </c>
      <c r="I2522" s="768" t="s">
        <v>1741</v>
      </c>
    </row>
    <row r="2523" spans="1:9" x14ac:dyDescent="0.25">
      <c r="A2523" s="753"/>
      <c r="C2523" s="131" t="s">
        <v>1742</v>
      </c>
      <c r="D2523" s="131">
        <v>16</v>
      </c>
      <c r="E2523" s="131" t="s">
        <v>1742</v>
      </c>
      <c r="F2523" s="767">
        <v>168281.09</v>
      </c>
      <c r="G2523" s="767">
        <v>0</v>
      </c>
      <c r="H2523" s="767">
        <v>168281.09</v>
      </c>
      <c r="I2523" s="768" t="s">
        <v>1743</v>
      </c>
    </row>
    <row r="2524" spans="1:9" x14ac:dyDescent="0.25">
      <c r="A2524" s="753">
        <v>601318</v>
      </c>
      <c r="B2524" s="130">
        <v>0</v>
      </c>
      <c r="E2524" s="131"/>
    </row>
    <row r="2525" spans="1:9" x14ac:dyDescent="0.25">
      <c r="A2525" s="753">
        <v>601322</v>
      </c>
      <c r="B2525" s="130">
        <v>2</v>
      </c>
      <c r="C2525" s="131" t="s">
        <v>1739</v>
      </c>
      <c r="D2525" s="131">
        <v>16</v>
      </c>
      <c r="E2525" s="131" t="s">
        <v>1739</v>
      </c>
      <c r="F2525" s="767">
        <v>-0.02</v>
      </c>
      <c r="G2525" s="767">
        <v>0</v>
      </c>
      <c r="H2525" s="767">
        <v>-0.02</v>
      </c>
      <c r="I2525" s="768" t="s">
        <v>1740</v>
      </c>
    </row>
    <row r="2526" spans="1:9" x14ac:dyDescent="0.25">
      <c r="A2526" s="753">
        <v>601324</v>
      </c>
      <c r="B2526" s="130">
        <v>180770</v>
      </c>
      <c r="C2526" s="131" t="s">
        <v>258</v>
      </c>
      <c r="D2526" s="131">
        <v>16</v>
      </c>
      <c r="E2526" s="131" t="s">
        <v>258</v>
      </c>
      <c r="F2526" s="767">
        <v>-180770</v>
      </c>
      <c r="G2526" s="767">
        <v>0</v>
      </c>
      <c r="H2526" s="767">
        <v>-180770</v>
      </c>
      <c r="I2526" s="768" t="s">
        <v>1741</v>
      </c>
    </row>
    <row r="2527" spans="1:9" x14ac:dyDescent="0.25">
      <c r="A2527" s="753">
        <v>601326</v>
      </c>
      <c r="B2527" s="130">
        <v>12489</v>
      </c>
      <c r="C2527" s="131" t="s">
        <v>258</v>
      </c>
      <c r="D2527" s="131">
        <v>16</v>
      </c>
      <c r="E2527" s="131" t="s">
        <v>258</v>
      </c>
      <c r="F2527" s="767">
        <v>-180770</v>
      </c>
      <c r="G2527" s="767">
        <v>0</v>
      </c>
      <c r="H2527" s="767">
        <v>-180770</v>
      </c>
      <c r="I2527" s="768" t="s">
        <v>1741</v>
      </c>
    </row>
    <row r="2528" spans="1:9" x14ac:dyDescent="0.25">
      <c r="A2528" s="753"/>
      <c r="C2528" s="131" t="s">
        <v>1742</v>
      </c>
      <c r="D2528" s="131">
        <v>16</v>
      </c>
      <c r="E2528" s="131" t="s">
        <v>1742</v>
      </c>
      <c r="F2528" s="767">
        <v>168281.09</v>
      </c>
      <c r="G2528" s="767">
        <v>0</v>
      </c>
      <c r="H2528" s="767">
        <v>168281.09</v>
      </c>
      <c r="I2528" s="768" t="s">
        <v>1743</v>
      </c>
    </row>
    <row r="2529" spans="1:9" x14ac:dyDescent="0.25">
      <c r="A2529" s="753">
        <v>601328</v>
      </c>
      <c r="B2529" s="130">
        <v>6245</v>
      </c>
      <c r="E2529" s="131"/>
    </row>
    <row r="2530" spans="1:9" x14ac:dyDescent="0.25">
      <c r="A2530" s="753">
        <v>601412</v>
      </c>
      <c r="B2530" s="130">
        <v>0</v>
      </c>
      <c r="E2530" s="131"/>
    </row>
    <row r="2531" spans="1:9" x14ac:dyDescent="0.25">
      <c r="A2531" s="753">
        <v>601414</v>
      </c>
      <c r="B2531" s="130">
        <v>0</v>
      </c>
      <c r="E2531" s="131"/>
    </row>
    <row r="2532" spans="1:9" x14ac:dyDescent="0.25">
      <c r="A2532" s="753">
        <v>601416</v>
      </c>
      <c r="B2532" s="130">
        <v>0</v>
      </c>
      <c r="E2532" s="131"/>
    </row>
    <row r="2533" spans="1:9" x14ac:dyDescent="0.25">
      <c r="A2533" s="753">
        <v>601418</v>
      </c>
      <c r="B2533" s="130">
        <v>0</v>
      </c>
      <c r="E2533" s="131"/>
    </row>
    <row r="2534" spans="1:9" x14ac:dyDescent="0.25">
      <c r="A2534" s="753">
        <v>601422</v>
      </c>
      <c r="B2534" s="130">
        <v>0</v>
      </c>
      <c r="E2534" s="131"/>
    </row>
    <row r="2535" spans="1:9" x14ac:dyDescent="0.25">
      <c r="A2535" s="753">
        <v>601424</v>
      </c>
      <c r="B2535" s="130">
        <v>0</v>
      </c>
      <c r="E2535" s="131"/>
    </row>
    <row r="2536" spans="1:9" x14ac:dyDescent="0.25">
      <c r="A2536" s="753">
        <v>601426</v>
      </c>
      <c r="B2536" s="130">
        <v>0</v>
      </c>
      <c r="E2536" s="131"/>
    </row>
    <row r="2537" spans="1:9" x14ac:dyDescent="0.25">
      <c r="A2537" s="753">
        <v>601428</v>
      </c>
      <c r="B2537" s="130">
        <v>0</v>
      </c>
      <c r="E2537" s="131"/>
    </row>
    <row r="2538" spans="1:9" x14ac:dyDescent="0.25">
      <c r="A2538" s="753">
        <v>601512</v>
      </c>
      <c r="B2538" s="130">
        <v>0</v>
      </c>
      <c r="E2538" s="131"/>
    </row>
    <row r="2539" spans="1:9" x14ac:dyDescent="0.25">
      <c r="A2539" s="753">
        <v>601514</v>
      </c>
      <c r="B2539" s="130">
        <v>0</v>
      </c>
      <c r="E2539" s="131"/>
    </row>
    <row r="2540" spans="1:9" x14ac:dyDescent="0.25">
      <c r="A2540" s="753">
        <v>601516</v>
      </c>
      <c r="B2540" s="130">
        <v>0</v>
      </c>
      <c r="C2540" s="131" t="s">
        <v>237</v>
      </c>
      <c r="D2540" s="131">
        <v>16</v>
      </c>
      <c r="E2540" s="131" t="s">
        <v>237</v>
      </c>
      <c r="F2540" s="767">
        <v>-222837.66</v>
      </c>
      <c r="G2540" s="767">
        <v>0</v>
      </c>
      <c r="H2540" s="767">
        <v>-222837.66</v>
      </c>
      <c r="I2540" s="768" t="s">
        <v>1737</v>
      </c>
    </row>
    <row r="2541" spans="1:9" x14ac:dyDescent="0.25">
      <c r="A2541" s="753"/>
      <c r="C2541" s="131" t="s">
        <v>1094</v>
      </c>
      <c r="D2541" s="131">
        <v>16</v>
      </c>
      <c r="E2541" s="131" t="s">
        <v>1094</v>
      </c>
      <c r="F2541" s="767">
        <v>208571.21</v>
      </c>
      <c r="G2541" s="767">
        <v>0</v>
      </c>
      <c r="H2541" s="767">
        <v>208571.21</v>
      </c>
      <c r="I2541" s="768" t="s">
        <v>1738</v>
      </c>
    </row>
    <row r="2542" spans="1:9" x14ac:dyDescent="0.25">
      <c r="A2542" s="753"/>
      <c r="C2542" s="131" t="s">
        <v>258</v>
      </c>
      <c r="D2542" s="131">
        <v>16</v>
      </c>
      <c r="E2542" s="131" t="s">
        <v>258</v>
      </c>
      <c r="F2542" s="767">
        <v>-180770</v>
      </c>
      <c r="G2542" s="767">
        <v>0</v>
      </c>
      <c r="H2542" s="767">
        <v>-180770</v>
      </c>
      <c r="I2542" s="768" t="s">
        <v>1741</v>
      </c>
    </row>
    <row r="2543" spans="1:9" x14ac:dyDescent="0.25">
      <c r="A2543" s="753"/>
      <c r="C2543" s="131" t="s">
        <v>1742</v>
      </c>
      <c r="D2543" s="131">
        <v>16</v>
      </c>
      <c r="E2543" s="131" t="s">
        <v>1742</v>
      </c>
      <c r="F2543" s="767">
        <v>168281.09</v>
      </c>
      <c r="G2543" s="767">
        <v>0</v>
      </c>
      <c r="H2543" s="767">
        <v>168281.09</v>
      </c>
      <c r="I2543" s="768" t="s">
        <v>1743</v>
      </c>
    </row>
    <row r="2544" spans="1:9" x14ac:dyDescent="0.25">
      <c r="A2544" s="753">
        <v>601518</v>
      </c>
      <c r="B2544" s="130">
        <v>0</v>
      </c>
      <c r="E2544" s="131"/>
    </row>
    <row r="2545" spans="1:9" x14ac:dyDescent="0.25">
      <c r="A2545" s="753">
        <v>601522</v>
      </c>
      <c r="B2545" s="130">
        <v>5</v>
      </c>
      <c r="E2545" s="131"/>
    </row>
    <row r="2546" spans="1:9" x14ac:dyDescent="0.25">
      <c r="A2546" s="753">
        <v>601524</v>
      </c>
      <c r="B2546" s="130">
        <v>403608</v>
      </c>
      <c r="E2546" s="131"/>
    </row>
    <row r="2547" spans="1:9" x14ac:dyDescent="0.25">
      <c r="A2547" s="753">
        <v>601526</v>
      </c>
      <c r="B2547" s="130">
        <v>26756</v>
      </c>
      <c r="C2547" s="131" t="s">
        <v>237</v>
      </c>
      <c r="D2547" s="131">
        <v>16</v>
      </c>
      <c r="E2547" s="131" t="s">
        <v>237</v>
      </c>
      <c r="F2547" s="767">
        <v>-222837.66</v>
      </c>
      <c r="G2547" s="767">
        <v>0</v>
      </c>
      <c r="H2547" s="767">
        <v>-222837.66</v>
      </c>
      <c r="I2547" s="768" t="s">
        <v>1737</v>
      </c>
    </row>
    <row r="2548" spans="1:9" x14ac:dyDescent="0.25">
      <c r="A2548" s="753"/>
      <c r="C2548" s="131" t="s">
        <v>1094</v>
      </c>
      <c r="D2548" s="131">
        <v>16</v>
      </c>
      <c r="E2548" s="131" t="s">
        <v>1094</v>
      </c>
      <c r="F2548" s="767">
        <v>208571.21</v>
      </c>
      <c r="G2548" s="767">
        <v>0</v>
      </c>
      <c r="H2548" s="767">
        <v>208571.21</v>
      </c>
      <c r="I2548" s="768" t="s">
        <v>1738</v>
      </c>
    </row>
    <row r="2549" spans="1:9" x14ac:dyDescent="0.25">
      <c r="A2549" s="753"/>
      <c r="C2549" s="131" t="s">
        <v>258</v>
      </c>
      <c r="D2549" s="131">
        <v>16</v>
      </c>
      <c r="E2549" s="131" t="s">
        <v>258</v>
      </c>
      <c r="F2549" s="767">
        <v>-180770</v>
      </c>
      <c r="G2549" s="767">
        <v>0</v>
      </c>
      <c r="H2549" s="767">
        <v>-180770</v>
      </c>
      <c r="I2549" s="768" t="s">
        <v>1741</v>
      </c>
    </row>
    <row r="2550" spans="1:9" x14ac:dyDescent="0.25">
      <c r="A2550" s="753"/>
      <c r="C2550" s="131" t="s">
        <v>1742</v>
      </c>
      <c r="D2550" s="131">
        <v>16</v>
      </c>
      <c r="E2550" s="131" t="s">
        <v>1742</v>
      </c>
      <c r="F2550" s="767">
        <v>168281.09</v>
      </c>
      <c r="G2550" s="767">
        <v>0</v>
      </c>
      <c r="H2550" s="767">
        <v>168281.09</v>
      </c>
      <c r="I2550" s="768" t="s">
        <v>1743</v>
      </c>
    </row>
    <row r="2551" spans="1:9" x14ac:dyDescent="0.25">
      <c r="A2551" s="753">
        <v>601528</v>
      </c>
      <c r="B2551" s="130">
        <v>5351</v>
      </c>
      <c r="E2551" s="131"/>
    </row>
    <row r="2552" spans="1:9" x14ac:dyDescent="0.25">
      <c r="A2552" s="753">
        <v>601612</v>
      </c>
      <c r="B2552" s="130">
        <v>1</v>
      </c>
      <c r="C2552" s="131" t="s">
        <v>1109</v>
      </c>
      <c r="D2552" s="131">
        <v>16</v>
      </c>
      <c r="E2552" s="131" t="s">
        <v>1109</v>
      </c>
      <c r="F2552" s="767">
        <v>-7.0000000000000007E-2</v>
      </c>
      <c r="G2552" s="767">
        <v>-0.01</v>
      </c>
      <c r="H2552" s="767">
        <v>-0.08</v>
      </c>
      <c r="I2552" s="768" t="s">
        <v>1744</v>
      </c>
    </row>
    <row r="2553" spans="1:9" x14ac:dyDescent="0.25">
      <c r="A2553" s="753">
        <v>601614</v>
      </c>
      <c r="B2553" s="130">
        <v>106774</v>
      </c>
      <c r="C2553" s="131" t="s">
        <v>105</v>
      </c>
      <c r="D2553" s="131">
        <v>16</v>
      </c>
      <c r="E2553" s="131" t="s">
        <v>105</v>
      </c>
      <c r="F2553" s="767">
        <v>-751239.23</v>
      </c>
      <c r="G2553" s="767">
        <v>-106773.5</v>
      </c>
      <c r="H2553" s="767">
        <v>-858012.73</v>
      </c>
      <c r="I2553" s="768" t="s">
        <v>1745</v>
      </c>
    </row>
    <row r="2554" spans="1:9" x14ac:dyDescent="0.25">
      <c r="A2554" s="753">
        <v>601616</v>
      </c>
      <c r="B2554" s="130">
        <v>3799</v>
      </c>
      <c r="C2554" s="131" t="s">
        <v>105</v>
      </c>
      <c r="D2554" s="131">
        <v>16</v>
      </c>
      <c r="E2554" s="131" t="s">
        <v>105</v>
      </c>
      <c r="F2554" s="767">
        <v>-751239.23</v>
      </c>
      <c r="G2554" s="767">
        <v>-106773.5</v>
      </c>
      <c r="H2554" s="767">
        <v>-858012.73</v>
      </c>
      <c r="I2554" s="768" t="s">
        <v>1745</v>
      </c>
    </row>
    <row r="2555" spans="1:9" x14ac:dyDescent="0.25">
      <c r="A2555" s="753"/>
      <c r="C2555" s="131" t="s">
        <v>1110</v>
      </c>
      <c r="D2555" s="131">
        <v>16</v>
      </c>
      <c r="E2555" s="131" t="s">
        <v>1110</v>
      </c>
      <c r="F2555" s="767">
        <v>714996.42</v>
      </c>
      <c r="G2555" s="767">
        <v>102975</v>
      </c>
      <c r="H2555" s="767">
        <v>817971.42</v>
      </c>
      <c r="I2555" s="768" t="s">
        <v>1746</v>
      </c>
    </row>
    <row r="2556" spans="1:9" x14ac:dyDescent="0.25">
      <c r="A2556" s="753">
        <v>601618</v>
      </c>
      <c r="B2556" s="130">
        <v>3799</v>
      </c>
      <c r="E2556" s="131"/>
    </row>
    <row r="2557" spans="1:9" x14ac:dyDescent="0.25">
      <c r="A2557" s="753">
        <v>601622</v>
      </c>
      <c r="B2557" s="130">
        <v>8</v>
      </c>
      <c r="C2557" s="131" t="s">
        <v>1109</v>
      </c>
      <c r="D2557" s="131">
        <v>16</v>
      </c>
      <c r="E2557" s="131" t="s">
        <v>1109</v>
      </c>
      <c r="F2557" s="767">
        <v>-7.0000000000000007E-2</v>
      </c>
      <c r="G2557" s="767">
        <v>-0.01</v>
      </c>
      <c r="H2557" s="767">
        <v>-0.08</v>
      </c>
      <c r="I2557" s="768" t="s">
        <v>1744</v>
      </c>
    </row>
    <row r="2558" spans="1:9" x14ac:dyDescent="0.25">
      <c r="A2558" s="753">
        <v>601624</v>
      </c>
      <c r="B2558" s="130">
        <v>858013</v>
      </c>
      <c r="C2558" s="131" t="s">
        <v>105</v>
      </c>
      <c r="D2558" s="131">
        <v>16</v>
      </c>
      <c r="E2558" s="131" t="s">
        <v>105</v>
      </c>
      <c r="F2558" s="767">
        <v>-751239.23</v>
      </c>
      <c r="G2558" s="767">
        <v>-106773.5</v>
      </c>
      <c r="H2558" s="767">
        <v>-858012.73</v>
      </c>
      <c r="I2558" s="768" t="s">
        <v>1745</v>
      </c>
    </row>
    <row r="2559" spans="1:9" x14ac:dyDescent="0.25">
      <c r="A2559" s="753">
        <v>601626</v>
      </c>
      <c r="B2559" s="130">
        <v>40042</v>
      </c>
      <c r="C2559" s="131" t="s">
        <v>105</v>
      </c>
      <c r="D2559" s="131">
        <v>16</v>
      </c>
      <c r="E2559" s="131" t="s">
        <v>105</v>
      </c>
      <c r="F2559" s="767">
        <v>-751239.23</v>
      </c>
      <c r="G2559" s="767">
        <v>-106773.5</v>
      </c>
      <c r="H2559" s="767">
        <v>-858012.73</v>
      </c>
      <c r="I2559" s="768" t="s">
        <v>1745</v>
      </c>
    </row>
    <row r="2560" spans="1:9" x14ac:dyDescent="0.25">
      <c r="A2560" s="753"/>
      <c r="C2560" s="131" t="s">
        <v>1110</v>
      </c>
      <c r="D2560" s="131">
        <v>16</v>
      </c>
      <c r="E2560" s="131" t="s">
        <v>1110</v>
      </c>
      <c r="F2560" s="767">
        <v>714996.42</v>
      </c>
      <c r="G2560" s="767">
        <v>102975</v>
      </c>
      <c r="H2560" s="767">
        <v>817971.42</v>
      </c>
      <c r="I2560" s="768" t="s">
        <v>1746</v>
      </c>
    </row>
    <row r="2561" spans="1:5" x14ac:dyDescent="0.25">
      <c r="A2561" s="753">
        <v>601628</v>
      </c>
      <c r="B2561" s="130">
        <v>5005</v>
      </c>
      <c r="E2561" s="131"/>
    </row>
    <row r="2562" spans="1:5" x14ac:dyDescent="0.25">
      <c r="A2562" s="753">
        <v>601712</v>
      </c>
      <c r="B2562" s="130">
        <v>0</v>
      </c>
      <c r="E2562" s="131"/>
    </row>
    <row r="2563" spans="1:5" x14ac:dyDescent="0.25">
      <c r="A2563" s="753">
        <v>601714</v>
      </c>
      <c r="B2563" s="130">
        <v>0</v>
      </c>
      <c r="E2563" s="131"/>
    </row>
    <row r="2564" spans="1:5" x14ac:dyDescent="0.25">
      <c r="A2564" s="753">
        <v>601716</v>
      </c>
      <c r="B2564" s="130">
        <v>0</v>
      </c>
      <c r="E2564" s="131"/>
    </row>
    <row r="2565" spans="1:5" x14ac:dyDescent="0.25">
      <c r="A2565" s="753">
        <v>601718</v>
      </c>
      <c r="B2565" s="130">
        <v>0</v>
      </c>
      <c r="E2565" s="131"/>
    </row>
    <row r="2566" spans="1:5" x14ac:dyDescent="0.25">
      <c r="A2566" s="753">
        <v>601722</v>
      </c>
      <c r="B2566" s="130">
        <v>0</v>
      </c>
      <c r="E2566" s="131"/>
    </row>
    <row r="2567" spans="1:5" x14ac:dyDescent="0.25">
      <c r="A2567" s="753">
        <v>601724</v>
      </c>
      <c r="B2567" s="130">
        <v>0</v>
      </c>
      <c r="E2567" s="131"/>
    </row>
    <row r="2568" spans="1:5" x14ac:dyDescent="0.25">
      <c r="A2568" s="753">
        <v>601726</v>
      </c>
      <c r="B2568" s="130">
        <v>0</v>
      </c>
      <c r="E2568" s="131"/>
    </row>
    <row r="2569" spans="1:5" x14ac:dyDescent="0.25">
      <c r="A2569" s="753">
        <v>601728</v>
      </c>
      <c r="B2569" s="130">
        <v>0</v>
      </c>
      <c r="E2569" s="131"/>
    </row>
    <row r="2570" spans="1:5" x14ac:dyDescent="0.25">
      <c r="A2570" s="753">
        <v>601812</v>
      </c>
      <c r="B2570" s="130">
        <v>0</v>
      </c>
      <c r="E2570" s="131"/>
    </row>
    <row r="2571" spans="1:5" x14ac:dyDescent="0.25">
      <c r="A2571" s="753">
        <v>601814</v>
      </c>
      <c r="B2571" s="130">
        <v>0</v>
      </c>
      <c r="E2571" s="131"/>
    </row>
    <row r="2572" spans="1:5" x14ac:dyDescent="0.25">
      <c r="A2572" s="753">
        <v>601816</v>
      </c>
      <c r="B2572" s="130">
        <v>0</v>
      </c>
      <c r="E2572" s="131"/>
    </row>
    <row r="2573" spans="1:5" x14ac:dyDescent="0.25">
      <c r="A2573" s="753">
        <v>601818</v>
      </c>
      <c r="B2573" s="130">
        <v>0</v>
      </c>
      <c r="E2573" s="131"/>
    </row>
    <row r="2574" spans="1:5" x14ac:dyDescent="0.25">
      <c r="A2574" s="753">
        <v>601822</v>
      </c>
      <c r="B2574" s="130">
        <v>0</v>
      </c>
      <c r="E2574" s="131"/>
    </row>
    <row r="2575" spans="1:5" x14ac:dyDescent="0.25">
      <c r="A2575" s="753">
        <v>601824</v>
      </c>
      <c r="B2575" s="130">
        <v>0</v>
      </c>
      <c r="E2575" s="131"/>
    </row>
    <row r="2576" spans="1:5" x14ac:dyDescent="0.25">
      <c r="A2576" s="753">
        <v>601826</v>
      </c>
      <c r="B2576" s="130">
        <v>0</v>
      </c>
      <c r="E2576" s="131"/>
    </row>
    <row r="2577" spans="1:9" x14ac:dyDescent="0.25">
      <c r="A2577" s="753">
        <v>601828</v>
      </c>
      <c r="B2577" s="130">
        <v>0</v>
      </c>
      <c r="E2577" s="131"/>
    </row>
    <row r="2578" spans="1:9" x14ac:dyDescent="0.25">
      <c r="A2578" s="753">
        <v>601912</v>
      </c>
      <c r="B2578" s="130">
        <v>0</v>
      </c>
      <c r="C2578" s="131" t="s">
        <v>1111</v>
      </c>
      <c r="D2578" s="131">
        <v>16</v>
      </c>
      <c r="E2578" s="131" t="s">
        <v>1111</v>
      </c>
      <c r="F2578" s="767">
        <v>-0.09</v>
      </c>
      <c r="G2578" s="767">
        <v>0</v>
      </c>
      <c r="H2578" s="767">
        <v>-0.09</v>
      </c>
      <c r="I2578" s="768" t="s">
        <v>1747</v>
      </c>
    </row>
    <row r="2579" spans="1:9" x14ac:dyDescent="0.25">
      <c r="A2579" s="753">
        <v>601914</v>
      </c>
      <c r="B2579" s="130">
        <v>0</v>
      </c>
      <c r="C2579" s="131" t="s">
        <v>401</v>
      </c>
      <c r="D2579" s="131">
        <v>16</v>
      </c>
      <c r="E2579" s="131" t="s">
        <v>401</v>
      </c>
      <c r="F2579" s="767">
        <v>-976653.2</v>
      </c>
      <c r="G2579" s="767">
        <v>0</v>
      </c>
      <c r="H2579" s="767">
        <v>-976653.2</v>
      </c>
      <c r="I2579" s="768" t="s">
        <v>1748</v>
      </c>
    </row>
    <row r="2580" spans="1:9" x14ac:dyDescent="0.25">
      <c r="A2580" s="753">
        <v>601916</v>
      </c>
      <c r="B2580" s="130">
        <v>0</v>
      </c>
      <c r="C2580" s="131" t="s">
        <v>401</v>
      </c>
      <c r="D2580" s="131">
        <v>16</v>
      </c>
      <c r="E2580" s="131" t="s">
        <v>401</v>
      </c>
      <c r="F2580" s="767">
        <v>-976653.2</v>
      </c>
      <c r="G2580" s="767">
        <v>0</v>
      </c>
      <c r="H2580" s="767">
        <v>-976653.2</v>
      </c>
      <c r="I2580" s="768" t="s">
        <v>1748</v>
      </c>
    </row>
    <row r="2581" spans="1:9" x14ac:dyDescent="0.25">
      <c r="A2581" s="753"/>
      <c r="C2581" s="131" t="s">
        <v>1112</v>
      </c>
      <c r="D2581" s="131">
        <v>16</v>
      </c>
      <c r="E2581" s="131" t="s">
        <v>1112</v>
      </c>
      <c r="F2581" s="767">
        <v>912448.95</v>
      </c>
      <c r="G2581" s="767">
        <v>0</v>
      </c>
      <c r="H2581" s="767">
        <v>912448.95</v>
      </c>
      <c r="I2581" s="768" t="s">
        <v>1749</v>
      </c>
    </row>
    <row r="2582" spans="1:9" x14ac:dyDescent="0.25">
      <c r="A2582" s="753">
        <v>601918</v>
      </c>
      <c r="B2582" s="130">
        <v>0</v>
      </c>
      <c r="E2582" s="131"/>
    </row>
    <row r="2583" spans="1:9" x14ac:dyDescent="0.25">
      <c r="A2583" s="753">
        <v>601922</v>
      </c>
      <c r="B2583" s="130">
        <v>9</v>
      </c>
      <c r="C2583" s="131" t="s">
        <v>1111</v>
      </c>
      <c r="D2583" s="131">
        <v>16</v>
      </c>
      <c r="E2583" s="131" t="s">
        <v>1111</v>
      </c>
      <c r="F2583" s="767">
        <v>-0.09</v>
      </c>
      <c r="G2583" s="767">
        <v>0</v>
      </c>
      <c r="H2583" s="767">
        <v>-0.09</v>
      </c>
      <c r="I2583" s="768" t="s">
        <v>1747</v>
      </c>
    </row>
    <row r="2584" spans="1:9" x14ac:dyDescent="0.25">
      <c r="A2584" s="753">
        <v>601924</v>
      </c>
      <c r="B2584" s="130">
        <v>976653</v>
      </c>
      <c r="C2584" s="131" t="s">
        <v>401</v>
      </c>
      <c r="D2584" s="131">
        <v>16</v>
      </c>
      <c r="E2584" s="131" t="s">
        <v>401</v>
      </c>
      <c r="F2584" s="767">
        <v>-976653.2</v>
      </c>
      <c r="G2584" s="767">
        <v>0</v>
      </c>
      <c r="H2584" s="767">
        <v>-976653.2</v>
      </c>
      <c r="I2584" s="768" t="s">
        <v>1748</v>
      </c>
    </row>
    <row r="2585" spans="1:9" x14ac:dyDescent="0.25">
      <c r="A2585" s="753">
        <v>601926</v>
      </c>
      <c r="B2585" s="130">
        <v>64204</v>
      </c>
      <c r="C2585" s="131" t="s">
        <v>401</v>
      </c>
      <c r="D2585" s="131">
        <v>16</v>
      </c>
      <c r="E2585" s="131" t="s">
        <v>401</v>
      </c>
      <c r="F2585" s="767">
        <v>-976653.2</v>
      </c>
      <c r="G2585" s="767">
        <v>0</v>
      </c>
      <c r="H2585" s="767">
        <v>-976653.2</v>
      </c>
      <c r="I2585" s="768" t="s">
        <v>1748</v>
      </c>
    </row>
    <row r="2586" spans="1:9" x14ac:dyDescent="0.25">
      <c r="A2586" s="753"/>
      <c r="C2586" s="131" t="s">
        <v>1112</v>
      </c>
      <c r="D2586" s="131">
        <v>16</v>
      </c>
      <c r="E2586" s="131" t="s">
        <v>1112</v>
      </c>
      <c r="F2586" s="767">
        <v>912448.95</v>
      </c>
      <c r="G2586" s="767">
        <v>0</v>
      </c>
      <c r="H2586" s="767">
        <v>912448.95</v>
      </c>
      <c r="I2586" s="768" t="s">
        <v>1749</v>
      </c>
    </row>
    <row r="2587" spans="1:9" x14ac:dyDescent="0.25">
      <c r="A2587" s="753">
        <v>601928</v>
      </c>
      <c r="B2587" s="130">
        <v>7134</v>
      </c>
      <c r="E2587" s="131"/>
    </row>
    <row r="2588" spans="1:9" x14ac:dyDescent="0.25">
      <c r="A2588" s="753">
        <v>602012</v>
      </c>
      <c r="B2588" s="130">
        <v>0</v>
      </c>
      <c r="E2588" s="131"/>
    </row>
    <row r="2589" spans="1:9" x14ac:dyDescent="0.25">
      <c r="A2589" s="753">
        <v>602014</v>
      </c>
      <c r="B2589" s="130">
        <v>0</v>
      </c>
      <c r="E2589" s="131"/>
    </row>
    <row r="2590" spans="1:9" x14ac:dyDescent="0.25">
      <c r="A2590" s="753">
        <v>602016</v>
      </c>
      <c r="B2590" s="130">
        <v>0</v>
      </c>
      <c r="E2590" s="131"/>
    </row>
    <row r="2591" spans="1:9" x14ac:dyDescent="0.25">
      <c r="A2591" s="753">
        <v>602018</v>
      </c>
      <c r="B2591" s="130">
        <v>0</v>
      </c>
      <c r="E2591" s="131"/>
    </row>
    <row r="2592" spans="1:9" x14ac:dyDescent="0.25">
      <c r="A2592" s="753">
        <v>602022</v>
      </c>
      <c r="B2592" s="130">
        <v>0</v>
      </c>
      <c r="E2592" s="131"/>
    </row>
    <row r="2593" spans="1:9" x14ac:dyDescent="0.25">
      <c r="A2593" s="753">
        <v>602024</v>
      </c>
      <c r="B2593" s="130">
        <v>0</v>
      </c>
      <c r="E2593" s="131"/>
    </row>
    <row r="2594" spans="1:9" x14ac:dyDescent="0.25">
      <c r="A2594" s="753">
        <v>602026</v>
      </c>
      <c r="B2594" s="130">
        <v>0</v>
      </c>
      <c r="E2594" s="131"/>
    </row>
    <row r="2595" spans="1:9" x14ac:dyDescent="0.25">
      <c r="A2595" s="753">
        <v>602028</v>
      </c>
      <c r="B2595" s="130">
        <v>0</v>
      </c>
      <c r="E2595" s="131"/>
    </row>
    <row r="2596" spans="1:9" x14ac:dyDescent="0.25">
      <c r="A2596" s="753">
        <v>602112</v>
      </c>
      <c r="B2596" s="130">
        <v>0</v>
      </c>
      <c r="C2596" s="131" t="s">
        <v>1113</v>
      </c>
      <c r="D2596" s="131">
        <v>16</v>
      </c>
      <c r="E2596" s="131" t="s">
        <v>1113</v>
      </c>
      <c r="F2596" s="767">
        <v>-0.01</v>
      </c>
      <c r="G2596" s="767">
        <v>0</v>
      </c>
      <c r="H2596" s="767">
        <v>-0.01</v>
      </c>
      <c r="I2596" s="768" t="s">
        <v>1750</v>
      </c>
    </row>
    <row r="2597" spans="1:9" x14ac:dyDescent="0.25">
      <c r="A2597" s="753">
        <v>602114</v>
      </c>
      <c r="B2597" s="130">
        <v>0</v>
      </c>
      <c r="C2597" s="131">
        <v>447</v>
      </c>
      <c r="D2597" s="131">
        <v>16</v>
      </c>
      <c r="E2597" s="131">
        <v>447</v>
      </c>
      <c r="F2597" s="767">
        <v>-151506.5</v>
      </c>
      <c r="G2597" s="767">
        <v>0</v>
      </c>
      <c r="H2597" s="767">
        <v>-151506.5</v>
      </c>
      <c r="I2597" s="768" t="s">
        <v>1751</v>
      </c>
    </row>
    <row r="2598" spans="1:9" x14ac:dyDescent="0.25">
      <c r="A2598" s="753">
        <v>602116</v>
      </c>
      <c r="B2598" s="130">
        <v>0</v>
      </c>
      <c r="C2598" s="131">
        <v>447</v>
      </c>
      <c r="D2598" s="131">
        <v>16</v>
      </c>
      <c r="E2598" s="131">
        <v>447</v>
      </c>
      <c r="F2598" s="767">
        <v>-151506.5</v>
      </c>
      <c r="G2598" s="767">
        <v>0</v>
      </c>
      <c r="H2598" s="767">
        <v>-151506.5</v>
      </c>
      <c r="I2598" s="768" t="s">
        <v>1751</v>
      </c>
    </row>
    <row r="2599" spans="1:9" x14ac:dyDescent="0.25">
      <c r="A2599" s="753"/>
      <c r="C2599" s="131">
        <v>647</v>
      </c>
      <c r="D2599" s="131">
        <v>16</v>
      </c>
      <c r="E2599" s="131">
        <v>647</v>
      </c>
      <c r="F2599" s="767">
        <v>145006.09</v>
      </c>
      <c r="G2599" s="767">
        <v>0</v>
      </c>
      <c r="H2599" s="767">
        <v>145006.09</v>
      </c>
      <c r="I2599" s="768" t="s">
        <v>1752</v>
      </c>
    </row>
    <row r="2600" spans="1:9" x14ac:dyDescent="0.25">
      <c r="A2600" s="753">
        <v>602118</v>
      </c>
      <c r="B2600" s="130">
        <v>0</v>
      </c>
      <c r="E2600" s="131"/>
    </row>
    <row r="2601" spans="1:9" x14ac:dyDescent="0.25">
      <c r="A2601" s="753">
        <v>602122</v>
      </c>
      <c r="B2601" s="130">
        <v>1</v>
      </c>
      <c r="C2601" s="131" t="s">
        <v>1113</v>
      </c>
      <c r="D2601" s="131">
        <v>16</v>
      </c>
      <c r="E2601" s="131" t="s">
        <v>1113</v>
      </c>
      <c r="F2601" s="767">
        <v>-0.01</v>
      </c>
      <c r="G2601" s="767">
        <v>0</v>
      </c>
      <c r="H2601" s="767">
        <v>-0.01</v>
      </c>
      <c r="I2601" s="768" t="s">
        <v>1750</v>
      </c>
    </row>
    <row r="2602" spans="1:9" x14ac:dyDescent="0.25">
      <c r="A2602" s="753">
        <v>602124</v>
      </c>
      <c r="B2602" s="130">
        <v>151507</v>
      </c>
      <c r="C2602" s="131">
        <v>447</v>
      </c>
      <c r="D2602" s="131">
        <v>16</v>
      </c>
      <c r="E2602" s="131">
        <v>447</v>
      </c>
      <c r="F2602" s="767">
        <v>-151506.5</v>
      </c>
      <c r="G2602" s="767">
        <v>0</v>
      </c>
      <c r="H2602" s="767">
        <v>-151506.5</v>
      </c>
      <c r="I2602" s="768" t="s">
        <v>1751</v>
      </c>
    </row>
    <row r="2603" spans="1:9" x14ac:dyDescent="0.25">
      <c r="A2603" s="753">
        <v>602126</v>
      </c>
      <c r="B2603" s="130">
        <v>6501</v>
      </c>
      <c r="C2603" s="131">
        <v>447</v>
      </c>
      <c r="D2603" s="131">
        <v>16</v>
      </c>
      <c r="E2603" s="131">
        <v>447</v>
      </c>
      <c r="F2603" s="767">
        <v>-151506.5</v>
      </c>
      <c r="G2603" s="767">
        <v>0</v>
      </c>
      <c r="H2603" s="767">
        <v>-151506.5</v>
      </c>
      <c r="I2603" s="768" t="s">
        <v>1751</v>
      </c>
    </row>
    <row r="2604" spans="1:9" x14ac:dyDescent="0.25">
      <c r="A2604" s="753"/>
      <c r="C2604" s="131">
        <v>647</v>
      </c>
      <c r="D2604" s="131">
        <v>16</v>
      </c>
      <c r="E2604" s="131">
        <v>647</v>
      </c>
      <c r="F2604" s="767">
        <v>145006.09</v>
      </c>
      <c r="G2604" s="767">
        <v>0</v>
      </c>
      <c r="H2604" s="767">
        <v>145006.09</v>
      </c>
      <c r="I2604" s="768" t="s">
        <v>1752</v>
      </c>
    </row>
    <row r="2605" spans="1:9" x14ac:dyDescent="0.25">
      <c r="A2605" s="753">
        <v>602128</v>
      </c>
      <c r="B2605" s="130">
        <v>6501</v>
      </c>
      <c r="E2605" s="131"/>
    </row>
    <row r="2606" spans="1:9" x14ac:dyDescent="0.25">
      <c r="A2606" s="753">
        <v>602212</v>
      </c>
      <c r="B2606" s="130">
        <v>1</v>
      </c>
      <c r="E2606" s="131"/>
    </row>
    <row r="2607" spans="1:9" x14ac:dyDescent="0.25">
      <c r="A2607" s="753">
        <v>602214</v>
      </c>
      <c r="B2607" s="130">
        <v>106774</v>
      </c>
      <c r="E2607" s="131"/>
    </row>
    <row r="2608" spans="1:9" x14ac:dyDescent="0.25">
      <c r="A2608" s="753">
        <v>602216</v>
      </c>
      <c r="B2608" s="130">
        <v>3799</v>
      </c>
      <c r="C2608" s="131" t="s">
        <v>105</v>
      </c>
      <c r="D2608" s="131">
        <v>16</v>
      </c>
      <c r="E2608" s="131" t="s">
        <v>105</v>
      </c>
      <c r="F2608" s="767">
        <v>-751239.23</v>
      </c>
      <c r="G2608" s="767">
        <v>-106773.5</v>
      </c>
      <c r="H2608" s="767">
        <v>-858012.73</v>
      </c>
      <c r="I2608" s="768" t="s">
        <v>1745</v>
      </c>
    </row>
    <row r="2609" spans="1:9" x14ac:dyDescent="0.25">
      <c r="A2609" s="753"/>
      <c r="C2609" s="131" t="s">
        <v>1110</v>
      </c>
      <c r="D2609" s="131">
        <v>16</v>
      </c>
      <c r="E2609" s="131" t="s">
        <v>1110</v>
      </c>
      <c r="F2609" s="767">
        <v>714996.42</v>
      </c>
      <c r="G2609" s="767">
        <v>102975</v>
      </c>
      <c r="H2609" s="767">
        <v>817971.42</v>
      </c>
      <c r="I2609" s="768" t="s">
        <v>1746</v>
      </c>
    </row>
    <row r="2610" spans="1:9" x14ac:dyDescent="0.25">
      <c r="A2610" s="753"/>
      <c r="C2610" s="131" t="s">
        <v>401</v>
      </c>
      <c r="D2610" s="131">
        <v>16</v>
      </c>
      <c r="E2610" s="131" t="s">
        <v>401</v>
      </c>
      <c r="F2610" s="767">
        <v>-976653.2</v>
      </c>
      <c r="G2610" s="767">
        <v>0</v>
      </c>
      <c r="H2610" s="767">
        <v>-976653.2</v>
      </c>
      <c r="I2610" s="768" t="s">
        <v>1748</v>
      </c>
    </row>
    <row r="2611" spans="1:9" x14ac:dyDescent="0.25">
      <c r="A2611" s="753"/>
      <c r="C2611" s="131" t="s">
        <v>1112</v>
      </c>
      <c r="D2611" s="131">
        <v>16</v>
      </c>
      <c r="E2611" s="131" t="s">
        <v>1112</v>
      </c>
      <c r="F2611" s="767">
        <v>912448.95</v>
      </c>
      <c r="G2611" s="767">
        <v>0</v>
      </c>
      <c r="H2611" s="767">
        <v>912448.95</v>
      </c>
      <c r="I2611" s="768" t="s">
        <v>1749</v>
      </c>
    </row>
    <row r="2612" spans="1:9" x14ac:dyDescent="0.25">
      <c r="A2612" s="753"/>
      <c r="C2612" s="131">
        <v>447</v>
      </c>
      <c r="D2612" s="131">
        <v>16</v>
      </c>
      <c r="E2612" s="131">
        <v>447</v>
      </c>
      <c r="F2612" s="767">
        <v>-151506.5</v>
      </c>
      <c r="G2612" s="767">
        <v>0</v>
      </c>
      <c r="H2612" s="767">
        <v>-151506.5</v>
      </c>
      <c r="I2612" s="768" t="s">
        <v>1751</v>
      </c>
    </row>
    <row r="2613" spans="1:9" x14ac:dyDescent="0.25">
      <c r="A2613" s="753"/>
      <c r="C2613" s="131">
        <v>647</v>
      </c>
      <c r="D2613" s="131">
        <v>16</v>
      </c>
      <c r="E2613" s="131">
        <v>647</v>
      </c>
      <c r="F2613" s="767">
        <v>145006.09</v>
      </c>
      <c r="G2613" s="767">
        <v>0</v>
      </c>
      <c r="H2613" s="767">
        <v>145006.09</v>
      </c>
      <c r="I2613" s="768" t="s">
        <v>1752</v>
      </c>
    </row>
    <row r="2614" spans="1:9" x14ac:dyDescent="0.25">
      <c r="A2614" s="753">
        <v>602218</v>
      </c>
      <c r="B2614" s="130">
        <v>3799</v>
      </c>
      <c r="E2614" s="131"/>
    </row>
    <row r="2615" spans="1:9" x14ac:dyDescent="0.25">
      <c r="A2615" s="753">
        <v>602222</v>
      </c>
      <c r="B2615" s="130">
        <v>18</v>
      </c>
      <c r="E2615" s="131"/>
    </row>
    <row r="2616" spans="1:9" x14ac:dyDescent="0.25">
      <c r="A2616" s="753">
        <v>602224</v>
      </c>
      <c r="B2616" s="130">
        <v>1986173</v>
      </c>
      <c r="E2616" s="131"/>
    </row>
    <row r="2617" spans="1:9" x14ac:dyDescent="0.25">
      <c r="A2617" s="753">
        <v>602226</v>
      </c>
      <c r="B2617" s="130">
        <v>110747</v>
      </c>
      <c r="C2617" s="131" t="s">
        <v>105</v>
      </c>
      <c r="D2617" s="131">
        <v>16</v>
      </c>
      <c r="E2617" s="131" t="s">
        <v>105</v>
      </c>
      <c r="F2617" s="767">
        <v>-751239.23</v>
      </c>
      <c r="G2617" s="767">
        <v>-106773.5</v>
      </c>
      <c r="H2617" s="767">
        <v>-858012.73</v>
      </c>
      <c r="I2617" s="768" t="s">
        <v>1745</v>
      </c>
    </row>
    <row r="2618" spans="1:9" x14ac:dyDescent="0.25">
      <c r="A2618" s="753"/>
      <c r="C2618" s="131" t="s">
        <v>1110</v>
      </c>
      <c r="D2618" s="131">
        <v>16</v>
      </c>
      <c r="E2618" s="131" t="s">
        <v>1110</v>
      </c>
      <c r="F2618" s="767">
        <v>714996.42</v>
      </c>
      <c r="G2618" s="767">
        <v>102975</v>
      </c>
      <c r="H2618" s="767">
        <v>817971.42</v>
      </c>
      <c r="I2618" s="768" t="s">
        <v>1746</v>
      </c>
    </row>
    <row r="2619" spans="1:9" x14ac:dyDescent="0.25">
      <c r="A2619" s="753"/>
      <c r="C2619" s="131" t="s">
        <v>401</v>
      </c>
      <c r="D2619" s="131">
        <v>16</v>
      </c>
      <c r="E2619" s="131" t="s">
        <v>401</v>
      </c>
      <c r="F2619" s="767">
        <v>-976653.2</v>
      </c>
      <c r="G2619" s="767">
        <v>0</v>
      </c>
      <c r="H2619" s="767">
        <v>-976653.2</v>
      </c>
      <c r="I2619" s="768" t="s">
        <v>1748</v>
      </c>
    </row>
    <row r="2620" spans="1:9" x14ac:dyDescent="0.25">
      <c r="A2620" s="753"/>
      <c r="C2620" s="131" t="s">
        <v>1112</v>
      </c>
      <c r="D2620" s="131">
        <v>16</v>
      </c>
      <c r="E2620" s="131" t="s">
        <v>1112</v>
      </c>
      <c r="F2620" s="767">
        <v>912448.95</v>
      </c>
      <c r="G2620" s="767">
        <v>0</v>
      </c>
      <c r="H2620" s="767">
        <v>912448.95</v>
      </c>
      <c r="I2620" s="768" t="s">
        <v>1749</v>
      </c>
    </row>
    <row r="2621" spans="1:9" x14ac:dyDescent="0.25">
      <c r="A2621" s="753"/>
      <c r="C2621" s="131">
        <v>447</v>
      </c>
      <c r="D2621" s="131">
        <v>16</v>
      </c>
      <c r="E2621" s="131">
        <v>447</v>
      </c>
      <c r="F2621" s="767">
        <v>-151506.5</v>
      </c>
      <c r="G2621" s="767">
        <v>0</v>
      </c>
      <c r="H2621" s="767">
        <v>-151506.5</v>
      </c>
      <c r="I2621" s="768" t="s">
        <v>1751</v>
      </c>
    </row>
    <row r="2622" spans="1:9" x14ac:dyDescent="0.25">
      <c r="A2622" s="753"/>
      <c r="C2622" s="131">
        <v>647</v>
      </c>
      <c r="D2622" s="131">
        <v>16</v>
      </c>
      <c r="E2622" s="131">
        <v>647</v>
      </c>
      <c r="F2622" s="767">
        <v>145006.09</v>
      </c>
      <c r="G2622" s="767">
        <v>0</v>
      </c>
      <c r="H2622" s="767">
        <v>145006.09</v>
      </c>
      <c r="I2622" s="768" t="s">
        <v>1752</v>
      </c>
    </row>
    <row r="2623" spans="1:9" x14ac:dyDescent="0.25">
      <c r="A2623" s="753">
        <v>602228</v>
      </c>
      <c r="B2623" s="130">
        <v>6153</v>
      </c>
      <c r="E2623" s="131"/>
    </row>
    <row r="2624" spans="1:9" x14ac:dyDescent="0.25">
      <c r="A2624" s="753">
        <v>602312</v>
      </c>
      <c r="B2624" s="130">
        <v>0</v>
      </c>
      <c r="C2624" s="131" t="s">
        <v>1114</v>
      </c>
      <c r="D2624" s="131">
        <v>16</v>
      </c>
      <c r="E2624" s="131" t="s">
        <v>1114</v>
      </c>
      <c r="F2624" s="767">
        <v>-0.02</v>
      </c>
      <c r="G2624" s="767">
        <v>0</v>
      </c>
      <c r="H2624" s="767">
        <v>-0.02</v>
      </c>
      <c r="I2624" s="768" t="s">
        <v>1753</v>
      </c>
    </row>
    <row r="2625" spans="1:9" x14ac:dyDescent="0.25">
      <c r="A2625" s="753">
        <v>602314</v>
      </c>
      <c r="B2625" s="130">
        <v>0</v>
      </c>
      <c r="C2625" s="131" t="s">
        <v>106</v>
      </c>
      <c r="D2625" s="131">
        <v>16</v>
      </c>
      <c r="E2625" s="131" t="s">
        <v>106</v>
      </c>
      <c r="F2625" s="767">
        <v>-227426</v>
      </c>
      <c r="G2625" s="767">
        <v>0</v>
      </c>
      <c r="H2625" s="767">
        <v>-227426</v>
      </c>
      <c r="I2625" s="768" t="s">
        <v>1754</v>
      </c>
    </row>
    <row r="2626" spans="1:9" x14ac:dyDescent="0.25">
      <c r="A2626" s="753">
        <v>602316</v>
      </c>
      <c r="B2626" s="130">
        <v>0</v>
      </c>
      <c r="C2626" s="131" t="s">
        <v>106</v>
      </c>
      <c r="D2626" s="131">
        <v>16</v>
      </c>
      <c r="E2626" s="131" t="s">
        <v>106</v>
      </c>
      <c r="F2626" s="767">
        <v>-227426</v>
      </c>
      <c r="G2626" s="767">
        <v>0</v>
      </c>
      <c r="H2626" s="767">
        <v>-227426</v>
      </c>
      <c r="I2626" s="768" t="s">
        <v>1754</v>
      </c>
    </row>
    <row r="2627" spans="1:9" x14ac:dyDescent="0.25">
      <c r="A2627" s="753"/>
      <c r="C2627" s="131" t="s">
        <v>1143</v>
      </c>
      <c r="D2627" s="131">
        <v>16</v>
      </c>
      <c r="E2627" s="131" t="s">
        <v>1143</v>
      </c>
      <c r="F2627" s="767">
        <v>214312.85</v>
      </c>
      <c r="G2627" s="767">
        <v>0</v>
      </c>
      <c r="H2627" s="767">
        <v>214312.85</v>
      </c>
      <c r="I2627" s="768" t="s">
        <v>1755</v>
      </c>
    </row>
    <row r="2628" spans="1:9" x14ac:dyDescent="0.25">
      <c r="A2628" s="753">
        <v>602318</v>
      </c>
      <c r="B2628" s="130">
        <v>0</v>
      </c>
      <c r="E2628" s="131"/>
    </row>
    <row r="2629" spans="1:9" x14ac:dyDescent="0.25">
      <c r="A2629" s="753">
        <v>602322</v>
      </c>
      <c r="B2629" s="130">
        <v>2</v>
      </c>
      <c r="C2629" s="131" t="s">
        <v>1114</v>
      </c>
      <c r="D2629" s="131">
        <v>16</v>
      </c>
      <c r="E2629" s="131" t="s">
        <v>1114</v>
      </c>
      <c r="F2629" s="767">
        <v>-0.02</v>
      </c>
      <c r="G2629" s="767">
        <v>0</v>
      </c>
      <c r="H2629" s="767">
        <v>-0.02</v>
      </c>
      <c r="I2629" s="768" t="s">
        <v>1753</v>
      </c>
    </row>
    <row r="2630" spans="1:9" x14ac:dyDescent="0.25">
      <c r="A2630" s="753">
        <v>602324</v>
      </c>
      <c r="B2630" s="130">
        <v>227426</v>
      </c>
      <c r="C2630" s="131" t="s">
        <v>106</v>
      </c>
      <c r="D2630" s="131">
        <v>16</v>
      </c>
      <c r="E2630" s="131" t="s">
        <v>106</v>
      </c>
      <c r="F2630" s="767">
        <v>-227426</v>
      </c>
      <c r="G2630" s="767">
        <v>0</v>
      </c>
      <c r="H2630" s="767">
        <v>-227426</v>
      </c>
      <c r="I2630" s="768" t="s">
        <v>1754</v>
      </c>
    </row>
    <row r="2631" spans="1:9" x14ac:dyDescent="0.25">
      <c r="A2631" s="753">
        <v>602326</v>
      </c>
      <c r="B2631" s="130">
        <v>13113</v>
      </c>
      <c r="C2631" s="131" t="s">
        <v>106</v>
      </c>
      <c r="D2631" s="131">
        <v>16</v>
      </c>
      <c r="E2631" s="131" t="s">
        <v>106</v>
      </c>
      <c r="F2631" s="767">
        <v>-227426</v>
      </c>
      <c r="G2631" s="767">
        <v>0</v>
      </c>
      <c r="H2631" s="767">
        <v>-227426</v>
      </c>
      <c r="I2631" s="768" t="s">
        <v>1754</v>
      </c>
    </row>
    <row r="2632" spans="1:9" x14ac:dyDescent="0.25">
      <c r="A2632" s="753"/>
      <c r="C2632" s="131" t="s">
        <v>1143</v>
      </c>
      <c r="D2632" s="131">
        <v>16</v>
      </c>
      <c r="E2632" s="131" t="s">
        <v>1143</v>
      </c>
      <c r="F2632" s="767">
        <v>214312.85</v>
      </c>
      <c r="G2632" s="767">
        <v>0</v>
      </c>
      <c r="H2632" s="767">
        <v>214312.85</v>
      </c>
      <c r="I2632" s="768" t="s">
        <v>1755</v>
      </c>
    </row>
    <row r="2633" spans="1:9" x14ac:dyDescent="0.25">
      <c r="A2633" s="753">
        <v>602328</v>
      </c>
      <c r="B2633" s="130">
        <v>6557</v>
      </c>
      <c r="E2633" s="131"/>
    </row>
    <row r="2634" spans="1:9" x14ac:dyDescent="0.25">
      <c r="A2634" s="753">
        <v>602412</v>
      </c>
      <c r="B2634" s="130">
        <v>0</v>
      </c>
      <c r="E2634" s="131"/>
    </row>
    <row r="2635" spans="1:9" x14ac:dyDescent="0.25">
      <c r="A2635" s="753">
        <v>602414</v>
      </c>
      <c r="B2635" s="130">
        <v>0</v>
      </c>
      <c r="E2635" s="131"/>
    </row>
    <row r="2636" spans="1:9" x14ac:dyDescent="0.25">
      <c r="A2636" s="753">
        <v>602416</v>
      </c>
      <c r="B2636" s="130">
        <v>0</v>
      </c>
      <c r="E2636" s="131"/>
    </row>
    <row r="2637" spans="1:9" x14ac:dyDescent="0.25">
      <c r="A2637" s="753">
        <v>602418</v>
      </c>
      <c r="B2637" s="130">
        <v>0</v>
      </c>
      <c r="E2637" s="131"/>
    </row>
    <row r="2638" spans="1:9" x14ac:dyDescent="0.25">
      <c r="A2638" s="753">
        <v>602422</v>
      </c>
      <c r="B2638" s="130">
        <v>0</v>
      </c>
      <c r="E2638" s="131"/>
    </row>
    <row r="2639" spans="1:9" x14ac:dyDescent="0.25">
      <c r="A2639" s="753">
        <v>602424</v>
      </c>
      <c r="B2639" s="130">
        <v>0</v>
      </c>
      <c r="E2639" s="131"/>
    </row>
    <row r="2640" spans="1:9" x14ac:dyDescent="0.25">
      <c r="A2640" s="753">
        <v>602426</v>
      </c>
      <c r="B2640" s="130">
        <v>0</v>
      </c>
      <c r="E2640" s="131"/>
    </row>
    <row r="2641" spans="1:9" x14ac:dyDescent="0.25">
      <c r="A2641" s="753">
        <v>602428</v>
      </c>
      <c r="B2641" s="130">
        <v>0</v>
      </c>
      <c r="E2641" s="131"/>
    </row>
    <row r="2642" spans="1:9" x14ac:dyDescent="0.25">
      <c r="A2642" s="753">
        <v>602512</v>
      </c>
      <c r="B2642" s="130">
        <v>0</v>
      </c>
      <c r="C2642" s="131" t="s">
        <v>1115</v>
      </c>
      <c r="D2642" s="131">
        <v>16</v>
      </c>
      <c r="E2642" s="131" t="s">
        <v>1115</v>
      </c>
      <c r="F2642" s="767">
        <v>-0.02</v>
      </c>
      <c r="G2642" s="767">
        <v>0</v>
      </c>
      <c r="H2642" s="767">
        <v>-0.02</v>
      </c>
      <c r="I2642" s="768" t="s">
        <v>1756</v>
      </c>
    </row>
    <row r="2643" spans="1:9" x14ac:dyDescent="0.25">
      <c r="A2643" s="753">
        <v>602514</v>
      </c>
      <c r="B2643" s="130">
        <v>0</v>
      </c>
      <c r="C2643" s="131" t="s">
        <v>405</v>
      </c>
      <c r="D2643" s="131">
        <v>16</v>
      </c>
      <c r="E2643" s="131" t="s">
        <v>405</v>
      </c>
      <c r="F2643" s="767">
        <v>-235967</v>
      </c>
      <c r="G2643" s="767">
        <v>0</v>
      </c>
      <c r="H2643" s="767">
        <v>-235967</v>
      </c>
      <c r="I2643" s="768" t="s">
        <v>1757</v>
      </c>
    </row>
    <row r="2644" spans="1:9" x14ac:dyDescent="0.25">
      <c r="A2644" s="753">
        <v>602516</v>
      </c>
      <c r="B2644" s="130">
        <v>0</v>
      </c>
      <c r="C2644" s="131" t="s">
        <v>405</v>
      </c>
      <c r="D2644" s="131">
        <v>16</v>
      </c>
      <c r="E2644" s="131" t="s">
        <v>405</v>
      </c>
      <c r="F2644" s="767">
        <v>-235967</v>
      </c>
      <c r="G2644" s="767">
        <v>0</v>
      </c>
      <c r="H2644" s="767">
        <v>-235967</v>
      </c>
      <c r="I2644" s="768" t="s">
        <v>1757</v>
      </c>
    </row>
    <row r="2645" spans="1:9" x14ac:dyDescent="0.25">
      <c r="A2645" s="753"/>
      <c r="C2645" s="131" t="s">
        <v>1116</v>
      </c>
      <c r="D2645" s="131">
        <v>16</v>
      </c>
      <c r="E2645" s="131" t="s">
        <v>1116</v>
      </c>
      <c r="F2645" s="767">
        <v>220347.51999999999</v>
      </c>
      <c r="G2645" s="767">
        <v>0</v>
      </c>
      <c r="H2645" s="767">
        <v>220347.51999999999</v>
      </c>
      <c r="I2645" s="768" t="s">
        <v>1758</v>
      </c>
    </row>
    <row r="2646" spans="1:9" x14ac:dyDescent="0.25">
      <c r="A2646" s="753">
        <v>602518</v>
      </c>
      <c r="B2646" s="130">
        <v>0</v>
      </c>
      <c r="E2646" s="131"/>
    </row>
    <row r="2647" spans="1:9" x14ac:dyDescent="0.25">
      <c r="A2647" s="753">
        <v>602522</v>
      </c>
      <c r="B2647" s="130">
        <v>2</v>
      </c>
      <c r="C2647" s="131" t="s">
        <v>1115</v>
      </c>
      <c r="D2647" s="131">
        <v>16</v>
      </c>
      <c r="E2647" s="131" t="s">
        <v>1115</v>
      </c>
      <c r="F2647" s="767">
        <v>-0.02</v>
      </c>
      <c r="G2647" s="767">
        <v>0</v>
      </c>
      <c r="H2647" s="767">
        <v>-0.02</v>
      </c>
      <c r="I2647" s="768" t="s">
        <v>1756</v>
      </c>
    </row>
    <row r="2648" spans="1:9" x14ac:dyDescent="0.25">
      <c r="A2648" s="753">
        <v>602524</v>
      </c>
      <c r="B2648" s="130">
        <v>235967</v>
      </c>
      <c r="C2648" s="131" t="s">
        <v>405</v>
      </c>
      <c r="D2648" s="131">
        <v>16</v>
      </c>
      <c r="E2648" s="131" t="s">
        <v>405</v>
      </c>
      <c r="F2648" s="767">
        <v>-235967</v>
      </c>
      <c r="G2648" s="767">
        <v>0</v>
      </c>
      <c r="H2648" s="767">
        <v>-235967</v>
      </c>
      <c r="I2648" s="768" t="s">
        <v>1757</v>
      </c>
    </row>
    <row r="2649" spans="1:9" x14ac:dyDescent="0.25">
      <c r="A2649" s="753">
        <v>602526</v>
      </c>
      <c r="B2649" s="130">
        <v>15619</v>
      </c>
      <c r="C2649" s="131" t="s">
        <v>405</v>
      </c>
      <c r="D2649" s="131">
        <v>16</v>
      </c>
      <c r="E2649" s="131" t="s">
        <v>405</v>
      </c>
      <c r="F2649" s="767">
        <v>-235967</v>
      </c>
      <c r="G2649" s="767">
        <v>0</v>
      </c>
      <c r="H2649" s="767">
        <v>-235967</v>
      </c>
      <c r="I2649" s="768" t="s">
        <v>1757</v>
      </c>
    </row>
    <row r="2650" spans="1:9" x14ac:dyDescent="0.25">
      <c r="A2650" s="753"/>
      <c r="C2650" s="131" t="s">
        <v>1116</v>
      </c>
      <c r="D2650" s="131">
        <v>16</v>
      </c>
      <c r="E2650" s="131" t="s">
        <v>1116</v>
      </c>
      <c r="F2650" s="767">
        <v>220347.51999999999</v>
      </c>
      <c r="G2650" s="767">
        <v>0</v>
      </c>
      <c r="H2650" s="767">
        <v>220347.51999999999</v>
      </c>
      <c r="I2650" s="768" t="s">
        <v>1758</v>
      </c>
    </row>
    <row r="2651" spans="1:9" x14ac:dyDescent="0.25">
      <c r="A2651" s="753">
        <v>602528</v>
      </c>
      <c r="B2651" s="130">
        <v>7810</v>
      </c>
      <c r="E2651" s="131"/>
    </row>
    <row r="2652" spans="1:9" x14ac:dyDescent="0.25">
      <c r="A2652" s="753">
        <v>602612</v>
      </c>
      <c r="B2652" s="130">
        <v>0</v>
      </c>
      <c r="E2652" s="131"/>
    </row>
    <row r="2653" spans="1:9" x14ac:dyDescent="0.25">
      <c r="A2653" s="753">
        <v>602614</v>
      </c>
      <c r="B2653" s="130">
        <v>0</v>
      </c>
      <c r="E2653" s="131"/>
    </row>
    <row r="2654" spans="1:9" x14ac:dyDescent="0.25">
      <c r="A2654" s="753">
        <v>602616</v>
      </c>
      <c r="B2654" s="130">
        <v>0</v>
      </c>
      <c r="E2654" s="131"/>
    </row>
    <row r="2655" spans="1:9" x14ac:dyDescent="0.25">
      <c r="A2655" s="753">
        <v>602618</v>
      </c>
      <c r="B2655" s="130">
        <v>0</v>
      </c>
      <c r="E2655" s="131"/>
    </row>
    <row r="2656" spans="1:9" x14ac:dyDescent="0.25">
      <c r="A2656" s="753">
        <v>602622</v>
      </c>
      <c r="B2656" s="130">
        <v>0</v>
      </c>
      <c r="E2656" s="131"/>
    </row>
    <row r="2657" spans="1:9" x14ac:dyDescent="0.25">
      <c r="A2657" s="753">
        <v>602624</v>
      </c>
      <c r="B2657" s="130">
        <v>0</v>
      </c>
      <c r="E2657" s="131"/>
    </row>
    <row r="2658" spans="1:9" x14ac:dyDescent="0.25">
      <c r="A2658" s="753">
        <v>602626</v>
      </c>
      <c r="B2658" s="130">
        <v>0</v>
      </c>
      <c r="E2658" s="131"/>
    </row>
    <row r="2659" spans="1:9" x14ac:dyDescent="0.25">
      <c r="A2659" s="753">
        <v>602628</v>
      </c>
      <c r="B2659" s="130">
        <v>0</v>
      </c>
      <c r="E2659" s="131"/>
    </row>
    <row r="2660" spans="1:9" x14ac:dyDescent="0.25">
      <c r="A2660" s="753">
        <v>602812</v>
      </c>
      <c r="B2660" s="130">
        <v>0</v>
      </c>
      <c r="C2660" s="131" t="s">
        <v>1118</v>
      </c>
      <c r="D2660" s="131">
        <v>16</v>
      </c>
      <c r="E2660" s="131" t="s">
        <v>1118</v>
      </c>
      <c r="F2660" s="767">
        <v>-0.02</v>
      </c>
      <c r="G2660" s="767">
        <v>0</v>
      </c>
      <c r="H2660" s="767">
        <v>-0.02</v>
      </c>
      <c r="I2660" s="768" t="s">
        <v>1759</v>
      </c>
    </row>
    <row r="2661" spans="1:9" x14ac:dyDescent="0.25">
      <c r="A2661" s="753">
        <v>602814</v>
      </c>
      <c r="B2661" s="130">
        <v>0</v>
      </c>
      <c r="C2661" s="131">
        <v>480</v>
      </c>
      <c r="D2661" s="131">
        <v>16</v>
      </c>
      <c r="E2661" s="131">
        <v>480</v>
      </c>
      <c r="F2661" s="767">
        <v>-273292.68</v>
      </c>
      <c r="G2661" s="767">
        <v>0</v>
      </c>
      <c r="H2661" s="767">
        <v>-273292.68</v>
      </c>
      <c r="I2661" s="768" t="s">
        <v>1760</v>
      </c>
    </row>
    <row r="2662" spans="1:9" x14ac:dyDescent="0.25">
      <c r="A2662" s="753">
        <v>602816</v>
      </c>
      <c r="B2662" s="130">
        <v>0</v>
      </c>
      <c r="C2662" s="131">
        <v>480</v>
      </c>
      <c r="D2662" s="131">
        <v>16</v>
      </c>
      <c r="E2662" s="131">
        <v>480</v>
      </c>
      <c r="F2662" s="767">
        <v>-273292.68</v>
      </c>
      <c r="G2662" s="767">
        <v>0</v>
      </c>
      <c r="H2662" s="767">
        <v>-273292.68</v>
      </c>
      <c r="I2662" s="768" t="s">
        <v>1760</v>
      </c>
    </row>
    <row r="2663" spans="1:9" x14ac:dyDescent="0.25">
      <c r="A2663" s="753"/>
      <c r="C2663" s="131">
        <v>680</v>
      </c>
      <c r="D2663" s="131">
        <v>16</v>
      </c>
      <c r="E2663" s="131">
        <v>680</v>
      </c>
      <c r="F2663" s="767">
        <v>269709.11</v>
      </c>
      <c r="G2663" s="767">
        <v>0</v>
      </c>
      <c r="H2663" s="767">
        <v>269709.11</v>
      </c>
      <c r="I2663" s="768" t="s">
        <v>1761</v>
      </c>
    </row>
    <row r="2664" spans="1:9" x14ac:dyDescent="0.25">
      <c r="A2664" s="753">
        <v>602818</v>
      </c>
      <c r="B2664" s="130">
        <v>0</v>
      </c>
      <c r="E2664" s="131"/>
    </row>
    <row r="2665" spans="1:9" x14ac:dyDescent="0.25">
      <c r="A2665" s="753">
        <v>602822</v>
      </c>
      <c r="B2665" s="130">
        <v>2</v>
      </c>
      <c r="C2665" s="131" t="s">
        <v>1118</v>
      </c>
      <c r="D2665" s="131">
        <v>16</v>
      </c>
      <c r="E2665" s="131" t="s">
        <v>1118</v>
      </c>
      <c r="F2665" s="767">
        <v>-0.02</v>
      </c>
      <c r="G2665" s="767">
        <v>0</v>
      </c>
      <c r="H2665" s="767">
        <v>-0.02</v>
      </c>
      <c r="I2665" s="768" t="s">
        <v>1759</v>
      </c>
    </row>
    <row r="2666" spans="1:9" x14ac:dyDescent="0.25">
      <c r="A2666" s="753">
        <v>602824</v>
      </c>
      <c r="B2666" s="130">
        <v>273293</v>
      </c>
      <c r="C2666" s="131">
        <v>480</v>
      </c>
      <c r="D2666" s="131">
        <v>16</v>
      </c>
      <c r="E2666" s="131">
        <v>480</v>
      </c>
      <c r="F2666" s="767">
        <v>-273292.68</v>
      </c>
      <c r="G2666" s="767">
        <v>0</v>
      </c>
      <c r="H2666" s="767">
        <v>-273292.68</v>
      </c>
      <c r="I2666" s="768" t="s">
        <v>1760</v>
      </c>
    </row>
    <row r="2667" spans="1:9" x14ac:dyDescent="0.25">
      <c r="A2667" s="753">
        <v>602826</v>
      </c>
      <c r="B2667" s="130">
        <v>3584</v>
      </c>
      <c r="C2667" s="131">
        <v>480</v>
      </c>
      <c r="D2667" s="131">
        <v>16</v>
      </c>
      <c r="E2667" s="131">
        <v>480</v>
      </c>
      <c r="F2667" s="767">
        <v>-273292.68</v>
      </c>
      <c r="G2667" s="767">
        <v>0</v>
      </c>
      <c r="H2667" s="767">
        <v>-273292.68</v>
      </c>
      <c r="I2667" s="768" t="s">
        <v>1760</v>
      </c>
    </row>
    <row r="2668" spans="1:9" x14ac:dyDescent="0.25">
      <c r="A2668" s="753"/>
      <c r="C2668" s="131">
        <v>680</v>
      </c>
      <c r="D2668" s="131">
        <v>16</v>
      </c>
      <c r="E2668" s="131">
        <v>680</v>
      </c>
      <c r="F2668" s="767">
        <v>269709.11</v>
      </c>
      <c r="G2668" s="767">
        <v>0</v>
      </c>
      <c r="H2668" s="767">
        <v>269709.11</v>
      </c>
      <c r="I2668" s="768" t="s">
        <v>1761</v>
      </c>
    </row>
    <row r="2669" spans="1:9" x14ac:dyDescent="0.25">
      <c r="A2669" s="753">
        <v>602828</v>
      </c>
      <c r="B2669" s="130">
        <v>1792</v>
      </c>
      <c r="E2669" s="131"/>
    </row>
    <row r="2670" spans="1:9" x14ac:dyDescent="0.25">
      <c r="A2670" s="753">
        <v>602912</v>
      </c>
      <c r="B2670" s="130">
        <v>0</v>
      </c>
      <c r="C2670" s="131" t="s">
        <v>1762</v>
      </c>
      <c r="D2670" s="131">
        <v>16</v>
      </c>
      <c r="E2670" s="131" t="s">
        <v>1762</v>
      </c>
      <c r="F2670" s="767">
        <v>-0.02</v>
      </c>
      <c r="G2670" s="767">
        <v>0</v>
      </c>
      <c r="H2670" s="767">
        <v>-0.02</v>
      </c>
      <c r="I2670" s="768" t="s">
        <v>1763</v>
      </c>
    </row>
    <row r="2671" spans="1:9" x14ac:dyDescent="0.25">
      <c r="A2671" s="753">
        <v>602914</v>
      </c>
      <c r="B2671" s="130">
        <v>0</v>
      </c>
      <c r="C2671" s="131" t="s">
        <v>406</v>
      </c>
      <c r="D2671" s="131">
        <v>16</v>
      </c>
      <c r="E2671" s="131" t="s">
        <v>406</v>
      </c>
      <c r="F2671" s="767">
        <v>-309378.09999999998</v>
      </c>
      <c r="G2671" s="767">
        <v>0</v>
      </c>
      <c r="H2671" s="767">
        <v>-309378.09999999998</v>
      </c>
      <c r="I2671" s="768" t="s">
        <v>1764</v>
      </c>
    </row>
    <row r="2672" spans="1:9" x14ac:dyDescent="0.25">
      <c r="A2672" s="753">
        <v>602916</v>
      </c>
      <c r="B2672" s="130">
        <v>0</v>
      </c>
      <c r="C2672" s="131" t="s">
        <v>406</v>
      </c>
      <c r="D2672" s="131">
        <v>16</v>
      </c>
      <c r="E2672" s="131" t="s">
        <v>406</v>
      </c>
      <c r="F2672" s="767">
        <v>-309378.09999999998</v>
      </c>
      <c r="G2672" s="767">
        <v>0</v>
      </c>
      <c r="H2672" s="767">
        <v>-309378.09999999998</v>
      </c>
      <c r="I2672" s="768" t="s">
        <v>1764</v>
      </c>
    </row>
    <row r="2673" spans="1:9" x14ac:dyDescent="0.25">
      <c r="A2673" s="753"/>
      <c r="C2673" s="131" t="s">
        <v>1119</v>
      </c>
      <c r="D2673" s="131">
        <v>16</v>
      </c>
      <c r="E2673" s="131" t="s">
        <v>1119</v>
      </c>
      <c r="F2673" s="767">
        <v>291459.78000000003</v>
      </c>
      <c r="G2673" s="767">
        <v>0</v>
      </c>
      <c r="H2673" s="767">
        <v>291459.78000000003</v>
      </c>
      <c r="I2673" s="768" t="s">
        <v>1765</v>
      </c>
    </row>
    <row r="2674" spans="1:9" x14ac:dyDescent="0.25">
      <c r="A2674" s="753">
        <v>602918</v>
      </c>
      <c r="B2674" s="130">
        <v>0</v>
      </c>
      <c r="E2674" s="131"/>
    </row>
    <row r="2675" spans="1:9" x14ac:dyDescent="0.25">
      <c r="A2675" s="753">
        <v>602922</v>
      </c>
      <c r="B2675" s="130">
        <v>2</v>
      </c>
      <c r="C2675" s="131" t="s">
        <v>1762</v>
      </c>
      <c r="D2675" s="131">
        <v>16</v>
      </c>
      <c r="E2675" s="131" t="s">
        <v>1762</v>
      </c>
      <c r="F2675" s="767">
        <v>-0.02</v>
      </c>
      <c r="G2675" s="767">
        <v>0</v>
      </c>
      <c r="H2675" s="767">
        <v>-0.02</v>
      </c>
      <c r="I2675" s="768" t="s">
        <v>1763</v>
      </c>
    </row>
    <row r="2676" spans="1:9" x14ac:dyDescent="0.25">
      <c r="A2676" s="753">
        <v>602924</v>
      </c>
      <c r="B2676" s="130">
        <v>309378</v>
      </c>
      <c r="C2676" s="131" t="s">
        <v>406</v>
      </c>
      <c r="D2676" s="131">
        <v>16</v>
      </c>
      <c r="E2676" s="131" t="s">
        <v>406</v>
      </c>
      <c r="F2676" s="767">
        <v>-309378.09999999998</v>
      </c>
      <c r="G2676" s="767">
        <v>0</v>
      </c>
      <c r="H2676" s="767">
        <v>-309378.09999999998</v>
      </c>
      <c r="I2676" s="768" t="s">
        <v>1764</v>
      </c>
    </row>
    <row r="2677" spans="1:9" x14ac:dyDescent="0.25">
      <c r="A2677" s="753">
        <v>602926</v>
      </c>
      <c r="B2677" s="130">
        <v>17918</v>
      </c>
      <c r="C2677" s="131" t="s">
        <v>406</v>
      </c>
      <c r="D2677" s="131">
        <v>16</v>
      </c>
      <c r="E2677" s="131" t="s">
        <v>406</v>
      </c>
      <c r="F2677" s="767">
        <v>-309378.09999999998</v>
      </c>
      <c r="G2677" s="767">
        <v>0</v>
      </c>
      <c r="H2677" s="767">
        <v>-309378.09999999998</v>
      </c>
      <c r="I2677" s="768" t="s">
        <v>1764</v>
      </c>
    </row>
    <row r="2678" spans="1:9" x14ac:dyDescent="0.25">
      <c r="A2678" s="753"/>
      <c r="C2678" s="131" t="s">
        <v>1119</v>
      </c>
      <c r="D2678" s="131">
        <v>16</v>
      </c>
      <c r="E2678" s="131" t="s">
        <v>1119</v>
      </c>
      <c r="F2678" s="767">
        <v>291459.78000000003</v>
      </c>
      <c r="G2678" s="767">
        <v>0</v>
      </c>
      <c r="H2678" s="767">
        <v>291459.78000000003</v>
      </c>
      <c r="I2678" s="768" t="s">
        <v>1765</v>
      </c>
    </row>
    <row r="2679" spans="1:9" x14ac:dyDescent="0.25">
      <c r="A2679" s="753">
        <v>602928</v>
      </c>
      <c r="B2679" s="130">
        <v>8959</v>
      </c>
      <c r="E2679" s="131"/>
    </row>
    <row r="2680" spans="1:9" x14ac:dyDescent="0.25">
      <c r="A2680" s="753">
        <v>603012</v>
      </c>
      <c r="B2680" s="130">
        <v>0</v>
      </c>
      <c r="E2680" s="131"/>
    </row>
    <row r="2681" spans="1:9" x14ac:dyDescent="0.25">
      <c r="A2681" s="753">
        <v>603014</v>
      </c>
      <c r="B2681" s="130">
        <v>0</v>
      </c>
      <c r="E2681" s="131"/>
    </row>
    <row r="2682" spans="1:9" x14ac:dyDescent="0.25">
      <c r="A2682" s="753">
        <v>603016</v>
      </c>
      <c r="B2682" s="130">
        <v>0</v>
      </c>
      <c r="E2682" s="131"/>
    </row>
    <row r="2683" spans="1:9" x14ac:dyDescent="0.25">
      <c r="A2683" s="753">
        <v>603018</v>
      </c>
      <c r="B2683" s="130">
        <v>0</v>
      </c>
      <c r="E2683" s="131"/>
    </row>
    <row r="2684" spans="1:9" x14ac:dyDescent="0.25">
      <c r="A2684" s="753">
        <v>603022</v>
      </c>
      <c r="B2684" s="130">
        <v>0</v>
      </c>
      <c r="E2684" s="131"/>
    </row>
    <row r="2685" spans="1:9" x14ac:dyDescent="0.25">
      <c r="A2685" s="753">
        <v>603024</v>
      </c>
      <c r="B2685" s="130">
        <v>0</v>
      </c>
      <c r="E2685" s="131"/>
    </row>
    <row r="2686" spans="1:9" x14ac:dyDescent="0.25">
      <c r="A2686" s="753">
        <v>603026</v>
      </c>
      <c r="B2686" s="130">
        <v>0</v>
      </c>
      <c r="E2686" s="131"/>
    </row>
    <row r="2687" spans="1:9" x14ac:dyDescent="0.25">
      <c r="A2687" s="753">
        <v>603028</v>
      </c>
      <c r="B2687" s="130">
        <v>0</v>
      </c>
      <c r="E2687" s="131"/>
    </row>
    <row r="2688" spans="1:9" x14ac:dyDescent="0.25">
      <c r="A2688" s="753">
        <v>603112</v>
      </c>
      <c r="B2688" s="130">
        <v>0</v>
      </c>
      <c r="C2688" s="131" t="s">
        <v>2275</v>
      </c>
      <c r="D2688" s="131">
        <v>16</v>
      </c>
      <c r="E2688" s="131" t="s">
        <v>2275</v>
      </c>
      <c r="F2688" s="767">
        <v>-0.01</v>
      </c>
      <c r="G2688" s="767">
        <v>0</v>
      </c>
      <c r="H2688" s="767">
        <v>-0.01</v>
      </c>
      <c r="I2688" s="768" t="s">
        <v>408</v>
      </c>
    </row>
    <row r="2689" spans="1:9" x14ac:dyDescent="0.25">
      <c r="A2689" s="753">
        <v>603114</v>
      </c>
      <c r="B2689" s="130">
        <v>0</v>
      </c>
      <c r="C2689" s="131">
        <v>481</v>
      </c>
      <c r="D2689" s="131">
        <v>16</v>
      </c>
      <c r="E2689" s="131">
        <v>481</v>
      </c>
      <c r="F2689" s="767">
        <v>-237027.97</v>
      </c>
      <c r="G2689" s="767">
        <v>0</v>
      </c>
      <c r="H2689" s="767">
        <v>-237027.97</v>
      </c>
      <c r="I2689" s="768" t="s">
        <v>408</v>
      </c>
    </row>
    <row r="2690" spans="1:9" x14ac:dyDescent="0.25">
      <c r="A2690" s="753">
        <v>603116</v>
      </c>
      <c r="B2690" s="130">
        <v>0</v>
      </c>
      <c r="C2690" s="131">
        <v>481</v>
      </c>
      <c r="D2690" s="131">
        <v>16</v>
      </c>
      <c r="E2690" s="131">
        <v>481</v>
      </c>
      <c r="F2690" s="767">
        <v>-237027.97</v>
      </c>
      <c r="G2690" s="767">
        <v>0</v>
      </c>
      <c r="H2690" s="767">
        <v>-237027.97</v>
      </c>
      <c r="I2690" s="768" t="s">
        <v>408</v>
      </c>
    </row>
    <row r="2691" spans="1:9" x14ac:dyDescent="0.25">
      <c r="A2691" s="753"/>
      <c r="C2691" s="131">
        <v>681</v>
      </c>
      <c r="D2691" s="131">
        <v>16</v>
      </c>
      <c r="E2691" s="131">
        <v>681</v>
      </c>
      <c r="F2691" s="767">
        <v>233811.43</v>
      </c>
      <c r="G2691" s="767">
        <v>0</v>
      </c>
      <c r="H2691" s="767">
        <v>233811.43</v>
      </c>
      <c r="I2691" s="768" t="s">
        <v>408</v>
      </c>
    </row>
    <row r="2692" spans="1:9" x14ac:dyDescent="0.25">
      <c r="A2692" s="753">
        <v>603118</v>
      </c>
      <c r="B2692" s="130">
        <v>0</v>
      </c>
      <c r="E2692" s="131"/>
    </row>
    <row r="2693" spans="1:9" x14ac:dyDescent="0.25">
      <c r="A2693" s="753">
        <v>603122</v>
      </c>
      <c r="B2693" s="130">
        <v>1</v>
      </c>
      <c r="C2693" s="131" t="s">
        <v>2275</v>
      </c>
      <c r="D2693" s="131">
        <v>16</v>
      </c>
      <c r="E2693" s="131" t="s">
        <v>2275</v>
      </c>
      <c r="F2693" s="767">
        <v>-0.01</v>
      </c>
      <c r="G2693" s="767">
        <v>0</v>
      </c>
      <c r="H2693" s="767">
        <v>-0.01</v>
      </c>
      <c r="I2693" s="768" t="s">
        <v>408</v>
      </c>
    </row>
    <row r="2694" spans="1:9" x14ac:dyDescent="0.25">
      <c r="A2694" s="753">
        <v>603124</v>
      </c>
      <c r="B2694" s="130">
        <v>237028</v>
      </c>
      <c r="C2694" s="131">
        <v>481</v>
      </c>
      <c r="D2694" s="131">
        <v>16</v>
      </c>
      <c r="E2694" s="131">
        <v>481</v>
      </c>
      <c r="F2694" s="767">
        <v>-237027.97</v>
      </c>
      <c r="G2694" s="767">
        <v>0</v>
      </c>
      <c r="H2694" s="767">
        <v>-237027.97</v>
      </c>
      <c r="I2694" s="768" t="s">
        <v>408</v>
      </c>
    </row>
    <row r="2695" spans="1:9" x14ac:dyDescent="0.25">
      <c r="A2695" s="753">
        <v>603126</v>
      </c>
      <c r="B2695" s="130">
        <v>3217</v>
      </c>
      <c r="C2695" s="131">
        <v>481</v>
      </c>
      <c r="D2695" s="131">
        <v>16</v>
      </c>
      <c r="E2695" s="131">
        <v>481</v>
      </c>
      <c r="F2695" s="767">
        <v>-237027.97</v>
      </c>
      <c r="G2695" s="767">
        <v>0</v>
      </c>
      <c r="H2695" s="767">
        <v>-237027.97</v>
      </c>
      <c r="I2695" s="768" t="s">
        <v>408</v>
      </c>
    </row>
    <row r="2696" spans="1:9" x14ac:dyDescent="0.25">
      <c r="A2696" s="753"/>
      <c r="C2696" s="131">
        <v>681</v>
      </c>
      <c r="D2696" s="131">
        <v>16</v>
      </c>
      <c r="E2696" s="131">
        <v>681</v>
      </c>
      <c r="F2696" s="767">
        <v>233811.43</v>
      </c>
      <c r="G2696" s="767">
        <v>0</v>
      </c>
      <c r="H2696" s="767">
        <v>233811.43</v>
      </c>
      <c r="I2696" s="768" t="s">
        <v>408</v>
      </c>
    </row>
    <row r="2697" spans="1:9" x14ac:dyDescent="0.25">
      <c r="A2697" s="753">
        <v>603128</v>
      </c>
      <c r="B2697" s="130">
        <v>3217</v>
      </c>
      <c r="E2697" s="131"/>
    </row>
    <row r="2698" spans="1:9" x14ac:dyDescent="0.25">
      <c r="A2698" s="753">
        <v>603212</v>
      </c>
      <c r="B2698" s="130">
        <v>0</v>
      </c>
      <c r="C2698" s="131" t="s">
        <v>1766</v>
      </c>
      <c r="D2698" s="131">
        <v>16</v>
      </c>
      <c r="E2698" s="131" t="s">
        <v>1766</v>
      </c>
      <c r="F2698" s="767">
        <v>-0.01</v>
      </c>
      <c r="G2698" s="767">
        <v>0</v>
      </c>
      <c r="H2698" s="767">
        <v>-0.01</v>
      </c>
      <c r="I2698" s="768" t="s">
        <v>1767</v>
      </c>
    </row>
    <row r="2699" spans="1:9" x14ac:dyDescent="0.25">
      <c r="A2699" s="753">
        <v>603214</v>
      </c>
      <c r="B2699" s="130">
        <v>0</v>
      </c>
      <c r="C2699" s="131" t="s">
        <v>410</v>
      </c>
      <c r="D2699" s="131">
        <v>16</v>
      </c>
      <c r="E2699" s="131" t="s">
        <v>410</v>
      </c>
      <c r="F2699" s="767">
        <v>-246468.25</v>
      </c>
      <c r="G2699" s="767">
        <v>0</v>
      </c>
      <c r="H2699" s="767">
        <v>-246468.25</v>
      </c>
      <c r="I2699" s="768" t="s">
        <v>1767</v>
      </c>
    </row>
    <row r="2700" spans="1:9" x14ac:dyDescent="0.25">
      <c r="A2700" s="753">
        <v>603216</v>
      </c>
      <c r="B2700" s="130">
        <v>0</v>
      </c>
      <c r="C2700" s="131" t="s">
        <v>410</v>
      </c>
      <c r="D2700" s="131">
        <v>16</v>
      </c>
      <c r="E2700" s="131" t="s">
        <v>410</v>
      </c>
      <c r="F2700" s="767">
        <v>-246468.25</v>
      </c>
      <c r="G2700" s="767">
        <v>0</v>
      </c>
      <c r="H2700" s="767">
        <v>-246468.25</v>
      </c>
      <c r="I2700" s="768" t="s">
        <v>1767</v>
      </c>
    </row>
    <row r="2701" spans="1:9" x14ac:dyDescent="0.25">
      <c r="A2701" s="753"/>
      <c r="C2701" s="131" t="s">
        <v>1120</v>
      </c>
      <c r="D2701" s="131">
        <v>16</v>
      </c>
      <c r="E2701" s="131" t="s">
        <v>1120</v>
      </c>
      <c r="F2701" s="767">
        <v>235559.82</v>
      </c>
      <c r="G2701" s="767">
        <v>0</v>
      </c>
      <c r="H2701" s="767">
        <v>235559.82</v>
      </c>
      <c r="I2701" s="768" t="s">
        <v>1767</v>
      </c>
    </row>
    <row r="2702" spans="1:9" x14ac:dyDescent="0.25">
      <c r="A2702" s="753">
        <v>603218</v>
      </c>
      <c r="B2702" s="130">
        <v>0</v>
      </c>
      <c r="E2702" s="131"/>
    </row>
    <row r="2703" spans="1:9" x14ac:dyDescent="0.25">
      <c r="A2703" s="753">
        <v>603222</v>
      </c>
      <c r="B2703" s="130">
        <v>1</v>
      </c>
      <c r="C2703" s="131" t="s">
        <v>1766</v>
      </c>
      <c r="D2703" s="131">
        <v>16</v>
      </c>
      <c r="E2703" s="131" t="s">
        <v>1766</v>
      </c>
      <c r="F2703" s="767">
        <v>-0.01</v>
      </c>
      <c r="G2703" s="767">
        <v>0</v>
      </c>
      <c r="H2703" s="767">
        <v>-0.01</v>
      </c>
      <c r="I2703" s="768" t="s">
        <v>1767</v>
      </c>
    </row>
    <row r="2704" spans="1:9" x14ac:dyDescent="0.25">
      <c r="A2704" s="753">
        <v>603224</v>
      </c>
      <c r="B2704" s="130">
        <v>246468</v>
      </c>
      <c r="C2704" s="131" t="s">
        <v>410</v>
      </c>
      <c r="D2704" s="131">
        <v>16</v>
      </c>
      <c r="E2704" s="131" t="s">
        <v>410</v>
      </c>
      <c r="F2704" s="767">
        <v>-246468.25</v>
      </c>
      <c r="G2704" s="767">
        <v>0</v>
      </c>
      <c r="H2704" s="767">
        <v>-246468.25</v>
      </c>
      <c r="I2704" s="768" t="s">
        <v>1767</v>
      </c>
    </row>
    <row r="2705" spans="1:9" x14ac:dyDescent="0.25">
      <c r="A2705" s="753">
        <v>603226</v>
      </c>
      <c r="B2705" s="130">
        <v>10908</v>
      </c>
      <c r="C2705" s="131" t="s">
        <v>410</v>
      </c>
      <c r="D2705" s="131">
        <v>16</v>
      </c>
      <c r="E2705" s="131" t="s">
        <v>410</v>
      </c>
      <c r="F2705" s="767">
        <v>-246468.25</v>
      </c>
      <c r="G2705" s="767">
        <v>0</v>
      </c>
      <c r="H2705" s="767">
        <v>-246468.25</v>
      </c>
      <c r="I2705" s="768" t="s">
        <v>1767</v>
      </c>
    </row>
    <row r="2706" spans="1:9" x14ac:dyDescent="0.25">
      <c r="A2706" s="753"/>
      <c r="C2706" s="131" t="s">
        <v>1120</v>
      </c>
      <c r="D2706" s="131">
        <v>16</v>
      </c>
      <c r="E2706" s="131" t="s">
        <v>1120</v>
      </c>
      <c r="F2706" s="767">
        <v>235559.82</v>
      </c>
      <c r="G2706" s="767">
        <v>0</v>
      </c>
      <c r="H2706" s="767">
        <v>235559.82</v>
      </c>
      <c r="I2706" s="768" t="s">
        <v>1767</v>
      </c>
    </row>
    <row r="2707" spans="1:9" x14ac:dyDescent="0.25">
      <c r="A2707" s="753">
        <v>603228</v>
      </c>
      <c r="B2707" s="130">
        <v>10908</v>
      </c>
      <c r="E2707" s="131"/>
    </row>
    <row r="2708" spans="1:9" x14ac:dyDescent="0.25">
      <c r="A2708" s="753">
        <v>603412</v>
      </c>
      <c r="B2708" s="130">
        <v>0</v>
      </c>
      <c r="C2708" s="131" t="s">
        <v>2276</v>
      </c>
      <c r="D2708" s="131">
        <v>16</v>
      </c>
      <c r="E2708" s="131" t="s">
        <v>2276</v>
      </c>
      <c r="F2708" s="767">
        <v>-0.01</v>
      </c>
      <c r="G2708" s="767">
        <v>0</v>
      </c>
      <c r="H2708" s="767">
        <v>-0.01</v>
      </c>
      <c r="I2708" s="768" t="s">
        <v>2277</v>
      </c>
    </row>
    <row r="2709" spans="1:9" x14ac:dyDescent="0.25">
      <c r="A2709" s="753">
        <v>603414</v>
      </c>
      <c r="B2709" s="130">
        <v>0</v>
      </c>
      <c r="C2709" s="131" t="s">
        <v>376</v>
      </c>
      <c r="D2709" s="131">
        <v>16</v>
      </c>
      <c r="E2709" s="131" t="s">
        <v>376</v>
      </c>
      <c r="F2709" s="767">
        <v>-98510.95</v>
      </c>
      <c r="G2709" s="767">
        <v>0</v>
      </c>
      <c r="H2709" s="767">
        <v>-98510.95</v>
      </c>
      <c r="I2709" s="768" t="s">
        <v>2278</v>
      </c>
    </row>
    <row r="2710" spans="1:9" x14ac:dyDescent="0.25">
      <c r="A2710" s="753">
        <v>603416</v>
      </c>
      <c r="B2710" s="130">
        <v>0</v>
      </c>
      <c r="C2710" s="131" t="s">
        <v>376</v>
      </c>
      <c r="D2710" s="131">
        <v>16</v>
      </c>
      <c r="E2710" s="131" t="s">
        <v>376</v>
      </c>
      <c r="F2710" s="767">
        <v>-98510.95</v>
      </c>
      <c r="G2710" s="767">
        <v>0</v>
      </c>
      <c r="H2710" s="767">
        <v>-98510.95</v>
      </c>
      <c r="I2710" s="768" t="s">
        <v>2278</v>
      </c>
    </row>
    <row r="2711" spans="1:9" x14ac:dyDescent="0.25">
      <c r="A2711" s="753"/>
      <c r="C2711" s="131" t="s">
        <v>2279</v>
      </c>
      <c r="D2711" s="131">
        <v>16</v>
      </c>
      <c r="E2711" s="131" t="s">
        <v>2279</v>
      </c>
      <c r="F2711" s="767">
        <v>97615</v>
      </c>
      <c r="G2711" s="767">
        <v>0</v>
      </c>
      <c r="H2711" s="767">
        <v>97615</v>
      </c>
      <c r="I2711" s="768" t="s">
        <v>2280</v>
      </c>
    </row>
    <row r="2712" spans="1:9" x14ac:dyDescent="0.25">
      <c r="A2712" s="753">
        <v>603418</v>
      </c>
      <c r="B2712" s="130">
        <v>0</v>
      </c>
      <c r="E2712" s="131"/>
    </row>
    <row r="2713" spans="1:9" x14ac:dyDescent="0.25">
      <c r="A2713" s="753">
        <v>603422</v>
      </c>
      <c r="B2713" s="130">
        <v>1</v>
      </c>
      <c r="C2713" s="131" t="s">
        <v>2276</v>
      </c>
      <c r="D2713" s="131">
        <v>16</v>
      </c>
      <c r="E2713" s="131" t="s">
        <v>2276</v>
      </c>
      <c r="F2713" s="767">
        <v>-0.01</v>
      </c>
      <c r="G2713" s="767">
        <v>0</v>
      </c>
      <c r="H2713" s="767">
        <v>-0.01</v>
      </c>
      <c r="I2713" s="768" t="s">
        <v>2277</v>
      </c>
    </row>
    <row r="2714" spans="1:9" x14ac:dyDescent="0.25">
      <c r="A2714" s="753">
        <v>603424</v>
      </c>
      <c r="B2714" s="130">
        <v>98511</v>
      </c>
      <c r="C2714" s="131" t="s">
        <v>376</v>
      </c>
      <c r="D2714" s="131">
        <v>16</v>
      </c>
      <c r="E2714" s="131" t="s">
        <v>376</v>
      </c>
      <c r="F2714" s="767">
        <v>-98510.95</v>
      </c>
      <c r="G2714" s="767">
        <v>0</v>
      </c>
      <c r="H2714" s="767">
        <v>-98510.95</v>
      </c>
      <c r="I2714" s="768" t="s">
        <v>2278</v>
      </c>
    </row>
    <row r="2715" spans="1:9" x14ac:dyDescent="0.25">
      <c r="A2715" s="753">
        <v>603426</v>
      </c>
      <c r="B2715" s="130">
        <v>896</v>
      </c>
      <c r="C2715" s="131" t="s">
        <v>376</v>
      </c>
      <c r="D2715" s="131">
        <v>16</v>
      </c>
      <c r="E2715" s="131" t="s">
        <v>376</v>
      </c>
      <c r="F2715" s="767">
        <v>-98510.95</v>
      </c>
      <c r="G2715" s="767">
        <v>0</v>
      </c>
      <c r="H2715" s="767">
        <v>-98510.95</v>
      </c>
      <c r="I2715" s="768" t="s">
        <v>2278</v>
      </c>
    </row>
    <row r="2716" spans="1:9" x14ac:dyDescent="0.25">
      <c r="A2716" s="753"/>
      <c r="C2716" s="131" t="s">
        <v>2279</v>
      </c>
      <c r="D2716" s="131">
        <v>16</v>
      </c>
      <c r="E2716" s="131" t="s">
        <v>2279</v>
      </c>
      <c r="F2716" s="767">
        <v>97615</v>
      </c>
      <c r="G2716" s="767">
        <v>0</v>
      </c>
      <c r="H2716" s="767">
        <v>97615</v>
      </c>
      <c r="I2716" s="768" t="s">
        <v>2280</v>
      </c>
    </row>
    <row r="2717" spans="1:9" x14ac:dyDescent="0.25">
      <c r="A2717" s="753">
        <v>603428</v>
      </c>
      <c r="B2717" s="130">
        <v>896</v>
      </c>
      <c r="E2717" s="131"/>
    </row>
    <row r="2718" spans="1:9" x14ac:dyDescent="0.25">
      <c r="A2718" s="753">
        <v>603512</v>
      </c>
      <c r="B2718" s="130">
        <v>0</v>
      </c>
      <c r="C2718" s="131" t="s">
        <v>1166</v>
      </c>
      <c r="D2718" s="131">
        <v>16</v>
      </c>
      <c r="E2718" s="131" t="s">
        <v>1166</v>
      </c>
      <c r="F2718" s="767">
        <v>-0.03</v>
      </c>
      <c r="G2718" s="767">
        <v>0</v>
      </c>
      <c r="H2718" s="767">
        <v>-0.03</v>
      </c>
      <c r="I2718" s="768" t="s">
        <v>1768</v>
      </c>
    </row>
    <row r="2719" spans="1:9" x14ac:dyDescent="0.25">
      <c r="A2719" s="753">
        <v>603514</v>
      </c>
      <c r="B2719" s="130">
        <v>0</v>
      </c>
      <c r="C2719" s="131" t="s">
        <v>378</v>
      </c>
      <c r="D2719" s="131">
        <v>16</v>
      </c>
      <c r="E2719" s="131" t="s">
        <v>378</v>
      </c>
      <c r="F2719" s="767">
        <v>-323316.75</v>
      </c>
      <c r="G2719" s="767">
        <v>0</v>
      </c>
      <c r="H2719" s="767">
        <v>-323316.75</v>
      </c>
      <c r="I2719" s="768" t="s">
        <v>1769</v>
      </c>
    </row>
    <row r="2720" spans="1:9" x14ac:dyDescent="0.25">
      <c r="A2720" s="753">
        <v>603516</v>
      </c>
      <c r="B2720" s="130">
        <v>0</v>
      </c>
      <c r="C2720" s="131" t="s">
        <v>378</v>
      </c>
      <c r="D2720" s="131">
        <v>16</v>
      </c>
      <c r="E2720" s="131" t="s">
        <v>378</v>
      </c>
      <c r="F2720" s="767">
        <v>-323316.75</v>
      </c>
      <c r="G2720" s="767">
        <v>0</v>
      </c>
      <c r="H2720" s="767">
        <v>-323316.75</v>
      </c>
      <c r="I2720" s="768" t="s">
        <v>1769</v>
      </c>
    </row>
    <row r="2721" spans="1:9" x14ac:dyDescent="0.25">
      <c r="A2721" s="753"/>
      <c r="C2721" s="131" t="s">
        <v>1121</v>
      </c>
      <c r="D2721" s="131">
        <v>16</v>
      </c>
      <c r="E2721" s="131" t="s">
        <v>1121</v>
      </c>
      <c r="F2721" s="767">
        <v>316233.65000000002</v>
      </c>
      <c r="G2721" s="767">
        <v>0</v>
      </c>
      <c r="H2721" s="767">
        <v>316233.65000000002</v>
      </c>
      <c r="I2721" s="768" t="s">
        <v>1770</v>
      </c>
    </row>
    <row r="2722" spans="1:9" x14ac:dyDescent="0.25">
      <c r="A2722" s="753">
        <v>603518</v>
      </c>
      <c r="B2722" s="130">
        <v>0</v>
      </c>
      <c r="E2722" s="131"/>
    </row>
    <row r="2723" spans="1:9" x14ac:dyDescent="0.25">
      <c r="A2723" s="753">
        <v>603522</v>
      </c>
      <c r="B2723" s="130">
        <v>3</v>
      </c>
      <c r="C2723" s="131" t="s">
        <v>1166</v>
      </c>
      <c r="D2723" s="131">
        <v>16</v>
      </c>
      <c r="E2723" s="131" t="s">
        <v>1166</v>
      </c>
      <c r="F2723" s="767">
        <v>-0.03</v>
      </c>
      <c r="G2723" s="767">
        <v>0</v>
      </c>
      <c r="H2723" s="767">
        <v>-0.03</v>
      </c>
      <c r="I2723" s="768" t="s">
        <v>1768</v>
      </c>
    </row>
    <row r="2724" spans="1:9" x14ac:dyDescent="0.25">
      <c r="A2724" s="753">
        <v>603524</v>
      </c>
      <c r="B2724" s="130">
        <v>323317</v>
      </c>
      <c r="C2724" s="131" t="s">
        <v>378</v>
      </c>
      <c r="D2724" s="131">
        <v>16</v>
      </c>
      <c r="E2724" s="131" t="s">
        <v>378</v>
      </c>
      <c r="F2724" s="767">
        <v>-323316.75</v>
      </c>
      <c r="G2724" s="767">
        <v>0</v>
      </c>
      <c r="H2724" s="767">
        <v>-323316.75</v>
      </c>
      <c r="I2724" s="768" t="s">
        <v>1769</v>
      </c>
    </row>
    <row r="2725" spans="1:9" x14ac:dyDescent="0.25">
      <c r="A2725" s="753">
        <v>603526</v>
      </c>
      <c r="B2725" s="130">
        <v>7083</v>
      </c>
      <c r="C2725" s="131" t="s">
        <v>378</v>
      </c>
      <c r="D2725" s="131">
        <v>16</v>
      </c>
      <c r="E2725" s="131" t="s">
        <v>378</v>
      </c>
      <c r="F2725" s="767">
        <v>-323316.75</v>
      </c>
      <c r="G2725" s="767">
        <v>0</v>
      </c>
      <c r="H2725" s="767">
        <v>-323316.75</v>
      </c>
      <c r="I2725" s="768" t="s">
        <v>1769</v>
      </c>
    </row>
    <row r="2726" spans="1:9" x14ac:dyDescent="0.25">
      <c r="A2726" s="753"/>
      <c r="C2726" s="131" t="s">
        <v>1121</v>
      </c>
      <c r="D2726" s="131">
        <v>16</v>
      </c>
      <c r="E2726" s="131" t="s">
        <v>1121</v>
      </c>
      <c r="F2726" s="767">
        <v>316233.65000000002</v>
      </c>
      <c r="G2726" s="767">
        <v>0</v>
      </c>
      <c r="H2726" s="767">
        <v>316233.65000000002</v>
      </c>
      <c r="I2726" s="768" t="s">
        <v>1770</v>
      </c>
    </row>
    <row r="2727" spans="1:9" x14ac:dyDescent="0.25">
      <c r="A2727" s="753">
        <v>603528</v>
      </c>
      <c r="B2727" s="130">
        <v>2361</v>
      </c>
      <c r="E2727" s="131"/>
    </row>
    <row r="2728" spans="1:9" x14ac:dyDescent="0.25">
      <c r="A2728" s="753">
        <v>603612</v>
      </c>
      <c r="B2728" s="130">
        <v>0</v>
      </c>
      <c r="E2728" s="131"/>
    </row>
    <row r="2729" spans="1:9" x14ac:dyDescent="0.25">
      <c r="A2729" s="753">
        <v>603614</v>
      </c>
      <c r="B2729" s="130">
        <v>0</v>
      </c>
      <c r="E2729" s="131"/>
    </row>
    <row r="2730" spans="1:9" x14ac:dyDescent="0.25">
      <c r="A2730" s="753">
        <v>603616</v>
      </c>
      <c r="B2730" s="130">
        <v>0</v>
      </c>
      <c r="E2730" s="131"/>
    </row>
    <row r="2731" spans="1:9" x14ac:dyDescent="0.25">
      <c r="A2731" s="753">
        <v>603618</v>
      </c>
      <c r="B2731" s="130">
        <v>0</v>
      </c>
      <c r="E2731" s="131"/>
    </row>
    <row r="2732" spans="1:9" x14ac:dyDescent="0.25">
      <c r="A2732" s="753">
        <v>603622</v>
      </c>
      <c r="B2732" s="130">
        <v>0</v>
      </c>
      <c r="E2732" s="131"/>
    </row>
    <row r="2733" spans="1:9" x14ac:dyDescent="0.25">
      <c r="A2733" s="753">
        <v>603624</v>
      </c>
      <c r="B2733" s="130">
        <v>0</v>
      </c>
      <c r="E2733" s="131"/>
    </row>
    <row r="2734" spans="1:9" x14ac:dyDescent="0.25">
      <c r="A2734" s="753">
        <v>603626</v>
      </c>
      <c r="B2734" s="130">
        <v>0</v>
      </c>
      <c r="E2734" s="131"/>
    </row>
    <row r="2735" spans="1:9" x14ac:dyDescent="0.25">
      <c r="A2735" s="753">
        <v>603628</v>
      </c>
      <c r="B2735" s="130">
        <v>0</v>
      </c>
      <c r="E2735" s="131"/>
    </row>
    <row r="2736" spans="1:9" x14ac:dyDescent="0.25">
      <c r="A2736" s="753">
        <v>603712</v>
      </c>
      <c r="B2736" s="130">
        <v>0</v>
      </c>
      <c r="E2736" s="131"/>
    </row>
    <row r="2737" spans="1:9" x14ac:dyDescent="0.25">
      <c r="A2737" s="753">
        <v>603714</v>
      </c>
      <c r="B2737" s="130">
        <v>0</v>
      </c>
      <c r="E2737" s="131"/>
    </row>
    <row r="2738" spans="1:9" x14ac:dyDescent="0.25">
      <c r="A2738" s="753">
        <v>603716</v>
      </c>
      <c r="B2738" s="130">
        <v>0</v>
      </c>
      <c r="C2738" s="131" t="s">
        <v>376</v>
      </c>
      <c r="D2738" s="131">
        <v>16</v>
      </c>
      <c r="E2738" s="131" t="s">
        <v>376</v>
      </c>
      <c r="F2738" s="767">
        <v>-98510.95</v>
      </c>
      <c r="G2738" s="767">
        <v>0</v>
      </c>
      <c r="H2738" s="767">
        <v>-98510.95</v>
      </c>
      <c r="I2738" s="768" t="s">
        <v>2278</v>
      </c>
    </row>
    <row r="2739" spans="1:9" x14ac:dyDescent="0.25">
      <c r="A2739" s="753"/>
      <c r="C2739" s="131" t="s">
        <v>2279</v>
      </c>
      <c r="D2739" s="131">
        <v>16</v>
      </c>
      <c r="E2739" s="131" t="s">
        <v>2279</v>
      </c>
      <c r="F2739" s="767">
        <v>97615</v>
      </c>
      <c r="G2739" s="767">
        <v>0</v>
      </c>
      <c r="H2739" s="767">
        <v>97615</v>
      </c>
      <c r="I2739" s="768" t="s">
        <v>2280</v>
      </c>
    </row>
    <row r="2740" spans="1:9" x14ac:dyDescent="0.25">
      <c r="A2740" s="753"/>
      <c r="C2740" s="131" t="s">
        <v>378</v>
      </c>
      <c r="D2740" s="131">
        <v>16</v>
      </c>
      <c r="E2740" s="131" t="s">
        <v>378</v>
      </c>
      <c r="F2740" s="767">
        <v>-323316.75</v>
      </c>
      <c r="G2740" s="767">
        <v>0</v>
      </c>
      <c r="H2740" s="767">
        <v>-323316.75</v>
      </c>
      <c r="I2740" s="768" t="s">
        <v>1769</v>
      </c>
    </row>
    <row r="2741" spans="1:9" x14ac:dyDescent="0.25">
      <c r="A2741" s="753"/>
      <c r="C2741" s="131" t="s">
        <v>1121</v>
      </c>
      <c r="D2741" s="131">
        <v>16</v>
      </c>
      <c r="E2741" s="131" t="s">
        <v>1121</v>
      </c>
      <c r="F2741" s="767">
        <v>316233.65000000002</v>
      </c>
      <c r="G2741" s="767">
        <v>0</v>
      </c>
      <c r="H2741" s="767">
        <v>316233.65000000002</v>
      </c>
      <c r="I2741" s="768" t="s">
        <v>1770</v>
      </c>
    </row>
    <row r="2742" spans="1:9" x14ac:dyDescent="0.25">
      <c r="A2742" s="753">
        <v>603718</v>
      </c>
      <c r="B2742" s="130">
        <v>0</v>
      </c>
      <c r="E2742" s="131"/>
    </row>
    <row r="2743" spans="1:9" x14ac:dyDescent="0.25">
      <c r="A2743" s="753">
        <v>603722</v>
      </c>
      <c r="B2743" s="130">
        <v>4</v>
      </c>
      <c r="E2743" s="131"/>
    </row>
    <row r="2744" spans="1:9" x14ac:dyDescent="0.25">
      <c r="A2744" s="753">
        <v>603724</v>
      </c>
      <c r="B2744" s="130">
        <v>421828</v>
      </c>
      <c r="E2744" s="131"/>
    </row>
    <row r="2745" spans="1:9" x14ac:dyDescent="0.25">
      <c r="A2745" s="753">
        <v>603726</v>
      </c>
      <c r="B2745" s="130">
        <v>7979</v>
      </c>
      <c r="C2745" s="131" t="s">
        <v>376</v>
      </c>
      <c r="D2745" s="131">
        <v>16</v>
      </c>
      <c r="E2745" s="131" t="s">
        <v>376</v>
      </c>
      <c r="F2745" s="767">
        <v>-98510.95</v>
      </c>
      <c r="G2745" s="767">
        <v>0</v>
      </c>
      <c r="H2745" s="767">
        <v>-98510.95</v>
      </c>
      <c r="I2745" s="768" t="s">
        <v>2278</v>
      </c>
    </row>
    <row r="2746" spans="1:9" x14ac:dyDescent="0.25">
      <c r="A2746" s="753"/>
      <c r="C2746" s="131" t="s">
        <v>2279</v>
      </c>
      <c r="D2746" s="131">
        <v>16</v>
      </c>
      <c r="E2746" s="131" t="s">
        <v>2279</v>
      </c>
      <c r="F2746" s="767">
        <v>97615</v>
      </c>
      <c r="G2746" s="767">
        <v>0</v>
      </c>
      <c r="H2746" s="767">
        <v>97615</v>
      </c>
      <c r="I2746" s="768" t="s">
        <v>2280</v>
      </c>
    </row>
    <row r="2747" spans="1:9" x14ac:dyDescent="0.25">
      <c r="A2747" s="753"/>
      <c r="C2747" s="131" t="s">
        <v>378</v>
      </c>
      <c r="D2747" s="131">
        <v>16</v>
      </c>
      <c r="E2747" s="131" t="s">
        <v>378</v>
      </c>
      <c r="F2747" s="767">
        <v>-323316.75</v>
      </c>
      <c r="G2747" s="767">
        <v>0</v>
      </c>
      <c r="H2747" s="767">
        <v>-323316.75</v>
      </c>
      <c r="I2747" s="768" t="s">
        <v>1769</v>
      </c>
    </row>
    <row r="2748" spans="1:9" x14ac:dyDescent="0.25">
      <c r="A2748" s="753"/>
      <c r="C2748" s="131" t="s">
        <v>1121</v>
      </c>
      <c r="D2748" s="131">
        <v>16</v>
      </c>
      <c r="E2748" s="131" t="s">
        <v>1121</v>
      </c>
      <c r="F2748" s="767">
        <v>316233.65000000002</v>
      </c>
      <c r="G2748" s="767">
        <v>0</v>
      </c>
      <c r="H2748" s="767">
        <v>316233.65000000002</v>
      </c>
      <c r="I2748" s="768" t="s">
        <v>1770</v>
      </c>
    </row>
    <row r="2749" spans="1:9" x14ac:dyDescent="0.25">
      <c r="A2749" s="753">
        <v>603728</v>
      </c>
      <c r="B2749" s="130">
        <v>1995</v>
      </c>
      <c r="E2749" s="131"/>
    </row>
    <row r="2750" spans="1:9" x14ac:dyDescent="0.25">
      <c r="A2750" s="753">
        <v>603912</v>
      </c>
      <c r="B2750" s="130">
        <v>0</v>
      </c>
      <c r="C2750" s="131" t="s">
        <v>1123</v>
      </c>
      <c r="D2750" s="131">
        <v>16</v>
      </c>
      <c r="E2750" s="131" t="s">
        <v>1123</v>
      </c>
      <c r="F2750" s="767">
        <v>-0.19</v>
      </c>
      <c r="G2750" s="767">
        <v>0</v>
      </c>
      <c r="H2750" s="767">
        <v>-0.19</v>
      </c>
      <c r="I2750" s="768" t="s">
        <v>1771</v>
      </c>
    </row>
    <row r="2751" spans="1:9" x14ac:dyDescent="0.25">
      <c r="A2751" s="753"/>
      <c r="C2751" s="131" t="s">
        <v>1123</v>
      </c>
      <c r="D2751" s="131">
        <v>16</v>
      </c>
      <c r="E2751" s="131" t="s">
        <v>1055</v>
      </c>
      <c r="F2751" s="767">
        <v>-0.12</v>
      </c>
      <c r="G2751" s="767">
        <v>0</v>
      </c>
      <c r="H2751" s="767">
        <v>-0.12</v>
      </c>
      <c r="I2751" s="768" t="s">
        <v>1772</v>
      </c>
    </row>
    <row r="2752" spans="1:9" x14ac:dyDescent="0.25">
      <c r="A2752" s="753">
        <v>603914</v>
      </c>
      <c r="B2752" s="130">
        <v>0</v>
      </c>
      <c r="C2752" s="131">
        <v>418</v>
      </c>
      <c r="D2752" s="131">
        <v>16</v>
      </c>
      <c r="E2752" s="131">
        <v>418</v>
      </c>
      <c r="F2752" s="767">
        <v>-1440981.45</v>
      </c>
      <c r="G2752" s="767">
        <v>0</v>
      </c>
      <c r="H2752" s="767">
        <v>-1440981.45</v>
      </c>
      <c r="I2752" s="768" t="s">
        <v>1773</v>
      </c>
    </row>
    <row r="2753" spans="1:9" x14ac:dyDescent="0.25">
      <c r="A2753" s="753"/>
      <c r="C2753" s="131">
        <v>418</v>
      </c>
      <c r="D2753" s="131">
        <v>16</v>
      </c>
      <c r="E2753" s="131" t="s">
        <v>144</v>
      </c>
      <c r="F2753" s="767">
        <v>-927552.69</v>
      </c>
      <c r="G2753" s="767">
        <v>0</v>
      </c>
      <c r="H2753" s="767">
        <v>-927552.69</v>
      </c>
      <c r="I2753" s="768" t="s">
        <v>1774</v>
      </c>
    </row>
    <row r="2754" spans="1:9" x14ac:dyDescent="0.25">
      <c r="A2754" s="753">
        <v>603916</v>
      </c>
      <c r="B2754" s="130">
        <v>0</v>
      </c>
      <c r="C2754" s="131">
        <v>418</v>
      </c>
      <c r="D2754" s="131">
        <v>16</v>
      </c>
      <c r="E2754" s="131">
        <v>418</v>
      </c>
      <c r="F2754" s="767">
        <v>-1440981.45</v>
      </c>
      <c r="G2754" s="767">
        <v>0</v>
      </c>
      <c r="H2754" s="767">
        <v>-1440981.45</v>
      </c>
      <c r="I2754" s="768" t="s">
        <v>1773</v>
      </c>
    </row>
    <row r="2755" spans="1:9" x14ac:dyDescent="0.25">
      <c r="A2755" s="753"/>
      <c r="C2755" s="131">
        <v>418</v>
      </c>
      <c r="D2755" s="131">
        <v>16</v>
      </c>
      <c r="E2755" s="131" t="s">
        <v>144</v>
      </c>
      <c r="F2755" s="767">
        <v>-927552.69</v>
      </c>
      <c r="G2755" s="767">
        <v>0</v>
      </c>
      <c r="H2755" s="767">
        <v>-927552.69</v>
      </c>
      <c r="I2755" s="768" t="s">
        <v>1774</v>
      </c>
    </row>
    <row r="2756" spans="1:9" x14ac:dyDescent="0.25">
      <c r="A2756" s="753"/>
      <c r="C2756" s="131">
        <v>618</v>
      </c>
      <c r="D2756" s="131">
        <v>16</v>
      </c>
      <c r="E2756" s="131">
        <v>618</v>
      </c>
      <c r="F2756" s="767">
        <v>1398430.52</v>
      </c>
      <c r="G2756" s="767">
        <v>0</v>
      </c>
      <c r="H2756" s="767">
        <v>1398430.52</v>
      </c>
      <c r="I2756" s="768" t="s">
        <v>1775</v>
      </c>
    </row>
    <row r="2757" spans="1:9" x14ac:dyDescent="0.25">
      <c r="A2757" s="753"/>
      <c r="C2757" s="131">
        <v>618</v>
      </c>
      <c r="D2757" s="131">
        <v>16</v>
      </c>
      <c r="E2757" s="131" t="s">
        <v>1056</v>
      </c>
      <c r="F2757" s="767">
        <v>905230.46</v>
      </c>
      <c r="G2757" s="767">
        <v>0</v>
      </c>
      <c r="H2757" s="767">
        <v>905230.46</v>
      </c>
      <c r="I2757" s="768" t="s">
        <v>1776</v>
      </c>
    </row>
    <row r="2758" spans="1:9" x14ac:dyDescent="0.25">
      <c r="A2758" s="753">
        <v>603918</v>
      </c>
      <c r="B2758" s="130">
        <v>0</v>
      </c>
      <c r="E2758" s="131"/>
    </row>
    <row r="2759" spans="1:9" x14ac:dyDescent="0.25">
      <c r="A2759" s="753">
        <v>603922</v>
      </c>
      <c r="B2759" s="130">
        <v>31</v>
      </c>
      <c r="C2759" s="131" t="s">
        <v>1123</v>
      </c>
      <c r="D2759" s="131">
        <v>16</v>
      </c>
      <c r="E2759" s="131" t="s">
        <v>1123</v>
      </c>
      <c r="F2759" s="767">
        <v>-0.19</v>
      </c>
      <c r="G2759" s="767">
        <v>0</v>
      </c>
      <c r="H2759" s="767">
        <v>-0.19</v>
      </c>
      <c r="I2759" s="768" t="s">
        <v>1771</v>
      </c>
    </row>
    <row r="2760" spans="1:9" x14ac:dyDescent="0.25">
      <c r="A2760" s="753"/>
      <c r="C2760" s="131" t="s">
        <v>1123</v>
      </c>
      <c r="D2760" s="131">
        <v>16</v>
      </c>
      <c r="E2760" s="131" t="s">
        <v>1055</v>
      </c>
      <c r="F2760" s="767">
        <v>-0.12</v>
      </c>
      <c r="G2760" s="767">
        <v>0</v>
      </c>
      <c r="H2760" s="767">
        <v>-0.12</v>
      </c>
      <c r="I2760" s="768" t="s">
        <v>1772</v>
      </c>
    </row>
    <row r="2761" spans="1:9" x14ac:dyDescent="0.25">
      <c r="A2761" s="753">
        <v>603924</v>
      </c>
      <c r="B2761" s="130">
        <v>2368534</v>
      </c>
      <c r="C2761" s="131">
        <v>418</v>
      </c>
      <c r="D2761" s="131">
        <v>16</v>
      </c>
      <c r="E2761" s="131">
        <v>418</v>
      </c>
      <c r="F2761" s="767">
        <v>-1440981.45</v>
      </c>
      <c r="G2761" s="767">
        <v>0</v>
      </c>
      <c r="H2761" s="767">
        <v>-1440981.45</v>
      </c>
      <c r="I2761" s="768" t="s">
        <v>1773</v>
      </c>
    </row>
    <row r="2762" spans="1:9" x14ac:dyDescent="0.25">
      <c r="A2762" s="753"/>
      <c r="C2762" s="131">
        <v>418</v>
      </c>
      <c r="D2762" s="131">
        <v>16</v>
      </c>
      <c r="E2762" s="131" t="s">
        <v>144</v>
      </c>
      <c r="F2762" s="767">
        <v>-927552.69</v>
      </c>
      <c r="G2762" s="767">
        <v>0</v>
      </c>
      <c r="H2762" s="767">
        <v>-927552.69</v>
      </c>
      <c r="I2762" s="768" t="s">
        <v>1774</v>
      </c>
    </row>
    <row r="2763" spans="1:9" x14ac:dyDescent="0.25">
      <c r="A2763" s="753">
        <v>603926</v>
      </c>
      <c r="B2763" s="130">
        <v>64873</v>
      </c>
      <c r="C2763" s="131">
        <v>418</v>
      </c>
      <c r="D2763" s="131">
        <v>16</v>
      </c>
      <c r="E2763" s="131">
        <v>418</v>
      </c>
      <c r="F2763" s="767">
        <v>-1440981.45</v>
      </c>
      <c r="G2763" s="767">
        <v>0</v>
      </c>
      <c r="H2763" s="767">
        <v>-1440981.45</v>
      </c>
      <c r="I2763" s="768" t="s">
        <v>1773</v>
      </c>
    </row>
    <row r="2764" spans="1:9" x14ac:dyDescent="0.25">
      <c r="A2764" s="753"/>
      <c r="C2764" s="131">
        <v>418</v>
      </c>
      <c r="D2764" s="131">
        <v>16</v>
      </c>
      <c r="E2764" s="131" t="s">
        <v>144</v>
      </c>
      <c r="F2764" s="767">
        <v>-927552.69</v>
      </c>
      <c r="G2764" s="767">
        <v>0</v>
      </c>
      <c r="H2764" s="767">
        <v>-927552.69</v>
      </c>
      <c r="I2764" s="768" t="s">
        <v>1774</v>
      </c>
    </row>
    <row r="2765" spans="1:9" x14ac:dyDescent="0.25">
      <c r="A2765" s="753"/>
      <c r="C2765" s="131">
        <v>618</v>
      </c>
      <c r="D2765" s="131">
        <v>16</v>
      </c>
      <c r="E2765" s="131">
        <v>618</v>
      </c>
      <c r="F2765" s="767">
        <v>1398430.52</v>
      </c>
      <c r="G2765" s="767">
        <v>0</v>
      </c>
      <c r="H2765" s="767">
        <v>1398430.52</v>
      </c>
      <c r="I2765" s="768" t="s">
        <v>1775</v>
      </c>
    </row>
    <row r="2766" spans="1:9" x14ac:dyDescent="0.25">
      <c r="A2766" s="753"/>
      <c r="C2766" s="131">
        <v>618</v>
      </c>
      <c r="D2766" s="131">
        <v>16</v>
      </c>
      <c r="E2766" s="131" t="s">
        <v>1056</v>
      </c>
      <c r="F2766" s="767">
        <v>905230.46</v>
      </c>
      <c r="G2766" s="767">
        <v>0</v>
      </c>
      <c r="H2766" s="767">
        <v>905230.46</v>
      </c>
      <c r="I2766" s="768" t="s">
        <v>1776</v>
      </c>
    </row>
    <row r="2767" spans="1:9" x14ac:dyDescent="0.25">
      <c r="A2767" s="753">
        <v>603928</v>
      </c>
      <c r="B2767" s="130">
        <v>2093</v>
      </c>
      <c r="E2767" s="131"/>
    </row>
    <row r="2768" spans="1:9" x14ac:dyDescent="0.25">
      <c r="A2768" s="753">
        <v>604012</v>
      </c>
      <c r="B2768" s="130">
        <v>1</v>
      </c>
      <c r="C2768" s="131" t="s">
        <v>1124</v>
      </c>
      <c r="D2768" s="131">
        <v>16</v>
      </c>
      <c r="E2768" s="131" t="s">
        <v>1124</v>
      </c>
      <c r="F2768" s="767">
        <v>-0.02</v>
      </c>
      <c r="G2768" s="767">
        <v>-0.01</v>
      </c>
      <c r="H2768" s="767">
        <v>-0.03</v>
      </c>
      <c r="I2768" s="768" t="s">
        <v>1777</v>
      </c>
    </row>
    <row r="2769" spans="1:9" x14ac:dyDescent="0.25">
      <c r="A2769" s="753">
        <v>604014</v>
      </c>
      <c r="B2769" s="130">
        <v>71375</v>
      </c>
      <c r="C2769" s="131">
        <v>419</v>
      </c>
      <c r="D2769" s="131">
        <v>16</v>
      </c>
      <c r="E2769" s="131">
        <v>419</v>
      </c>
      <c r="F2769" s="767">
        <v>-253973.5</v>
      </c>
      <c r="G2769" s="767">
        <v>-71375.3</v>
      </c>
      <c r="H2769" s="767">
        <v>-325348.8</v>
      </c>
      <c r="I2769" s="768" t="s">
        <v>1778</v>
      </c>
    </row>
    <row r="2770" spans="1:9" x14ac:dyDescent="0.25">
      <c r="A2770" s="753">
        <v>604016</v>
      </c>
      <c r="B2770" s="130">
        <v>416</v>
      </c>
      <c r="C2770" s="131">
        <v>419</v>
      </c>
      <c r="D2770" s="131">
        <v>16</v>
      </c>
      <c r="E2770" s="131">
        <v>419</v>
      </c>
      <c r="F2770" s="767">
        <v>-253973.5</v>
      </c>
      <c r="G2770" s="767">
        <v>-71375.3</v>
      </c>
      <c r="H2770" s="767">
        <v>-325348.8</v>
      </c>
      <c r="I2770" s="768" t="s">
        <v>1778</v>
      </c>
    </row>
    <row r="2771" spans="1:9" x14ac:dyDescent="0.25">
      <c r="A2771" s="753"/>
      <c r="C2771" s="131">
        <v>619</v>
      </c>
      <c r="D2771" s="131">
        <v>16</v>
      </c>
      <c r="E2771" s="131">
        <v>619</v>
      </c>
      <c r="F2771" s="767">
        <v>241009.33</v>
      </c>
      <c r="G2771" s="767">
        <v>70959.12</v>
      </c>
      <c r="H2771" s="767">
        <v>311968.45</v>
      </c>
      <c r="I2771" s="768" t="s">
        <v>1779</v>
      </c>
    </row>
    <row r="2772" spans="1:9" x14ac:dyDescent="0.25">
      <c r="A2772" s="753">
        <v>604018</v>
      </c>
      <c r="B2772" s="130">
        <v>416</v>
      </c>
      <c r="E2772" s="131"/>
    </row>
    <row r="2773" spans="1:9" x14ac:dyDescent="0.25">
      <c r="A2773" s="753">
        <v>604022</v>
      </c>
      <c r="B2773" s="130">
        <v>3</v>
      </c>
      <c r="C2773" s="131" t="s">
        <v>1124</v>
      </c>
      <c r="D2773" s="131">
        <v>16</v>
      </c>
      <c r="E2773" s="131" t="s">
        <v>1124</v>
      </c>
      <c r="F2773" s="767">
        <v>-0.02</v>
      </c>
      <c r="G2773" s="767">
        <v>-0.01</v>
      </c>
      <c r="H2773" s="767">
        <v>-0.03</v>
      </c>
      <c r="I2773" s="768" t="s">
        <v>1777</v>
      </c>
    </row>
    <row r="2774" spans="1:9" x14ac:dyDescent="0.25">
      <c r="A2774" s="753">
        <v>604024</v>
      </c>
      <c r="B2774" s="130">
        <v>325349</v>
      </c>
      <c r="C2774" s="131">
        <v>419</v>
      </c>
      <c r="D2774" s="131">
        <v>16</v>
      </c>
      <c r="E2774" s="131">
        <v>419</v>
      </c>
      <c r="F2774" s="767">
        <v>-253973.5</v>
      </c>
      <c r="G2774" s="767">
        <v>-71375.3</v>
      </c>
      <c r="H2774" s="767">
        <v>-325348.8</v>
      </c>
      <c r="I2774" s="768" t="s">
        <v>1778</v>
      </c>
    </row>
    <row r="2775" spans="1:9" x14ac:dyDescent="0.25">
      <c r="A2775" s="753">
        <v>604026</v>
      </c>
      <c r="B2775" s="130">
        <v>13381</v>
      </c>
      <c r="C2775" s="131">
        <v>419</v>
      </c>
      <c r="D2775" s="131">
        <v>16</v>
      </c>
      <c r="E2775" s="131">
        <v>419</v>
      </c>
      <c r="F2775" s="767">
        <v>-253973.5</v>
      </c>
      <c r="G2775" s="767">
        <v>-71375.3</v>
      </c>
      <c r="H2775" s="767">
        <v>-325348.8</v>
      </c>
      <c r="I2775" s="768" t="s">
        <v>1778</v>
      </c>
    </row>
    <row r="2776" spans="1:9" x14ac:dyDescent="0.25">
      <c r="A2776" s="753"/>
      <c r="C2776" s="131">
        <v>619</v>
      </c>
      <c r="D2776" s="131">
        <v>16</v>
      </c>
      <c r="E2776" s="131">
        <v>619</v>
      </c>
      <c r="F2776" s="767">
        <v>241009.33</v>
      </c>
      <c r="G2776" s="767">
        <v>70959.12</v>
      </c>
      <c r="H2776" s="767">
        <v>311968.45</v>
      </c>
      <c r="I2776" s="768" t="s">
        <v>1779</v>
      </c>
    </row>
    <row r="2777" spans="1:9" x14ac:dyDescent="0.25">
      <c r="A2777" s="753">
        <v>604028</v>
      </c>
      <c r="B2777" s="130">
        <v>4460</v>
      </c>
      <c r="E2777" s="131"/>
    </row>
    <row r="2778" spans="1:9" x14ac:dyDescent="0.25">
      <c r="A2778" s="753">
        <v>604112</v>
      </c>
      <c r="E2778" s="131"/>
    </row>
    <row r="2779" spans="1:9" x14ac:dyDescent="0.25">
      <c r="A2779" s="753">
        <v>604116</v>
      </c>
      <c r="B2779" s="130">
        <v>0</v>
      </c>
      <c r="E2779" s="131"/>
    </row>
    <row r="2780" spans="1:9" x14ac:dyDescent="0.25">
      <c r="A2780" s="753">
        <v>604122</v>
      </c>
      <c r="E2780" s="131"/>
    </row>
    <row r="2781" spans="1:9" x14ac:dyDescent="0.25">
      <c r="A2781" s="753">
        <v>604126</v>
      </c>
      <c r="B2781" s="130">
        <v>0</v>
      </c>
      <c r="E2781" s="131"/>
    </row>
    <row r="2782" spans="1:9" x14ac:dyDescent="0.25">
      <c r="A2782" s="753">
        <v>604212</v>
      </c>
      <c r="E2782" s="131"/>
    </row>
    <row r="2783" spans="1:9" x14ac:dyDescent="0.25">
      <c r="A2783" s="753">
        <v>604216</v>
      </c>
      <c r="B2783" s="130">
        <v>35868</v>
      </c>
      <c r="C2783" s="131" t="s">
        <v>226</v>
      </c>
      <c r="D2783" s="131">
        <v>16</v>
      </c>
      <c r="E2783" s="131" t="s">
        <v>226</v>
      </c>
      <c r="F2783" s="767">
        <v>-324517</v>
      </c>
      <c r="G2783" s="767">
        <v>-35867.599999999999</v>
      </c>
      <c r="H2783" s="767">
        <v>-360384.6</v>
      </c>
      <c r="I2783" s="768" t="s">
        <v>1780</v>
      </c>
    </row>
    <row r="2784" spans="1:9" x14ac:dyDescent="0.25">
      <c r="A2784" s="753">
        <v>604222</v>
      </c>
      <c r="E2784" s="131"/>
    </row>
    <row r="2785" spans="1:9" x14ac:dyDescent="0.25">
      <c r="A2785" s="753">
        <v>604226</v>
      </c>
      <c r="B2785" s="130">
        <v>360385</v>
      </c>
      <c r="C2785" s="131" t="s">
        <v>226</v>
      </c>
      <c r="D2785" s="131">
        <v>16</v>
      </c>
      <c r="E2785" s="131" t="s">
        <v>226</v>
      </c>
      <c r="F2785" s="767">
        <v>-324517</v>
      </c>
      <c r="G2785" s="767">
        <v>-35867.599999999999</v>
      </c>
      <c r="H2785" s="767">
        <v>-360384.6</v>
      </c>
      <c r="I2785" s="768" t="s">
        <v>1780</v>
      </c>
    </row>
    <row r="2786" spans="1:9" x14ac:dyDescent="0.25">
      <c r="A2786" s="753">
        <v>604512</v>
      </c>
      <c r="B2786" s="130">
        <v>49</v>
      </c>
      <c r="C2786" s="131" t="s">
        <v>1125</v>
      </c>
      <c r="D2786" s="131">
        <v>16</v>
      </c>
      <c r="E2786" s="131" t="s">
        <v>1125</v>
      </c>
      <c r="F2786" s="767">
        <v>-1.73</v>
      </c>
      <c r="G2786" s="767">
        <v>-0.21</v>
      </c>
      <c r="H2786" s="767">
        <v>-1.94</v>
      </c>
      <c r="I2786" s="768" t="s">
        <v>1781</v>
      </c>
    </row>
    <row r="2787" spans="1:9" x14ac:dyDescent="0.25">
      <c r="A2787" s="753"/>
      <c r="C2787" s="131" t="s">
        <v>1125</v>
      </c>
      <c r="D2787" s="131">
        <v>16</v>
      </c>
      <c r="E2787" s="131" t="s">
        <v>1169</v>
      </c>
      <c r="F2787" s="767">
        <v>-0.02</v>
      </c>
      <c r="G2787" s="767">
        <v>0</v>
      </c>
      <c r="H2787" s="767">
        <v>-0.02</v>
      </c>
      <c r="I2787" s="768" t="s">
        <v>1782</v>
      </c>
    </row>
    <row r="2788" spans="1:9" x14ac:dyDescent="0.25">
      <c r="A2788" s="753"/>
      <c r="C2788" s="131" t="s">
        <v>1125</v>
      </c>
      <c r="D2788" s="131">
        <v>16</v>
      </c>
      <c r="E2788" s="131" t="s">
        <v>1783</v>
      </c>
      <c r="F2788" s="767">
        <v>-0.68</v>
      </c>
      <c r="G2788" s="767">
        <v>-0.06</v>
      </c>
      <c r="H2788" s="767">
        <v>-0.74</v>
      </c>
      <c r="I2788" s="768" t="s">
        <v>1784</v>
      </c>
    </row>
    <row r="2789" spans="1:9" x14ac:dyDescent="0.25">
      <c r="A2789" s="753"/>
      <c r="C2789" s="131" t="s">
        <v>1125</v>
      </c>
      <c r="D2789" s="131">
        <v>16</v>
      </c>
      <c r="E2789" s="131" t="s">
        <v>1785</v>
      </c>
      <c r="F2789" s="767">
        <v>-0.01</v>
      </c>
      <c r="G2789" s="767">
        <v>0</v>
      </c>
      <c r="H2789" s="767">
        <v>-0.01</v>
      </c>
      <c r="I2789" s="768" t="s">
        <v>1786</v>
      </c>
    </row>
    <row r="2790" spans="1:9" x14ac:dyDescent="0.25">
      <c r="A2790" s="753"/>
      <c r="C2790" s="131" t="s">
        <v>1125</v>
      </c>
      <c r="D2790" s="131">
        <v>16</v>
      </c>
      <c r="E2790" s="131" t="s">
        <v>1787</v>
      </c>
      <c r="F2790" s="767">
        <v>-0.06</v>
      </c>
      <c r="G2790" s="767">
        <v>0</v>
      </c>
      <c r="H2790" s="767">
        <v>-0.06</v>
      </c>
      <c r="I2790" s="768" t="s">
        <v>1788</v>
      </c>
    </row>
    <row r="2791" spans="1:9" x14ac:dyDescent="0.25">
      <c r="A2791" s="753"/>
      <c r="C2791" s="131" t="s">
        <v>1125</v>
      </c>
      <c r="D2791" s="131">
        <v>16</v>
      </c>
      <c r="E2791" s="131" t="s">
        <v>1148</v>
      </c>
      <c r="F2791" s="767">
        <v>-1.68</v>
      </c>
      <c r="G2791" s="767">
        <v>-0.21</v>
      </c>
      <c r="H2791" s="767">
        <v>-1.89</v>
      </c>
      <c r="I2791" s="768" t="s">
        <v>1789</v>
      </c>
    </row>
    <row r="2792" spans="1:9" x14ac:dyDescent="0.25">
      <c r="A2792" s="753"/>
      <c r="C2792" s="131" t="s">
        <v>1125</v>
      </c>
      <c r="D2792" s="131">
        <v>16</v>
      </c>
      <c r="E2792" s="131" t="s">
        <v>1790</v>
      </c>
      <c r="F2792" s="767">
        <v>-0.03</v>
      </c>
      <c r="G2792" s="767">
        <v>0</v>
      </c>
      <c r="H2792" s="767">
        <v>-0.03</v>
      </c>
      <c r="I2792" s="768" t="s">
        <v>1791</v>
      </c>
    </row>
    <row r="2793" spans="1:9" x14ac:dyDescent="0.25">
      <c r="A2793" s="753"/>
      <c r="C2793" s="131" t="s">
        <v>1125</v>
      </c>
      <c r="D2793" s="131">
        <v>16</v>
      </c>
      <c r="E2793" s="131" t="s">
        <v>1057</v>
      </c>
      <c r="F2793" s="767">
        <v>-0.28999999999999998</v>
      </c>
      <c r="G2793" s="767">
        <v>-0.01</v>
      </c>
      <c r="H2793" s="767">
        <v>-0.3</v>
      </c>
      <c r="I2793" s="768" t="s">
        <v>1792</v>
      </c>
    </row>
    <row r="2794" spans="1:9" x14ac:dyDescent="0.25">
      <c r="A2794" s="753">
        <v>604514</v>
      </c>
      <c r="B2794" s="130">
        <v>56260</v>
      </c>
      <c r="C2794" s="131" t="s">
        <v>1126</v>
      </c>
      <c r="D2794" s="131">
        <v>16</v>
      </c>
      <c r="E2794" s="131" t="s">
        <v>1126</v>
      </c>
      <c r="F2794" s="767">
        <v>-89737.82</v>
      </c>
      <c r="G2794" s="767">
        <v>-10469.99</v>
      </c>
      <c r="H2794" s="767">
        <v>-100207.81</v>
      </c>
      <c r="I2794" s="768" t="s">
        <v>1793</v>
      </c>
    </row>
    <row r="2795" spans="1:9" x14ac:dyDescent="0.25">
      <c r="A2795" s="753"/>
      <c r="C2795" s="131" t="s">
        <v>1126</v>
      </c>
      <c r="D2795" s="131">
        <v>16</v>
      </c>
      <c r="E2795" s="131" t="s">
        <v>1170</v>
      </c>
      <c r="F2795" s="767">
        <v>-1769.38</v>
      </c>
      <c r="G2795" s="767">
        <v>0</v>
      </c>
      <c r="H2795" s="767">
        <v>-1769.38</v>
      </c>
      <c r="I2795" s="768" t="s">
        <v>1794</v>
      </c>
    </row>
    <row r="2796" spans="1:9" x14ac:dyDescent="0.25">
      <c r="A2796" s="753"/>
      <c r="C2796" s="131" t="s">
        <v>1126</v>
      </c>
      <c r="D2796" s="131">
        <v>16</v>
      </c>
      <c r="E2796" s="131" t="s">
        <v>1795</v>
      </c>
      <c r="F2796" s="767">
        <v>-118382</v>
      </c>
      <c r="G2796" s="767">
        <v>-10194</v>
      </c>
      <c r="H2796" s="767">
        <v>-128576</v>
      </c>
      <c r="I2796" s="768" t="s">
        <v>1796</v>
      </c>
    </row>
    <row r="2797" spans="1:9" x14ac:dyDescent="0.25">
      <c r="A2797" s="753"/>
      <c r="C2797" s="131" t="s">
        <v>1126</v>
      </c>
      <c r="D2797" s="131">
        <v>16</v>
      </c>
      <c r="E2797" s="131" t="s">
        <v>1797</v>
      </c>
      <c r="F2797" s="767">
        <v>-10120</v>
      </c>
      <c r="G2797" s="767">
        <v>0</v>
      </c>
      <c r="H2797" s="767">
        <v>-10120</v>
      </c>
      <c r="I2797" s="768" t="s">
        <v>1798</v>
      </c>
    </row>
    <row r="2798" spans="1:9" x14ac:dyDescent="0.25">
      <c r="A2798" s="753"/>
      <c r="C2798" s="131" t="s">
        <v>1126</v>
      </c>
      <c r="D2798" s="131">
        <v>16</v>
      </c>
      <c r="E2798" s="131" t="s">
        <v>1799</v>
      </c>
      <c r="F2798" s="767">
        <v>-8310</v>
      </c>
      <c r="G2798" s="767">
        <v>0</v>
      </c>
      <c r="H2798" s="767">
        <v>-8310</v>
      </c>
      <c r="I2798" s="768" t="s">
        <v>1800</v>
      </c>
    </row>
    <row r="2799" spans="1:9" x14ac:dyDescent="0.25">
      <c r="A2799" s="753"/>
      <c r="C2799" s="131" t="s">
        <v>1126</v>
      </c>
      <c r="D2799" s="131">
        <v>16</v>
      </c>
      <c r="E2799" s="131" t="s">
        <v>1149</v>
      </c>
      <c r="F2799" s="767">
        <v>-196190.88</v>
      </c>
      <c r="G2799" s="767">
        <v>-18865</v>
      </c>
      <c r="H2799" s="767">
        <v>-215055.88</v>
      </c>
      <c r="I2799" s="768" t="s">
        <v>1801</v>
      </c>
    </row>
    <row r="2800" spans="1:9" x14ac:dyDescent="0.25">
      <c r="A2800" s="753"/>
      <c r="C2800" s="131" t="s">
        <v>1126</v>
      </c>
      <c r="D2800" s="131">
        <v>16</v>
      </c>
      <c r="E2800" s="131" t="s">
        <v>1802</v>
      </c>
      <c r="F2800" s="767">
        <v>-4815</v>
      </c>
      <c r="G2800" s="767">
        <v>0</v>
      </c>
      <c r="H2800" s="767">
        <v>-4815</v>
      </c>
      <c r="I2800" s="768" t="s">
        <v>1803</v>
      </c>
    </row>
    <row r="2801" spans="1:9" x14ac:dyDescent="0.25">
      <c r="A2801" s="753"/>
      <c r="C2801" s="131" t="s">
        <v>1126</v>
      </c>
      <c r="D2801" s="131">
        <v>16</v>
      </c>
      <c r="E2801" s="131" t="s">
        <v>973</v>
      </c>
      <c r="F2801" s="767">
        <v>-108290</v>
      </c>
      <c r="G2801" s="767">
        <v>-13685</v>
      </c>
      <c r="H2801" s="767">
        <v>-121975</v>
      </c>
      <c r="I2801" s="768" t="s">
        <v>1804</v>
      </c>
    </row>
    <row r="2802" spans="1:9" x14ac:dyDescent="0.25">
      <c r="A2802" s="753"/>
      <c r="C2802" s="131" t="s">
        <v>1126</v>
      </c>
      <c r="D2802" s="131">
        <v>16</v>
      </c>
      <c r="E2802" s="131" t="s">
        <v>126</v>
      </c>
      <c r="F2802" s="767">
        <v>-41380.5</v>
      </c>
      <c r="G2802" s="767">
        <v>-3046</v>
      </c>
      <c r="H2802" s="767">
        <v>-44426.5</v>
      </c>
      <c r="I2802" s="768" t="s">
        <v>1805</v>
      </c>
    </row>
    <row r="2803" spans="1:9" x14ac:dyDescent="0.25">
      <c r="A2803" s="753">
        <v>604516</v>
      </c>
      <c r="B2803" s="130">
        <v>37151</v>
      </c>
      <c r="C2803" s="131" t="s">
        <v>1126</v>
      </c>
      <c r="D2803" s="131">
        <v>16</v>
      </c>
      <c r="E2803" s="131" t="s">
        <v>1126</v>
      </c>
      <c r="F2803" s="767">
        <v>-89737.82</v>
      </c>
      <c r="G2803" s="767">
        <v>-10469.99</v>
      </c>
      <c r="H2803" s="767">
        <v>-100207.81</v>
      </c>
      <c r="I2803" s="768" t="s">
        <v>1793</v>
      </c>
    </row>
    <row r="2804" spans="1:9" x14ac:dyDescent="0.25">
      <c r="A2804" s="753"/>
      <c r="C2804" s="131" t="s">
        <v>1126</v>
      </c>
      <c r="D2804" s="131">
        <v>16</v>
      </c>
      <c r="E2804" s="131" t="s">
        <v>1170</v>
      </c>
      <c r="F2804" s="767">
        <v>-1769.38</v>
      </c>
      <c r="G2804" s="767">
        <v>0</v>
      </c>
      <c r="H2804" s="767">
        <v>-1769.38</v>
      </c>
      <c r="I2804" s="768" t="s">
        <v>1794</v>
      </c>
    </row>
    <row r="2805" spans="1:9" x14ac:dyDescent="0.25">
      <c r="A2805" s="753"/>
      <c r="C2805" s="131" t="s">
        <v>1126</v>
      </c>
      <c r="D2805" s="131">
        <v>16</v>
      </c>
      <c r="E2805" s="131" t="s">
        <v>1795</v>
      </c>
      <c r="F2805" s="767">
        <v>-118382</v>
      </c>
      <c r="G2805" s="767">
        <v>-10194</v>
      </c>
      <c r="H2805" s="767">
        <v>-128576</v>
      </c>
      <c r="I2805" s="768" t="s">
        <v>1796</v>
      </c>
    </row>
    <row r="2806" spans="1:9" x14ac:dyDescent="0.25">
      <c r="A2806" s="753"/>
      <c r="C2806" s="131" t="s">
        <v>1126</v>
      </c>
      <c r="D2806" s="131">
        <v>16</v>
      </c>
      <c r="E2806" s="131" t="s">
        <v>1797</v>
      </c>
      <c r="F2806" s="767">
        <v>-10120</v>
      </c>
      <c r="G2806" s="767">
        <v>0</v>
      </c>
      <c r="H2806" s="767">
        <v>-10120</v>
      </c>
      <c r="I2806" s="768" t="s">
        <v>1798</v>
      </c>
    </row>
    <row r="2807" spans="1:9" x14ac:dyDescent="0.25">
      <c r="A2807" s="753"/>
      <c r="C2807" s="131" t="s">
        <v>1126</v>
      </c>
      <c r="D2807" s="131">
        <v>16</v>
      </c>
      <c r="E2807" s="131" t="s">
        <v>1799</v>
      </c>
      <c r="F2807" s="767">
        <v>-8310</v>
      </c>
      <c r="G2807" s="767">
        <v>0</v>
      </c>
      <c r="H2807" s="767">
        <v>-8310</v>
      </c>
      <c r="I2807" s="768" t="s">
        <v>1800</v>
      </c>
    </row>
    <row r="2808" spans="1:9" x14ac:dyDescent="0.25">
      <c r="A2808" s="753"/>
      <c r="C2808" s="131" t="s">
        <v>1126</v>
      </c>
      <c r="D2808" s="131">
        <v>16</v>
      </c>
      <c r="E2808" s="131" t="s">
        <v>1149</v>
      </c>
      <c r="F2808" s="767">
        <v>-196190.88</v>
      </c>
      <c r="G2808" s="767">
        <v>-18865</v>
      </c>
      <c r="H2808" s="767">
        <v>-215055.88</v>
      </c>
      <c r="I2808" s="768" t="s">
        <v>1801</v>
      </c>
    </row>
    <row r="2809" spans="1:9" x14ac:dyDescent="0.25">
      <c r="A2809" s="753"/>
      <c r="C2809" s="131" t="s">
        <v>1126</v>
      </c>
      <c r="D2809" s="131">
        <v>16</v>
      </c>
      <c r="E2809" s="131" t="s">
        <v>1802</v>
      </c>
      <c r="F2809" s="767">
        <v>-4815</v>
      </c>
      <c r="G2809" s="767">
        <v>0</v>
      </c>
      <c r="H2809" s="767">
        <v>-4815</v>
      </c>
      <c r="I2809" s="768" t="s">
        <v>1803</v>
      </c>
    </row>
    <row r="2810" spans="1:9" x14ac:dyDescent="0.25">
      <c r="A2810" s="753"/>
      <c r="C2810" s="131" t="s">
        <v>1126</v>
      </c>
      <c r="D2810" s="131">
        <v>16</v>
      </c>
      <c r="E2810" s="131" t="s">
        <v>973</v>
      </c>
      <c r="F2810" s="767">
        <v>-108290</v>
      </c>
      <c r="G2810" s="767">
        <v>-13685</v>
      </c>
      <c r="H2810" s="767">
        <v>-121975</v>
      </c>
      <c r="I2810" s="768" t="s">
        <v>1804</v>
      </c>
    </row>
    <row r="2811" spans="1:9" x14ac:dyDescent="0.25">
      <c r="A2811" s="753"/>
      <c r="C2811" s="131" t="s">
        <v>1126</v>
      </c>
      <c r="D2811" s="131">
        <v>16</v>
      </c>
      <c r="E2811" s="131" t="s">
        <v>126</v>
      </c>
      <c r="F2811" s="767">
        <v>-41380.5</v>
      </c>
      <c r="G2811" s="767">
        <v>-3046</v>
      </c>
      <c r="H2811" s="767">
        <v>-44426.5</v>
      </c>
      <c r="I2811" s="768" t="s">
        <v>1805</v>
      </c>
    </row>
    <row r="2812" spans="1:9" x14ac:dyDescent="0.25">
      <c r="A2812" s="753"/>
      <c r="C2812" s="131" t="s">
        <v>1127</v>
      </c>
      <c r="D2812" s="131">
        <v>16</v>
      </c>
      <c r="E2812" s="131" t="s">
        <v>1127</v>
      </c>
      <c r="F2812" s="767">
        <v>18783.349999999999</v>
      </c>
      <c r="G2812" s="767">
        <v>1934.9</v>
      </c>
      <c r="H2812" s="767">
        <v>20718.25</v>
      </c>
      <c r="I2812" s="768" t="s">
        <v>1806</v>
      </c>
    </row>
    <row r="2813" spans="1:9" x14ac:dyDescent="0.25">
      <c r="A2813" s="753"/>
      <c r="C2813" s="131" t="s">
        <v>1127</v>
      </c>
      <c r="D2813" s="131">
        <v>16</v>
      </c>
      <c r="E2813" s="131" t="s">
        <v>1807</v>
      </c>
      <c r="F2813" s="767">
        <v>87942</v>
      </c>
      <c r="G2813" s="767">
        <v>7464</v>
      </c>
      <c r="H2813" s="767">
        <v>95406</v>
      </c>
      <c r="I2813" s="768" t="s">
        <v>1808</v>
      </c>
    </row>
    <row r="2814" spans="1:9" x14ac:dyDescent="0.25">
      <c r="A2814" s="753"/>
      <c r="C2814" s="131" t="s">
        <v>1127</v>
      </c>
      <c r="D2814" s="131">
        <v>16</v>
      </c>
      <c r="E2814" s="131" t="s">
        <v>1809</v>
      </c>
      <c r="F2814" s="767">
        <v>7084</v>
      </c>
      <c r="G2814" s="767">
        <v>0</v>
      </c>
      <c r="H2814" s="767">
        <v>7084</v>
      </c>
      <c r="I2814" s="768" t="s">
        <v>1810</v>
      </c>
    </row>
    <row r="2815" spans="1:9" x14ac:dyDescent="0.25">
      <c r="A2815" s="753"/>
      <c r="C2815" s="131" t="s">
        <v>1127</v>
      </c>
      <c r="D2815" s="131">
        <v>16</v>
      </c>
      <c r="E2815" s="131" t="s">
        <v>1811</v>
      </c>
      <c r="F2815" s="767">
        <v>5210</v>
      </c>
      <c r="G2815" s="767">
        <v>0</v>
      </c>
      <c r="H2815" s="767">
        <v>5210</v>
      </c>
      <c r="I2815" s="768" t="s">
        <v>1812</v>
      </c>
    </row>
    <row r="2816" spans="1:9" x14ac:dyDescent="0.25">
      <c r="A2816" s="753"/>
      <c r="C2816" s="131" t="s">
        <v>1127</v>
      </c>
      <c r="D2816" s="131">
        <v>16</v>
      </c>
      <c r="E2816" s="131" t="s">
        <v>1150</v>
      </c>
      <c r="F2816" s="767">
        <v>82708.88</v>
      </c>
      <c r="G2816" s="767">
        <v>7700</v>
      </c>
      <c r="H2816" s="767">
        <v>90408.88</v>
      </c>
      <c r="I2816" s="768" t="s">
        <v>1813</v>
      </c>
    </row>
    <row r="2817" spans="1:9" x14ac:dyDescent="0.25">
      <c r="A2817" s="753"/>
      <c r="C2817" s="131" t="s">
        <v>1127</v>
      </c>
      <c r="D2817" s="131">
        <v>16</v>
      </c>
      <c r="E2817" s="131" t="s">
        <v>1814</v>
      </c>
      <c r="F2817" s="767">
        <v>2355.4</v>
      </c>
      <c r="G2817" s="767">
        <v>0</v>
      </c>
      <c r="H2817" s="767">
        <v>2355.4</v>
      </c>
      <c r="I2817" s="768" t="s">
        <v>1815</v>
      </c>
    </row>
    <row r="2818" spans="1:9" x14ac:dyDescent="0.25">
      <c r="A2818" s="753"/>
      <c r="C2818" s="131" t="s">
        <v>1127</v>
      </c>
      <c r="D2818" s="131">
        <v>16</v>
      </c>
      <c r="E2818" s="131" t="s">
        <v>1058</v>
      </c>
      <c r="F2818" s="767">
        <v>26863</v>
      </c>
      <c r="G2818" s="767">
        <v>2009.95</v>
      </c>
      <c r="H2818" s="767">
        <v>28872.95</v>
      </c>
      <c r="I2818" s="768" t="s">
        <v>1816</v>
      </c>
    </row>
    <row r="2819" spans="1:9" x14ac:dyDescent="0.25">
      <c r="A2819" s="753">
        <v>604522</v>
      </c>
      <c r="B2819" s="130">
        <v>499</v>
      </c>
      <c r="C2819" s="131" t="s">
        <v>1125</v>
      </c>
      <c r="D2819" s="131">
        <v>16</v>
      </c>
      <c r="E2819" s="131" t="s">
        <v>1125</v>
      </c>
      <c r="F2819" s="767">
        <v>-1.73</v>
      </c>
      <c r="G2819" s="767">
        <v>-0.21</v>
      </c>
      <c r="H2819" s="767">
        <v>-1.94</v>
      </c>
      <c r="I2819" s="768" t="s">
        <v>1781</v>
      </c>
    </row>
    <row r="2820" spans="1:9" x14ac:dyDescent="0.25">
      <c r="A2820" s="753"/>
      <c r="C2820" s="131" t="s">
        <v>1125</v>
      </c>
      <c r="D2820" s="131">
        <v>16</v>
      </c>
      <c r="E2820" s="131" t="s">
        <v>1169</v>
      </c>
      <c r="F2820" s="767">
        <v>-0.02</v>
      </c>
      <c r="G2820" s="767">
        <v>0</v>
      </c>
      <c r="H2820" s="767">
        <v>-0.02</v>
      </c>
      <c r="I2820" s="768" t="s">
        <v>1782</v>
      </c>
    </row>
    <row r="2821" spans="1:9" x14ac:dyDescent="0.25">
      <c r="A2821" s="753"/>
      <c r="C2821" s="131" t="s">
        <v>1125</v>
      </c>
      <c r="D2821" s="131">
        <v>16</v>
      </c>
      <c r="E2821" s="131" t="s">
        <v>1783</v>
      </c>
      <c r="F2821" s="767">
        <v>-0.68</v>
      </c>
      <c r="G2821" s="767">
        <v>-0.06</v>
      </c>
      <c r="H2821" s="767">
        <v>-0.74</v>
      </c>
      <c r="I2821" s="768" t="s">
        <v>1784</v>
      </c>
    </row>
    <row r="2822" spans="1:9" x14ac:dyDescent="0.25">
      <c r="A2822" s="753"/>
      <c r="C2822" s="131" t="s">
        <v>1125</v>
      </c>
      <c r="D2822" s="131">
        <v>16</v>
      </c>
      <c r="E2822" s="131" t="s">
        <v>1785</v>
      </c>
      <c r="F2822" s="767">
        <v>-0.01</v>
      </c>
      <c r="G2822" s="767">
        <v>0</v>
      </c>
      <c r="H2822" s="767">
        <v>-0.01</v>
      </c>
      <c r="I2822" s="768" t="s">
        <v>1786</v>
      </c>
    </row>
    <row r="2823" spans="1:9" x14ac:dyDescent="0.25">
      <c r="A2823" s="753"/>
      <c r="C2823" s="131" t="s">
        <v>1125</v>
      </c>
      <c r="D2823" s="131">
        <v>16</v>
      </c>
      <c r="E2823" s="131" t="s">
        <v>1787</v>
      </c>
      <c r="F2823" s="767">
        <v>-0.06</v>
      </c>
      <c r="G2823" s="767">
        <v>0</v>
      </c>
      <c r="H2823" s="767">
        <v>-0.06</v>
      </c>
      <c r="I2823" s="768" t="s">
        <v>1788</v>
      </c>
    </row>
    <row r="2824" spans="1:9" x14ac:dyDescent="0.25">
      <c r="A2824" s="753"/>
      <c r="C2824" s="131" t="s">
        <v>1125</v>
      </c>
      <c r="D2824" s="131">
        <v>16</v>
      </c>
      <c r="E2824" s="131" t="s">
        <v>1148</v>
      </c>
      <c r="F2824" s="767">
        <v>-1.68</v>
      </c>
      <c r="G2824" s="767">
        <v>-0.21</v>
      </c>
      <c r="H2824" s="767">
        <v>-1.89</v>
      </c>
      <c r="I2824" s="768" t="s">
        <v>1789</v>
      </c>
    </row>
    <row r="2825" spans="1:9" x14ac:dyDescent="0.25">
      <c r="A2825" s="753"/>
      <c r="C2825" s="131" t="s">
        <v>1125</v>
      </c>
      <c r="D2825" s="131">
        <v>16</v>
      </c>
      <c r="E2825" s="131" t="s">
        <v>1790</v>
      </c>
      <c r="F2825" s="767">
        <v>-0.03</v>
      </c>
      <c r="G2825" s="767">
        <v>0</v>
      </c>
      <c r="H2825" s="767">
        <v>-0.03</v>
      </c>
      <c r="I2825" s="768" t="s">
        <v>1791</v>
      </c>
    </row>
    <row r="2826" spans="1:9" x14ac:dyDescent="0.25">
      <c r="A2826" s="753"/>
      <c r="C2826" s="131" t="s">
        <v>1125</v>
      </c>
      <c r="D2826" s="131">
        <v>16</v>
      </c>
      <c r="E2826" s="131" t="s">
        <v>1057</v>
      </c>
      <c r="F2826" s="767">
        <v>-0.28999999999999998</v>
      </c>
      <c r="G2826" s="767">
        <v>-0.01</v>
      </c>
      <c r="H2826" s="767">
        <v>-0.3</v>
      </c>
      <c r="I2826" s="768" t="s">
        <v>1792</v>
      </c>
    </row>
    <row r="2827" spans="1:9" x14ac:dyDescent="0.25">
      <c r="A2827" s="753">
        <v>604524</v>
      </c>
      <c r="B2827" s="130">
        <v>635256</v>
      </c>
      <c r="C2827" s="131" t="s">
        <v>1126</v>
      </c>
      <c r="D2827" s="131">
        <v>16</v>
      </c>
      <c r="E2827" s="131" t="s">
        <v>1126</v>
      </c>
      <c r="F2827" s="767">
        <v>-89737.82</v>
      </c>
      <c r="G2827" s="767">
        <v>-10469.99</v>
      </c>
      <c r="H2827" s="767">
        <v>-100207.81</v>
      </c>
      <c r="I2827" s="768" t="s">
        <v>1793</v>
      </c>
    </row>
    <row r="2828" spans="1:9" x14ac:dyDescent="0.25">
      <c r="A2828" s="753"/>
      <c r="C2828" s="131" t="s">
        <v>1126</v>
      </c>
      <c r="D2828" s="131">
        <v>16</v>
      </c>
      <c r="E2828" s="131" t="s">
        <v>1170</v>
      </c>
      <c r="F2828" s="767">
        <v>-1769.38</v>
      </c>
      <c r="G2828" s="767">
        <v>0</v>
      </c>
      <c r="H2828" s="767">
        <v>-1769.38</v>
      </c>
      <c r="I2828" s="768" t="s">
        <v>1794</v>
      </c>
    </row>
    <row r="2829" spans="1:9" x14ac:dyDescent="0.25">
      <c r="A2829" s="753"/>
      <c r="C2829" s="131" t="s">
        <v>1126</v>
      </c>
      <c r="D2829" s="131">
        <v>16</v>
      </c>
      <c r="E2829" s="131" t="s">
        <v>1795</v>
      </c>
      <c r="F2829" s="767">
        <v>-118382</v>
      </c>
      <c r="G2829" s="767">
        <v>-10194</v>
      </c>
      <c r="H2829" s="767">
        <v>-128576</v>
      </c>
      <c r="I2829" s="768" t="s">
        <v>1796</v>
      </c>
    </row>
    <row r="2830" spans="1:9" x14ac:dyDescent="0.25">
      <c r="A2830" s="753"/>
      <c r="C2830" s="131" t="s">
        <v>1126</v>
      </c>
      <c r="D2830" s="131">
        <v>16</v>
      </c>
      <c r="E2830" s="131" t="s">
        <v>1797</v>
      </c>
      <c r="F2830" s="767">
        <v>-10120</v>
      </c>
      <c r="G2830" s="767">
        <v>0</v>
      </c>
      <c r="H2830" s="767">
        <v>-10120</v>
      </c>
      <c r="I2830" s="768" t="s">
        <v>1798</v>
      </c>
    </row>
    <row r="2831" spans="1:9" x14ac:dyDescent="0.25">
      <c r="A2831" s="753"/>
      <c r="C2831" s="131" t="s">
        <v>1126</v>
      </c>
      <c r="D2831" s="131">
        <v>16</v>
      </c>
      <c r="E2831" s="131" t="s">
        <v>1799</v>
      </c>
      <c r="F2831" s="767">
        <v>-8310</v>
      </c>
      <c r="G2831" s="767">
        <v>0</v>
      </c>
      <c r="H2831" s="767">
        <v>-8310</v>
      </c>
      <c r="I2831" s="768" t="s">
        <v>1800</v>
      </c>
    </row>
    <row r="2832" spans="1:9" x14ac:dyDescent="0.25">
      <c r="A2832" s="753"/>
      <c r="C2832" s="131" t="s">
        <v>1126</v>
      </c>
      <c r="D2832" s="131">
        <v>16</v>
      </c>
      <c r="E2832" s="131" t="s">
        <v>1149</v>
      </c>
      <c r="F2832" s="767">
        <v>-196190.88</v>
      </c>
      <c r="G2832" s="767">
        <v>-18865</v>
      </c>
      <c r="H2832" s="767">
        <v>-215055.88</v>
      </c>
      <c r="I2832" s="768" t="s">
        <v>1801</v>
      </c>
    </row>
    <row r="2833" spans="1:9" x14ac:dyDescent="0.25">
      <c r="A2833" s="753"/>
      <c r="C2833" s="131" t="s">
        <v>1126</v>
      </c>
      <c r="D2833" s="131">
        <v>16</v>
      </c>
      <c r="E2833" s="131" t="s">
        <v>1802</v>
      </c>
      <c r="F2833" s="767">
        <v>-4815</v>
      </c>
      <c r="G2833" s="767">
        <v>0</v>
      </c>
      <c r="H2833" s="767">
        <v>-4815</v>
      </c>
      <c r="I2833" s="768" t="s">
        <v>1803</v>
      </c>
    </row>
    <row r="2834" spans="1:9" x14ac:dyDescent="0.25">
      <c r="A2834" s="753"/>
      <c r="C2834" s="131" t="s">
        <v>1126</v>
      </c>
      <c r="D2834" s="131">
        <v>16</v>
      </c>
      <c r="E2834" s="131" t="s">
        <v>973</v>
      </c>
      <c r="F2834" s="767">
        <v>-108290</v>
      </c>
      <c r="G2834" s="767">
        <v>-13685</v>
      </c>
      <c r="H2834" s="767">
        <v>-121975</v>
      </c>
      <c r="I2834" s="768" t="s">
        <v>1804</v>
      </c>
    </row>
    <row r="2835" spans="1:9" x14ac:dyDescent="0.25">
      <c r="A2835" s="753"/>
      <c r="C2835" s="131" t="s">
        <v>1126</v>
      </c>
      <c r="D2835" s="131">
        <v>16</v>
      </c>
      <c r="E2835" s="131" t="s">
        <v>126</v>
      </c>
      <c r="F2835" s="767">
        <v>-41380.5</v>
      </c>
      <c r="G2835" s="767">
        <v>-3046</v>
      </c>
      <c r="H2835" s="767">
        <v>-44426.5</v>
      </c>
      <c r="I2835" s="768" t="s">
        <v>1805</v>
      </c>
    </row>
    <row r="2836" spans="1:9" x14ac:dyDescent="0.25">
      <c r="A2836" s="753">
        <v>604526</v>
      </c>
      <c r="B2836" s="130">
        <v>385201</v>
      </c>
      <c r="C2836" s="131" t="s">
        <v>1126</v>
      </c>
      <c r="D2836" s="131">
        <v>16</v>
      </c>
      <c r="E2836" s="131" t="s">
        <v>1126</v>
      </c>
      <c r="F2836" s="767">
        <v>-89737.82</v>
      </c>
      <c r="G2836" s="767">
        <v>-10469.99</v>
      </c>
      <c r="H2836" s="767">
        <v>-100207.81</v>
      </c>
      <c r="I2836" s="768" t="s">
        <v>1793</v>
      </c>
    </row>
    <row r="2837" spans="1:9" x14ac:dyDescent="0.25">
      <c r="A2837" s="753"/>
      <c r="C2837" s="131" t="s">
        <v>1126</v>
      </c>
      <c r="D2837" s="131">
        <v>16</v>
      </c>
      <c r="E2837" s="131" t="s">
        <v>1170</v>
      </c>
      <c r="F2837" s="767">
        <v>-1769.38</v>
      </c>
      <c r="G2837" s="767">
        <v>0</v>
      </c>
      <c r="H2837" s="767">
        <v>-1769.38</v>
      </c>
      <c r="I2837" s="768" t="s">
        <v>1794</v>
      </c>
    </row>
    <row r="2838" spans="1:9" x14ac:dyDescent="0.25">
      <c r="A2838" s="753"/>
      <c r="C2838" s="131" t="s">
        <v>1126</v>
      </c>
      <c r="D2838" s="131">
        <v>16</v>
      </c>
      <c r="E2838" s="131" t="s">
        <v>1795</v>
      </c>
      <c r="F2838" s="767">
        <v>-118382</v>
      </c>
      <c r="G2838" s="767">
        <v>-10194</v>
      </c>
      <c r="H2838" s="767">
        <v>-128576</v>
      </c>
      <c r="I2838" s="768" t="s">
        <v>1796</v>
      </c>
    </row>
    <row r="2839" spans="1:9" x14ac:dyDescent="0.25">
      <c r="A2839" s="753"/>
      <c r="C2839" s="131" t="s">
        <v>1126</v>
      </c>
      <c r="D2839" s="131">
        <v>16</v>
      </c>
      <c r="E2839" s="131" t="s">
        <v>1797</v>
      </c>
      <c r="F2839" s="767">
        <v>-10120</v>
      </c>
      <c r="G2839" s="767">
        <v>0</v>
      </c>
      <c r="H2839" s="767">
        <v>-10120</v>
      </c>
      <c r="I2839" s="768" t="s">
        <v>1798</v>
      </c>
    </row>
    <row r="2840" spans="1:9" x14ac:dyDescent="0.25">
      <c r="A2840" s="753"/>
      <c r="C2840" s="131" t="s">
        <v>1126</v>
      </c>
      <c r="D2840" s="131">
        <v>16</v>
      </c>
      <c r="E2840" s="131" t="s">
        <v>1799</v>
      </c>
      <c r="F2840" s="767">
        <v>-8310</v>
      </c>
      <c r="G2840" s="767">
        <v>0</v>
      </c>
      <c r="H2840" s="767">
        <v>-8310</v>
      </c>
      <c r="I2840" s="768" t="s">
        <v>1800</v>
      </c>
    </row>
    <row r="2841" spans="1:9" x14ac:dyDescent="0.25">
      <c r="A2841" s="753"/>
      <c r="C2841" s="131" t="s">
        <v>1126</v>
      </c>
      <c r="D2841" s="131">
        <v>16</v>
      </c>
      <c r="E2841" s="131" t="s">
        <v>1149</v>
      </c>
      <c r="F2841" s="767">
        <v>-196190.88</v>
      </c>
      <c r="G2841" s="767">
        <v>-18865</v>
      </c>
      <c r="H2841" s="767">
        <v>-215055.88</v>
      </c>
      <c r="I2841" s="768" t="s">
        <v>1801</v>
      </c>
    </row>
    <row r="2842" spans="1:9" x14ac:dyDescent="0.25">
      <c r="A2842" s="753"/>
      <c r="C2842" s="131" t="s">
        <v>1126</v>
      </c>
      <c r="D2842" s="131">
        <v>16</v>
      </c>
      <c r="E2842" s="131" t="s">
        <v>1802</v>
      </c>
      <c r="F2842" s="767">
        <v>-4815</v>
      </c>
      <c r="G2842" s="767">
        <v>0</v>
      </c>
      <c r="H2842" s="767">
        <v>-4815</v>
      </c>
      <c r="I2842" s="768" t="s">
        <v>1803</v>
      </c>
    </row>
    <row r="2843" spans="1:9" x14ac:dyDescent="0.25">
      <c r="A2843" s="753"/>
      <c r="C2843" s="131" t="s">
        <v>1126</v>
      </c>
      <c r="D2843" s="131">
        <v>16</v>
      </c>
      <c r="E2843" s="131" t="s">
        <v>973</v>
      </c>
      <c r="F2843" s="767">
        <v>-108290</v>
      </c>
      <c r="G2843" s="767">
        <v>-13685</v>
      </c>
      <c r="H2843" s="767">
        <v>-121975</v>
      </c>
      <c r="I2843" s="768" t="s">
        <v>1804</v>
      </c>
    </row>
    <row r="2844" spans="1:9" x14ac:dyDescent="0.25">
      <c r="A2844" s="753"/>
      <c r="C2844" s="131" t="s">
        <v>1126</v>
      </c>
      <c r="D2844" s="131">
        <v>16</v>
      </c>
      <c r="E2844" s="131" t="s">
        <v>126</v>
      </c>
      <c r="F2844" s="767">
        <v>-41380.5</v>
      </c>
      <c r="G2844" s="767">
        <v>-3046</v>
      </c>
      <c r="H2844" s="767">
        <v>-44426.5</v>
      </c>
      <c r="I2844" s="768" t="s">
        <v>1805</v>
      </c>
    </row>
    <row r="2845" spans="1:9" x14ac:dyDescent="0.25">
      <c r="A2845" s="753"/>
      <c r="C2845" s="131" t="s">
        <v>1127</v>
      </c>
      <c r="D2845" s="131">
        <v>16</v>
      </c>
      <c r="E2845" s="131" t="s">
        <v>1127</v>
      </c>
      <c r="F2845" s="767">
        <v>18783.349999999999</v>
      </c>
      <c r="G2845" s="767">
        <v>1934.9</v>
      </c>
      <c r="H2845" s="767">
        <v>20718.25</v>
      </c>
      <c r="I2845" s="768" t="s">
        <v>1806</v>
      </c>
    </row>
    <row r="2846" spans="1:9" x14ac:dyDescent="0.25">
      <c r="A2846" s="753"/>
      <c r="C2846" s="131" t="s">
        <v>1127</v>
      </c>
      <c r="D2846" s="131">
        <v>16</v>
      </c>
      <c r="E2846" s="131" t="s">
        <v>1807</v>
      </c>
      <c r="F2846" s="767">
        <v>87942</v>
      </c>
      <c r="G2846" s="767">
        <v>7464</v>
      </c>
      <c r="H2846" s="767">
        <v>95406</v>
      </c>
      <c r="I2846" s="768" t="s">
        <v>1808</v>
      </c>
    </row>
    <row r="2847" spans="1:9" x14ac:dyDescent="0.25">
      <c r="A2847" s="753"/>
      <c r="C2847" s="131" t="s">
        <v>1127</v>
      </c>
      <c r="D2847" s="131">
        <v>16</v>
      </c>
      <c r="E2847" s="131" t="s">
        <v>1809</v>
      </c>
      <c r="F2847" s="767">
        <v>7084</v>
      </c>
      <c r="G2847" s="767">
        <v>0</v>
      </c>
      <c r="H2847" s="767">
        <v>7084</v>
      </c>
      <c r="I2847" s="768" t="s">
        <v>1810</v>
      </c>
    </row>
    <row r="2848" spans="1:9" x14ac:dyDescent="0.25">
      <c r="A2848" s="753"/>
      <c r="C2848" s="131" t="s">
        <v>1127</v>
      </c>
      <c r="D2848" s="131">
        <v>16</v>
      </c>
      <c r="E2848" s="131" t="s">
        <v>1811</v>
      </c>
      <c r="F2848" s="767">
        <v>5210</v>
      </c>
      <c r="G2848" s="767">
        <v>0</v>
      </c>
      <c r="H2848" s="767">
        <v>5210</v>
      </c>
      <c r="I2848" s="768" t="s">
        <v>1812</v>
      </c>
    </row>
    <row r="2849" spans="1:9" x14ac:dyDescent="0.25">
      <c r="A2849" s="753"/>
      <c r="C2849" s="131" t="s">
        <v>1127</v>
      </c>
      <c r="D2849" s="131">
        <v>16</v>
      </c>
      <c r="E2849" s="131" t="s">
        <v>1150</v>
      </c>
      <c r="F2849" s="767">
        <v>82708.88</v>
      </c>
      <c r="G2849" s="767">
        <v>7700</v>
      </c>
      <c r="H2849" s="767">
        <v>90408.88</v>
      </c>
      <c r="I2849" s="768" t="s">
        <v>1813</v>
      </c>
    </row>
    <row r="2850" spans="1:9" x14ac:dyDescent="0.25">
      <c r="A2850" s="753"/>
      <c r="C2850" s="131" t="s">
        <v>1127</v>
      </c>
      <c r="D2850" s="131">
        <v>16</v>
      </c>
      <c r="E2850" s="131" t="s">
        <v>1814</v>
      </c>
      <c r="F2850" s="767">
        <v>2355.4</v>
      </c>
      <c r="G2850" s="767">
        <v>0</v>
      </c>
      <c r="H2850" s="767">
        <v>2355.4</v>
      </c>
      <c r="I2850" s="768" t="s">
        <v>1815</v>
      </c>
    </row>
    <row r="2851" spans="1:9" x14ac:dyDescent="0.25">
      <c r="A2851" s="753"/>
      <c r="C2851" s="131" t="s">
        <v>1127</v>
      </c>
      <c r="D2851" s="131">
        <v>16</v>
      </c>
      <c r="E2851" s="131" t="s">
        <v>1058</v>
      </c>
      <c r="F2851" s="767">
        <v>26863</v>
      </c>
      <c r="G2851" s="767">
        <v>2009.95</v>
      </c>
      <c r="H2851" s="767">
        <v>28872.95</v>
      </c>
      <c r="I2851" s="768" t="s">
        <v>1816</v>
      </c>
    </row>
    <row r="2852" spans="1:9" x14ac:dyDescent="0.25">
      <c r="A2852" s="753">
        <v>604612</v>
      </c>
      <c r="B2852" s="130">
        <v>3</v>
      </c>
      <c r="C2852" s="131" t="s">
        <v>1128</v>
      </c>
      <c r="D2852" s="131">
        <v>16</v>
      </c>
      <c r="E2852" s="131" t="s">
        <v>1128</v>
      </c>
      <c r="F2852" s="767">
        <v>-0.26</v>
      </c>
      <c r="G2852" s="767">
        <v>-0.03</v>
      </c>
      <c r="H2852" s="767">
        <v>-0.28999999999999998</v>
      </c>
      <c r="I2852" s="768" t="s">
        <v>1817</v>
      </c>
    </row>
    <row r="2853" spans="1:9" x14ac:dyDescent="0.25">
      <c r="A2853" s="753">
        <v>604614</v>
      </c>
      <c r="B2853" s="130">
        <v>15368</v>
      </c>
      <c r="C2853" s="131" t="s">
        <v>1129</v>
      </c>
      <c r="D2853" s="131">
        <v>16</v>
      </c>
      <c r="E2853" s="131" t="s">
        <v>1129</v>
      </c>
      <c r="F2853" s="767">
        <v>-114317.94</v>
      </c>
      <c r="G2853" s="767">
        <v>-15368</v>
      </c>
      <c r="H2853" s="767">
        <v>-129685.94</v>
      </c>
      <c r="I2853" s="768" t="s">
        <v>1818</v>
      </c>
    </row>
    <row r="2854" spans="1:9" x14ac:dyDescent="0.25">
      <c r="A2854" s="753">
        <v>604616</v>
      </c>
      <c r="B2854" s="130">
        <v>4941</v>
      </c>
      <c r="C2854" s="131" t="s">
        <v>1129</v>
      </c>
      <c r="D2854" s="131">
        <v>16</v>
      </c>
      <c r="E2854" s="131" t="s">
        <v>1129</v>
      </c>
      <c r="F2854" s="767">
        <v>-114317.94</v>
      </c>
      <c r="G2854" s="767">
        <v>-15368</v>
      </c>
      <c r="H2854" s="767">
        <v>-129685.94</v>
      </c>
      <c r="I2854" s="768" t="s">
        <v>1818</v>
      </c>
    </row>
    <row r="2855" spans="1:9" x14ac:dyDescent="0.25">
      <c r="A2855" s="753"/>
      <c r="C2855" s="131" t="s">
        <v>1130</v>
      </c>
      <c r="D2855" s="131">
        <v>16</v>
      </c>
      <c r="E2855" s="131" t="s">
        <v>1130</v>
      </c>
      <c r="F2855" s="767">
        <v>64063</v>
      </c>
      <c r="G2855" s="767">
        <v>10427</v>
      </c>
      <c r="H2855" s="767">
        <v>74490</v>
      </c>
      <c r="I2855" s="768" t="s">
        <v>1819</v>
      </c>
    </row>
    <row r="2856" spans="1:9" x14ac:dyDescent="0.25">
      <c r="A2856" s="753">
        <v>604622</v>
      </c>
      <c r="B2856" s="130">
        <v>29</v>
      </c>
      <c r="C2856" s="131" t="s">
        <v>1128</v>
      </c>
      <c r="D2856" s="131">
        <v>16</v>
      </c>
      <c r="E2856" s="131" t="s">
        <v>1128</v>
      </c>
      <c r="F2856" s="767">
        <v>-0.26</v>
      </c>
      <c r="G2856" s="767">
        <v>-0.03</v>
      </c>
      <c r="H2856" s="767">
        <v>-0.28999999999999998</v>
      </c>
      <c r="I2856" s="768" t="s">
        <v>1817</v>
      </c>
    </row>
    <row r="2857" spans="1:9" x14ac:dyDescent="0.25">
      <c r="A2857" s="753">
        <v>604624</v>
      </c>
      <c r="B2857" s="130">
        <v>129686</v>
      </c>
      <c r="C2857" s="131" t="s">
        <v>1129</v>
      </c>
      <c r="D2857" s="131">
        <v>16</v>
      </c>
      <c r="E2857" s="131" t="s">
        <v>1129</v>
      </c>
      <c r="F2857" s="767">
        <v>-114317.94</v>
      </c>
      <c r="G2857" s="767">
        <v>-15368</v>
      </c>
      <c r="H2857" s="767">
        <v>-129685.94</v>
      </c>
      <c r="I2857" s="768" t="s">
        <v>1818</v>
      </c>
    </row>
    <row r="2858" spans="1:9" x14ac:dyDescent="0.25">
      <c r="A2858" s="753">
        <v>604626</v>
      </c>
      <c r="B2858" s="130">
        <v>55196</v>
      </c>
      <c r="C2858" s="131" t="s">
        <v>1129</v>
      </c>
      <c r="D2858" s="131">
        <v>16</v>
      </c>
      <c r="E2858" s="131" t="s">
        <v>1129</v>
      </c>
      <c r="F2858" s="767">
        <v>-114317.94</v>
      </c>
      <c r="G2858" s="767">
        <v>-15368</v>
      </c>
      <c r="H2858" s="767">
        <v>-129685.94</v>
      </c>
      <c r="I2858" s="768" t="s">
        <v>1818</v>
      </c>
    </row>
    <row r="2859" spans="1:9" x14ac:dyDescent="0.25">
      <c r="A2859" s="753"/>
      <c r="C2859" s="131" t="s">
        <v>1130</v>
      </c>
      <c r="D2859" s="131">
        <v>16</v>
      </c>
      <c r="E2859" s="131" t="s">
        <v>1130</v>
      </c>
      <c r="F2859" s="767">
        <v>64063</v>
      </c>
      <c r="G2859" s="767">
        <v>10427</v>
      </c>
      <c r="H2859" s="767">
        <v>74490</v>
      </c>
      <c r="I2859" s="768" t="s">
        <v>1819</v>
      </c>
    </row>
    <row r="2860" spans="1:9" x14ac:dyDescent="0.25">
      <c r="A2860" s="753">
        <v>604712</v>
      </c>
      <c r="B2860" s="130">
        <v>5</v>
      </c>
      <c r="C2860" s="131" t="s">
        <v>1131</v>
      </c>
      <c r="D2860" s="131">
        <v>16</v>
      </c>
      <c r="E2860" s="131" t="s">
        <v>1131</v>
      </c>
      <c r="F2860" s="767">
        <v>-0.47</v>
      </c>
      <c r="G2860" s="767">
        <v>-0.05</v>
      </c>
      <c r="H2860" s="767">
        <v>-0.52</v>
      </c>
      <c r="I2860" s="768" t="s">
        <v>1820</v>
      </c>
    </row>
    <row r="2861" spans="1:9" x14ac:dyDescent="0.25">
      <c r="A2861" s="753">
        <v>604714</v>
      </c>
      <c r="B2861" s="130">
        <v>3545</v>
      </c>
      <c r="C2861" s="131" t="s">
        <v>1132</v>
      </c>
      <c r="D2861" s="131">
        <v>16</v>
      </c>
      <c r="E2861" s="131" t="s">
        <v>1132</v>
      </c>
      <c r="F2861" s="767">
        <v>-31815.1</v>
      </c>
      <c r="G2861" s="767">
        <v>-3545.2</v>
      </c>
      <c r="H2861" s="767">
        <v>-35360.300000000003</v>
      </c>
      <c r="I2861" s="768" t="s">
        <v>1821</v>
      </c>
    </row>
    <row r="2862" spans="1:9" x14ac:dyDescent="0.25">
      <c r="A2862" s="753">
        <v>604716</v>
      </c>
      <c r="B2862" s="130">
        <v>816</v>
      </c>
      <c r="C2862" s="131" t="s">
        <v>1132</v>
      </c>
      <c r="D2862" s="131">
        <v>16</v>
      </c>
      <c r="E2862" s="131" t="s">
        <v>1132</v>
      </c>
      <c r="F2862" s="767">
        <v>-31815.1</v>
      </c>
      <c r="G2862" s="767">
        <v>-3545.2</v>
      </c>
      <c r="H2862" s="767">
        <v>-35360.300000000003</v>
      </c>
      <c r="I2862" s="768" t="s">
        <v>1821</v>
      </c>
    </row>
    <row r="2863" spans="1:9" x14ac:dyDescent="0.25">
      <c r="A2863" s="753"/>
      <c r="C2863" s="131" t="s">
        <v>1133</v>
      </c>
      <c r="D2863" s="131">
        <v>16</v>
      </c>
      <c r="E2863" s="131" t="s">
        <v>1133</v>
      </c>
      <c r="F2863" s="767">
        <v>22107.3</v>
      </c>
      <c r="G2863" s="767">
        <v>2729.1</v>
      </c>
      <c r="H2863" s="767">
        <v>24836.400000000001</v>
      </c>
      <c r="I2863" s="768" t="s">
        <v>1822</v>
      </c>
    </row>
    <row r="2864" spans="1:9" x14ac:dyDescent="0.25">
      <c r="A2864" s="753">
        <v>604722</v>
      </c>
      <c r="B2864" s="130">
        <v>52</v>
      </c>
      <c r="C2864" s="131" t="s">
        <v>1131</v>
      </c>
      <c r="D2864" s="131">
        <v>16</v>
      </c>
      <c r="E2864" s="131" t="s">
        <v>1131</v>
      </c>
      <c r="F2864" s="767">
        <v>-0.47</v>
      </c>
      <c r="G2864" s="767">
        <v>-0.05</v>
      </c>
      <c r="H2864" s="767">
        <v>-0.52</v>
      </c>
      <c r="I2864" s="768" t="s">
        <v>1820</v>
      </c>
    </row>
    <row r="2865" spans="1:9" x14ac:dyDescent="0.25">
      <c r="A2865" s="753">
        <v>604724</v>
      </c>
      <c r="B2865" s="130">
        <v>35360</v>
      </c>
      <c r="C2865" s="131" t="s">
        <v>1132</v>
      </c>
      <c r="D2865" s="131">
        <v>16</v>
      </c>
      <c r="E2865" s="131" t="s">
        <v>1132</v>
      </c>
      <c r="F2865" s="767">
        <v>-31815.1</v>
      </c>
      <c r="G2865" s="767">
        <v>-3545.2</v>
      </c>
      <c r="H2865" s="767">
        <v>-35360.300000000003</v>
      </c>
      <c r="I2865" s="768" t="s">
        <v>1821</v>
      </c>
    </row>
    <row r="2866" spans="1:9" x14ac:dyDescent="0.25">
      <c r="A2866" s="753">
        <v>604726</v>
      </c>
      <c r="B2866" s="130">
        <v>10524</v>
      </c>
      <c r="C2866" s="131" t="s">
        <v>1132</v>
      </c>
      <c r="D2866" s="131">
        <v>16</v>
      </c>
      <c r="E2866" s="131" t="s">
        <v>1132</v>
      </c>
      <c r="F2866" s="767">
        <v>-31815.1</v>
      </c>
      <c r="G2866" s="767">
        <v>-3545.2</v>
      </c>
      <c r="H2866" s="767">
        <v>-35360.300000000003</v>
      </c>
      <c r="I2866" s="768" t="s">
        <v>1821</v>
      </c>
    </row>
    <row r="2867" spans="1:9" x14ac:dyDescent="0.25">
      <c r="A2867" s="753"/>
      <c r="C2867" s="131" t="s">
        <v>1133</v>
      </c>
      <c r="D2867" s="131">
        <v>16</v>
      </c>
      <c r="E2867" s="131" t="s">
        <v>1133</v>
      </c>
      <c r="F2867" s="767">
        <v>22107.3</v>
      </c>
      <c r="G2867" s="767">
        <v>2729.1</v>
      </c>
      <c r="H2867" s="767">
        <v>24836.400000000001</v>
      </c>
      <c r="I2867" s="768" t="s">
        <v>1822</v>
      </c>
    </row>
    <row r="2868" spans="1:9" x14ac:dyDescent="0.25">
      <c r="A2868" s="753">
        <v>604812</v>
      </c>
      <c r="B2868" s="130">
        <v>57</v>
      </c>
      <c r="E2868" s="131"/>
    </row>
    <row r="2869" spans="1:9" x14ac:dyDescent="0.25">
      <c r="A2869" s="753">
        <v>604814</v>
      </c>
      <c r="B2869" s="130">
        <v>75173</v>
      </c>
      <c r="E2869" s="131"/>
    </row>
    <row r="2870" spans="1:9" x14ac:dyDescent="0.25">
      <c r="A2870" s="753">
        <v>604816</v>
      </c>
      <c r="B2870" s="130">
        <v>42908</v>
      </c>
      <c r="C2870" s="131" t="s">
        <v>1126</v>
      </c>
      <c r="D2870" s="131">
        <v>16</v>
      </c>
      <c r="E2870" s="131" t="s">
        <v>1126</v>
      </c>
      <c r="F2870" s="767">
        <v>-89737.82</v>
      </c>
      <c r="G2870" s="767">
        <v>-10469.99</v>
      </c>
      <c r="H2870" s="767">
        <v>-100207.81</v>
      </c>
      <c r="I2870" s="768" t="s">
        <v>1793</v>
      </c>
    </row>
    <row r="2871" spans="1:9" x14ac:dyDescent="0.25">
      <c r="A2871" s="753"/>
      <c r="C2871" s="131" t="s">
        <v>1126</v>
      </c>
      <c r="D2871" s="131">
        <v>16</v>
      </c>
      <c r="E2871" s="131" t="s">
        <v>1170</v>
      </c>
      <c r="F2871" s="767">
        <v>-1769.38</v>
      </c>
      <c r="G2871" s="767">
        <v>0</v>
      </c>
      <c r="H2871" s="767">
        <v>-1769.38</v>
      </c>
      <c r="I2871" s="768" t="s">
        <v>1794</v>
      </c>
    </row>
    <row r="2872" spans="1:9" x14ac:dyDescent="0.25">
      <c r="A2872" s="753"/>
      <c r="C2872" s="131" t="s">
        <v>1126</v>
      </c>
      <c r="D2872" s="131">
        <v>16</v>
      </c>
      <c r="E2872" s="131" t="s">
        <v>1795</v>
      </c>
      <c r="F2872" s="767">
        <v>-118382</v>
      </c>
      <c r="G2872" s="767">
        <v>-10194</v>
      </c>
      <c r="H2872" s="767">
        <v>-128576</v>
      </c>
      <c r="I2872" s="768" t="s">
        <v>1796</v>
      </c>
    </row>
    <row r="2873" spans="1:9" x14ac:dyDescent="0.25">
      <c r="A2873" s="753"/>
      <c r="C2873" s="131" t="s">
        <v>1126</v>
      </c>
      <c r="D2873" s="131">
        <v>16</v>
      </c>
      <c r="E2873" s="131" t="s">
        <v>1797</v>
      </c>
      <c r="F2873" s="767">
        <v>-10120</v>
      </c>
      <c r="G2873" s="767">
        <v>0</v>
      </c>
      <c r="H2873" s="767">
        <v>-10120</v>
      </c>
      <c r="I2873" s="768" t="s">
        <v>1798</v>
      </c>
    </row>
    <row r="2874" spans="1:9" x14ac:dyDescent="0.25">
      <c r="A2874" s="753"/>
      <c r="C2874" s="131" t="s">
        <v>1126</v>
      </c>
      <c r="D2874" s="131">
        <v>16</v>
      </c>
      <c r="E2874" s="131" t="s">
        <v>1799</v>
      </c>
      <c r="F2874" s="767">
        <v>-8310</v>
      </c>
      <c r="G2874" s="767">
        <v>0</v>
      </c>
      <c r="H2874" s="767">
        <v>-8310</v>
      </c>
      <c r="I2874" s="768" t="s">
        <v>1800</v>
      </c>
    </row>
    <row r="2875" spans="1:9" x14ac:dyDescent="0.25">
      <c r="A2875" s="753"/>
      <c r="C2875" s="131" t="s">
        <v>1126</v>
      </c>
      <c r="D2875" s="131">
        <v>16</v>
      </c>
      <c r="E2875" s="131" t="s">
        <v>1149</v>
      </c>
      <c r="F2875" s="767">
        <v>-196190.88</v>
      </c>
      <c r="G2875" s="767">
        <v>-18865</v>
      </c>
      <c r="H2875" s="767">
        <v>-215055.88</v>
      </c>
      <c r="I2875" s="768" t="s">
        <v>1801</v>
      </c>
    </row>
    <row r="2876" spans="1:9" x14ac:dyDescent="0.25">
      <c r="A2876" s="753"/>
      <c r="C2876" s="131" t="s">
        <v>1126</v>
      </c>
      <c r="D2876" s="131">
        <v>16</v>
      </c>
      <c r="E2876" s="131" t="s">
        <v>1802</v>
      </c>
      <c r="F2876" s="767">
        <v>-4815</v>
      </c>
      <c r="G2876" s="767">
        <v>0</v>
      </c>
      <c r="H2876" s="767">
        <v>-4815</v>
      </c>
      <c r="I2876" s="768" t="s">
        <v>1803</v>
      </c>
    </row>
    <row r="2877" spans="1:9" x14ac:dyDescent="0.25">
      <c r="A2877" s="753"/>
      <c r="C2877" s="131" t="s">
        <v>1126</v>
      </c>
      <c r="D2877" s="131">
        <v>16</v>
      </c>
      <c r="E2877" s="131" t="s">
        <v>973</v>
      </c>
      <c r="F2877" s="767">
        <v>-108290</v>
      </c>
      <c r="G2877" s="767">
        <v>-13685</v>
      </c>
      <c r="H2877" s="767">
        <v>-121975</v>
      </c>
      <c r="I2877" s="768" t="s">
        <v>1804</v>
      </c>
    </row>
    <row r="2878" spans="1:9" x14ac:dyDescent="0.25">
      <c r="A2878" s="753"/>
      <c r="C2878" s="131" t="s">
        <v>1126</v>
      </c>
      <c r="D2878" s="131">
        <v>16</v>
      </c>
      <c r="E2878" s="131" t="s">
        <v>126</v>
      </c>
      <c r="F2878" s="767">
        <v>-41380.5</v>
      </c>
      <c r="G2878" s="767">
        <v>-3046</v>
      </c>
      <c r="H2878" s="767">
        <v>-44426.5</v>
      </c>
      <c r="I2878" s="768" t="s">
        <v>1805</v>
      </c>
    </row>
    <row r="2879" spans="1:9" x14ac:dyDescent="0.25">
      <c r="A2879" s="753"/>
      <c r="C2879" s="131" t="s">
        <v>1127</v>
      </c>
      <c r="D2879" s="131">
        <v>16</v>
      </c>
      <c r="E2879" s="131" t="s">
        <v>1127</v>
      </c>
      <c r="F2879" s="767">
        <v>18783.349999999999</v>
      </c>
      <c r="G2879" s="767">
        <v>1934.9</v>
      </c>
      <c r="H2879" s="767">
        <v>20718.25</v>
      </c>
      <c r="I2879" s="768" t="s">
        <v>1806</v>
      </c>
    </row>
    <row r="2880" spans="1:9" x14ac:dyDescent="0.25">
      <c r="A2880" s="753"/>
      <c r="C2880" s="131" t="s">
        <v>1127</v>
      </c>
      <c r="D2880" s="131">
        <v>16</v>
      </c>
      <c r="E2880" s="131" t="s">
        <v>1807</v>
      </c>
      <c r="F2880" s="767">
        <v>87942</v>
      </c>
      <c r="G2880" s="767">
        <v>7464</v>
      </c>
      <c r="H2880" s="767">
        <v>95406</v>
      </c>
      <c r="I2880" s="768" t="s">
        <v>1808</v>
      </c>
    </row>
    <row r="2881" spans="1:9" x14ac:dyDescent="0.25">
      <c r="A2881" s="753"/>
      <c r="C2881" s="131" t="s">
        <v>1127</v>
      </c>
      <c r="D2881" s="131">
        <v>16</v>
      </c>
      <c r="E2881" s="131" t="s">
        <v>1809</v>
      </c>
      <c r="F2881" s="767">
        <v>7084</v>
      </c>
      <c r="G2881" s="767">
        <v>0</v>
      </c>
      <c r="H2881" s="767">
        <v>7084</v>
      </c>
      <c r="I2881" s="768" t="s">
        <v>1810</v>
      </c>
    </row>
    <row r="2882" spans="1:9" x14ac:dyDescent="0.25">
      <c r="A2882" s="753"/>
      <c r="C2882" s="131" t="s">
        <v>1127</v>
      </c>
      <c r="D2882" s="131">
        <v>16</v>
      </c>
      <c r="E2882" s="131" t="s">
        <v>1811</v>
      </c>
      <c r="F2882" s="767">
        <v>5210</v>
      </c>
      <c r="G2882" s="767">
        <v>0</v>
      </c>
      <c r="H2882" s="767">
        <v>5210</v>
      </c>
      <c r="I2882" s="768" t="s">
        <v>1812</v>
      </c>
    </row>
    <row r="2883" spans="1:9" x14ac:dyDescent="0.25">
      <c r="A2883" s="753"/>
      <c r="C2883" s="131" t="s">
        <v>1127</v>
      </c>
      <c r="D2883" s="131">
        <v>16</v>
      </c>
      <c r="E2883" s="131" t="s">
        <v>1150</v>
      </c>
      <c r="F2883" s="767">
        <v>82708.88</v>
      </c>
      <c r="G2883" s="767">
        <v>7700</v>
      </c>
      <c r="H2883" s="767">
        <v>90408.88</v>
      </c>
      <c r="I2883" s="768" t="s">
        <v>1813</v>
      </c>
    </row>
    <row r="2884" spans="1:9" x14ac:dyDescent="0.25">
      <c r="A2884" s="753"/>
      <c r="C2884" s="131" t="s">
        <v>1127</v>
      </c>
      <c r="D2884" s="131">
        <v>16</v>
      </c>
      <c r="E2884" s="131" t="s">
        <v>1814</v>
      </c>
      <c r="F2884" s="767">
        <v>2355.4</v>
      </c>
      <c r="G2884" s="767">
        <v>0</v>
      </c>
      <c r="H2884" s="767">
        <v>2355.4</v>
      </c>
      <c r="I2884" s="768" t="s">
        <v>1815</v>
      </c>
    </row>
    <row r="2885" spans="1:9" x14ac:dyDescent="0.25">
      <c r="A2885" s="753"/>
      <c r="C2885" s="131" t="s">
        <v>1127</v>
      </c>
      <c r="D2885" s="131">
        <v>16</v>
      </c>
      <c r="E2885" s="131" t="s">
        <v>1058</v>
      </c>
      <c r="F2885" s="767">
        <v>26863</v>
      </c>
      <c r="G2885" s="767">
        <v>2009.95</v>
      </c>
      <c r="H2885" s="767">
        <v>28872.95</v>
      </c>
      <c r="I2885" s="768" t="s">
        <v>1816</v>
      </c>
    </row>
    <row r="2886" spans="1:9" x14ac:dyDescent="0.25">
      <c r="A2886" s="753"/>
      <c r="C2886" s="131" t="s">
        <v>1129</v>
      </c>
      <c r="D2886" s="131">
        <v>16</v>
      </c>
      <c r="E2886" s="131" t="s">
        <v>1129</v>
      </c>
      <c r="F2886" s="767">
        <v>-114317.94</v>
      </c>
      <c r="G2886" s="767">
        <v>-15368</v>
      </c>
      <c r="H2886" s="767">
        <v>-129685.94</v>
      </c>
      <c r="I2886" s="768" t="s">
        <v>1818</v>
      </c>
    </row>
    <row r="2887" spans="1:9" x14ac:dyDescent="0.25">
      <c r="A2887" s="753"/>
      <c r="C2887" s="131" t="s">
        <v>1130</v>
      </c>
      <c r="D2887" s="131">
        <v>16</v>
      </c>
      <c r="E2887" s="131" t="s">
        <v>1130</v>
      </c>
      <c r="F2887" s="767">
        <v>64063</v>
      </c>
      <c r="G2887" s="767">
        <v>10427</v>
      </c>
      <c r="H2887" s="767">
        <v>74490</v>
      </c>
      <c r="I2887" s="768" t="s">
        <v>1819</v>
      </c>
    </row>
    <row r="2888" spans="1:9" x14ac:dyDescent="0.25">
      <c r="A2888" s="753"/>
      <c r="C2888" s="131" t="s">
        <v>1132</v>
      </c>
      <c r="D2888" s="131">
        <v>16</v>
      </c>
      <c r="E2888" s="131" t="s">
        <v>1132</v>
      </c>
      <c r="F2888" s="767">
        <v>-31815.1</v>
      </c>
      <c r="G2888" s="767">
        <v>-3545.2</v>
      </c>
      <c r="H2888" s="767">
        <v>-35360.300000000003</v>
      </c>
      <c r="I2888" s="768" t="s">
        <v>1821</v>
      </c>
    </row>
    <row r="2889" spans="1:9" x14ac:dyDescent="0.25">
      <c r="A2889" s="753"/>
      <c r="C2889" s="131" t="s">
        <v>1133</v>
      </c>
      <c r="D2889" s="131">
        <v>16</v>
      </c>
      <c r="E2889" s="131" t="s">
        <v>1133</v>
      </c>
      <c r="F2889" s="767">
        <v>22107.3</v>
      </c>
      <c r="G2889" s="767">
        <v>2729.1</v>
      </c>
      <c r="H2889" s="767">
        <v>24836.400000000001</v>
      </c>
      <c r="I2889" s="768" t="s">
        <v>1822</v>
      </c>
    </row>
    <row r="2890" spans="1:9" x14ac:dyDescent="0.25">
      <c r="A2890" s="753">
        <v>604822</v>
      </c>
      <c r="B2890" s="130">
        <v>580</v>
      </c>
      <c r="E2890" s="131"/>
    </row>
    <row r="2891" spans="1:9" x14ac:dyDescent="0.25">
      <c r="A2891" s="753">
        <v>604824</v>
      </c>
      <c r="B2891" s="130">
        <v>800302</v>
      </c>
      <c r="E2891" s="131"/>
    </row>
    <row r="2892" spans="1:9" x14ac:dyDescent="0.25">
      <c r="A2892" s="753">
        <v>604826</v>
      </c>
      <c r="B2892" s="130">
        <v>450921</v>
      </c>
      <c r="C2892" s="131" t="s">
        <v>1126</v>
      </c>
      <c r="D2892" s="131">
        <v>16</v>
      </c>
      <c r="E2892" s="131" t="s">
        <v>1126</v>
      </c>
      <c r="F2892" s="767">
        <v>-89737.82</v>
      </c>
      <c r="G2892" s="767">
        <v>-10469.99</v>
      </c>
      <c r="H2892" s="767">
        <v>-100207.81</v>
      </c>
      <c r="I2892" s="768" t="s">
        <v>1793</v>
      </c>
    </row>
    <row r="2893" spans="1:9" x14ac:dyDescent="0.25">
      <c r="A2893" s="753"/>
      <c r="C2893" s="131" t="s">
        <v>1126</v>
      </c>
      <c r="D2893" s="131">
        <v>16</v>
      </c>
      <c r="E2893" s="131" t="s">
        <v>1170</v>
      </c>
      <c r="F2893" s="767">
        <v>-1769.38</v>
      </c>
      <c r="G2893" s="767">
        <v>0</v>
      </c>
      <c r="H2893" s="767">
        <v>-1769.38</v>
      </c>
      <c r="I2893" s="768" t="s">
        <v>1794</v>
      </c>
    </row>
    <row r="2894" spans="1:9" x14ac:dyDescent="0.25">
      <c r="A2894" s="753"/>
      <c r="C2894" s="131" t="s">
        <v>1126</v>
      </c>
      <c r="D2894" s="131">
        <v>16</v>
      </c>
      <c r="E2894" s="131" t="s">
        <v>1795</v>
      </c>
      <c r="F2894" s="767">
        <v>-118382</v>
      </c>
      <c r="G2894" s="767">
        <v>-10194</v>
      </c>
      <c r="H2894" s="767">
        <v>-128576</v>
      </c>
      <c r="I2894" s="768" t="s">
        <v>1796</v>
      </c>
    </row>
    <row r="2895" spans="1:9" x14ac:dyDescent="0.25">
      <c r="A2895" s="753"/>
      <c r="C2895" s="131" t="s">
        <v>1126</v>
      </c>
      <c r="D2895" s="131">
        <v>16</v>
      </c>
      <c r="E2895" s="131" t="s">
        <v>1797</v>
      </c>
      <c r="F2895" s="767">
        <v>-10120</v>
      </c>
      <c r="G2895" s="767">
        <v>0</v>
      </c>
      <c r="H2895" s="767">
        <v>-10120</v>
      </c>
      <c r="I2895" s="768" t="s">
        <v>1798</v>
      </c>
    </row>
    <row r="2896" spans="1:9" x14ac:dyDescent="0.25">
      <c r="A2896" s="753"/>
      <c r="C2896" s="131" t="s">
        <v>1126</v>
      </c>
      <c r="D2896" s="131">
        <v>16</v>
      </c>
      <c r="E2896" s="131" t="s">
        <v>1799</v>
      </c>
      <c r="F2896" s="767">
        <v>-8310</v>
      </c>
      <c r="G2896" s="767">
        <v>0</v>
      </c>
      <c r="H2896" s="767">
        <v>-8310</v>
      </c>
      <c r="I2896" s="768" t="s">
        <v>1800</v>
      </c>
    </row>
    <row r="2897" spans="1:9" x14ac:dyDescent="0.25">
      <c r="A2897" s="753"/>
      <c r="C2897" s="131" t="s">
        <v>1126</v>
      </c>
      <c r="D2897" s="131">
        <v>16</v>
      </c>
      <c r="E2897" s="131" t="s">
        <v>1149</v>
      </c>
      <c r="F2897" s="767">
        <v>-196190.88</v>
      </c>
      <c r="G2897" s="767">
        <v>-18865</v>
      </c>
      <c r="H2897" s="767">
        <v>-215055.88</v>
      </c>
      <c r="I2897" s="768" t="s">
        <v>1801</v>
      </c>
    </row>
    <row r="2898" spans="1:9" x14ac:dyDescent="0.25">
      <c r="A2898" s="753"/>
      <c r="C2898" s="131" t="s">
        <v>1126</v>
      </c>
      <c r="D2898" s="131">
        <v>16</v>
      </c>
      <c r="E2898" s="131" t="s">
        <v>1802</v>
      </c>
      <c r="F2898" s="767">
        <v>-4815</v>
      </c>
      <c r="G2898" s="767">
        <v>0</v>
      </c>
      <c r="H2898" s="767">
        <v>-4815</v>
      </c>
      <c r="I2898" s="768" t="s">
        <v>1803</v>
      </c>
    </row>
    <row r="2899" spans="1:9" x14ac:dyDescent="0.25">
      <c r="A2899" s="753"/>
      <c r="C2899" s="131" t="s">
        <v>1126</v>
      </c>
      <c r="D2899" s="131">
        <v>16</v>
      </c>
      <c r="E2899" s="131" t="s">
        <v>973</v>
      </c>
      <c r="F2899" s="767">
        <v>-108290</v>
      </c>
      <c r="G2899" s="767">
        <v>-13685</v>
      </c>
      <c r="H2899" s="767">
        <v>-121975</v>
      </c>
      <c r="I2899" s="768" t="s">
        <v>1804</v>
      </c>
    </row>
    <row r="2900" spans="1:9" x14ac:dyDescent="0.25">
      <c r="A2900" s="753"/>
      <c r="C2900" s="131" t="s">
        <v>1126</v>
      </c>
      <c r="D2900" s="131">
        <v>16</v>
      </c>
      <c r="E2900" s="131" t="s">
        <v>126</v>
      </c>
      <c r="F2900" s="767">
        <v>-41380.5</v>
      </c>
      <c r="G2900" s="767">
        <v>-3046</v>
      </c>
      <c r="H2900" s="767">
        <v>-44426.5</v>
      </c>
      <c r="I2900" s="768" t="s">
        <v>1805</v>
      </c>
    </row>
    <row r="2901" spans="1:9" x14ac:dyDescent="0.25">
      <c r="A2901" s="753"/>
      <c r="C2901" s="131" t="s">
        <v>1127</v>
      </c>
      <c r="D2901" s="131">
        <v>16</v>
      </c>
      <c r="E2901" s="131" t="s">
        <v>1127</v>
      </c>
      <c r="F2901" s="767">
        <v>18783.349999999999</v>
      </c>
      <c r="G2901" s="767">
        <v>1934.9</v>
      </c>
      <c r="H2901" s="767">
        <v>20718.25</v>
      </c>
      <c r="I2901" s="768" t="s">
        <v>1806</v>
      </c>
    </row>
    <row r="2902" spans="1:9" x14ac:dyDescent="0.25">
      <c r="A2902" s="753"/>
      <c r="C2902" s="131" t="s">
        <v>1127</v>
      </c>
      <c r="D2902" s="131">
        <v>16</v>
      </c>
      <c r="E2902" s="131" t="s">
        <v>1807</v>
      </c>
      <c r="F2902" s="767">
        <v>87942</v>
      </c>
      <c r="G2902" s="767">
        <v>7464</v>
      </c>
      <c r="H2902" s="767">
        <v>95406</v>
      </c>
      <c r="I2902" s="768" t="s">
        <v>1808</v>
      </c>
    </row>
    <row r="2903" spans="1:9" x14ac:dyDescent="0.25">
      <c r="A2903" s="753"/>
      <c r="C2903" s="131" t="s">
        <v>1127</v>
      </c>
      <c r="D2903" s="131">
        <v>16</v>
      </c>
      <c r="E2903" s="131" t="s">
        <v>1809</v>
      </c>
      <c r="F2903" s="767">
        <v>7084</v>
      </c>
      <c r="G2903" s="767">
        <v>0</v>
      </c>
      <c r="H2903" s="767">
        <v>7084</v>
      </c>
      <c r="I2903" s="768" t="s">
        <v>1810</v>
      </c>
    </row>
    <row r="2904" spans="1:9" x14ac:dyDescent="0.25">
      <c r="A2904" s="753"/>
      <c r="C2904" s="131" t="s">
        <v>1127</v>
      </c>
      <c r="D2904" s="131">
        <v>16</v>
      </c>
      <c r="E2904" s="131" t="s">
        <v>1811</v>
      </c>
      <c r="F2904" s="767">
        <v>5210</v>
      </c>
      <c r="G2904" s="767">
        <v>0</v>
      </c>
      <c r="H2904" s="767">
        <v>5210</v>
      </c>
      <c r="I2904" s="768" t="s">
        <v>1812</v>
      </c>
    </row>
    <row r="2905" spans="1:9" x14ac:dyDescent="0.25">
      <c r="A2905" s="753"/>
      <c r="C2905" s="131" t="s">
        <v>1127</v>
      </c>
      <c r="D2905" s="131">
        <v>16</v>
      </c>
      <c r="E2905" s="131" t="s">
        <v>1150</v>
      </c>
      <c r="F2905" s="767">
        <v>82708.88</v>
      </c>
      <c r="G2905" s="767">
        <v>7700</v>
      </c>
      <c r="H2905" s="767">
        <v>90408.88</v>
      </c>
      <c r="I2905" s="768" t="s">
        <v>1813</v>
      </c>
    </row>
    <row r="2906" spans="1:9" x14ac:dyDescent="0.25">
      <c r="A2906" s="753"/>
      <c r="C2906" s="131" t="s">
        <v>1127</v>
      </c>
      <c r="D2906" s="131">
        <v>16</v>
      </c>
      <c r="E2906" s="131" t="s">
        <v>1814</v>
      </c>
      <c r="F2906" s="767">
        <v>2355.4</v>
      </c>
      <c r="G2906" s="767">
        <v>0</v>
      </c>
      <c r="H2906" s="767">
        <v>2355.4</v>
      </c>
      <c r="I2906" s="768" t="s">
        <v>1815</v>
      </c>
    </row>
    <row r="2907" spans="1:9" x14ac:dyDescent="0.25">
      <c r="A2907" s="753"/>
      <c r="C2907" s="131" t="s">
        <v>1127</v>
      </c>
      <c r="D2907" s="131">
        <v>16</v>
      </c>
      <c r="E2907" s="131" t="s">
        <v>1058</v>
      </c>
      <c r="F2907" s="767">
        <v>26863</v>
      </c>
      <c r="G2907" s="767">
        <v>2009.95</v>
      </c>
      <c r="H2907" s="767">
        <v>28872.95</v>
      </c>
      <c r="I2907" s="768" t="s">
        <v>1816</v>
      </c>
    </row>
    <row r="2908" spans="1:9" x14ac:dyDescent="0.25">
      <c r="A2908" s="753"/>
      <c r="C2908" s="131" t="s">
        <v>1129</v>
      </c>
      <c r="D2908" s="131">
        <v>16</v>
      </c>
      <c r="E2908" s="131" t="s">
        <v>1129</v>
      </c>
      <c r="F2908" s="767">
        <v>-114317.94</v>
      </c>
      <c r="G2908" s="767">
        <v>-15368</v>
      </c>
      <c r="H2908" s="767">
        <v>-129685.94</v>
      </c>
      <c r="I2908" s="768" t="s">
        <v>1818</v>
      </c>
    </row>
    <row r="2909" spans="1:9" x14ac:dyDescent="0.25">
      <c r="A2909" s="753"/>
      <c r="C2909" s="131" t="s">
        <v>1130</v>
      </c>
      <c r="D2909" s="131">
        <v>16</v>
      </c>
      <c r="E2909" s="131" t="s">
        <v>1130</v>
      </c>
      <c r="F2909" s="767">
        <v>64063</v>
      </c>
      <c r="G2909" s="767">
        <v>10427</v>
      </c>
      <c r="H2909" s="767">
        <v>74490</v>
      </c>
      <c r="I2909" s="768" t="s">
        <v>1819</v>
      </c>
    </row>
    <row r="2910" spans="1:9" x14ac:dyDescent="0.25">
      <c r="A2910" s="753"/>
      <c r="C2910" s="131" t="s">
        <v>1132</v>
      </c>
      <c r="D2910" s="131">
        <v>16</v>
      </c>
      <c r="E2910" s="131" t="s">
        <v>1132</v>
      </c>
      <c r="F2910" s="767">
        <v>-31815.1</v>
      </c>
      <c r="G2910" s="767">
        <v>-3545.2</v>
      </c>
      <c r="H2910" s="767">
        <v>-35360.300000000003</v>
      </c>
      <c r="I2910" s="768" t="s">
        <v>1821</v>
      </c>
    </row>
    <row r="2911" spans="1:9" x14ac:dyDescent="0.25">
      <c r="A2911" s="753"/>
      <c r="C2911" s="131" t="s">
        <v>1133</v>
      </c>
      <c r="D2911" s="131">
        <v>16</v>
      </c>
      <c r="E2911" s="131" t="s">
        <v>1133</v>
      </c>
      <c r="F2911" s="767">
        <v>22107.3</v>
      </c>
      <c r="G2911" s="767">
        <v>2729.1</v>
      </c>
      <c r="H2911" s="767">
        <v>24836.400000000001</v>
      </c>
      <c r="I2911" s="768" t="s">
        <v>1822</v>
      </c>
    </row>
    <row r="2912" spans="1:9" x14ac:dyDescent="0.25">
      <c r="A2912" s="753">
        <v>604912</v>
      </c>
      <c r="B2912" s="130">
        <v>0</v>
      </c>
      <c r="E2912" s="131"/>
    </row>
    <row r="2913" spans="1:5" x14ac:dyDescent="0.25">
      <c r="A2913" s="753">
        <v>604914</v>
      </c>
      <c r="B2913" s="130">
        <v>0</v>
      </c>
      <c r="E2913" s="131"/>
    </row>
    <row r="2914" spans="1:5" x14ac:dyDescent="0.25">
      <c r="A2914" s="753">
        <v>604916</v>
      </c>
      <c r="B2914" s="130">
        <v>0</v>
      </c>
      <c r="E2914" s="131"/>
    </row>
    <row r="2915" spans="1:5" x14ac:dyDescent="0.25">
      <c r="A2915" s="753">
        <v>604922</v>
      </c>
      <c r="B2915" s="130">
        <v>0</v>
      </c>
      <c r="E2915" s="131"/>
    </row>
    <row r="2916" spans="1:5" x14ac:dyDescent="0.25">
      <c r="A2916" s="753">
        <v>604924</v>
      </c>
      <c r="B2916" s="130">
        <v>0</v>
      </c>
      <c r="E2916" s="131"/>
    </row>
    <row r="2917" spans="1:5" x14ac:dyDescent="0.25">
      <c r="A2917" s="753">
        <v>604926</v>
      </c>
      <c r="B2917" s="130">
        <v>0</v>
      </c>
      <c r="E2917" s="131"/>
    </row>
    <row r="2918" spans="1:5" x14ac:dyDescent="0.25">
      <c r="A2918" s="753">
        <v>605012</v>
      </c>
      <c r="B2918" s="130">
        <v>0</v>
      </c>
      <c r="E2918" s="131"/>
    </row>
    <row r="2919" spans="1:5" x14ac:dyDescent="0.25">
      <c r="A2919" s="753">
        <v>605014</v>
      </c>
      <c r="B2919" s="130">
        <v>0</v>
      </c>
      <c r="E2919" s="131"/>
    </row>
    <row r="2920" spans="1:5" x14ac:dyDescent="0.25">
      <c r="A2920" s="753">
        <v>605016</v>
      </c>
      <c r="B2920" s="130">
        <v>0</v>
      </c>
      <c r="E2920" s="131"/>
    </row>
    <row r="2921" spans="1:5" x14ac:dyDescent="0.25">
      <c r="A2921" s="753">
        <v>605022</v>
      </c>
      <c r="B2921" s="130">
        <v>0</v>
      </c>
      <c r="E2921" s="131"/>
    </row>
    <row r="2922" spans="1:5" x14ac:dyDescent="0.25">
      <c r="A2922" s="753">
        <v>605024</v>
      </c>
      <c r="B2922" s="130">
        <v>0</v>
      </c>
      <c r="E2922" s="131"/>
    </row>
    <row r="2923" spans="1:5" x14ac:dyDescent="0.25">
      <c r="A2923" s="753">
        <v>605026</v>
      </c>
      <c r="B2923" s="130">
        <v>0</v>
      </c>
      <c r="E2923" s="131"/>
    </row>
    <row r="2924" spans="1:5" x14ac:dyDescent="0.25">
      <c r="A2924" s="753">
        <v>605112</v>
      </c>
      <c r="B2924" s="130">
        <v>0</v>
      </c>
      <c r="E2924" s="131"/>
    </row>
    <row r="2925" spans="1:5" x14ac:dyDescent="0.25">
      <c r="A2925" s="753">
        <v>605114</v>
      </c>
      <c r="B2925" s="130">
        <v>0</v>
      </c>
      <c r="E2925" s="131"/>
    </row>
    <row r="2926" spans="1:5" x14ac:dyDescent="0.25">
      <c r="A2926" s="753">
        <v>605116</v>
      </c>
      <c r="B2926" s="130">
        <v>0</v>
      </c>
      <c r="E2926" s="131"/>
    </row>
    <row r="2927" spans="1:5" x14ac:dyDescent="0.25">
      <c r="A2927" s="753">
        <v>605122</v>
      </c>
      <c r="B2927" s="130">
        <v>0</v>
      </c>
      <c r="E2927" s="131"/>
    </row>
    <row r="2928" spans="1:5" x14ac:dyDescent="0.25">
      <c r="A2928" s="753">
        <v>605124</v>
      </c>
      <c r="B2928" s="130">
        <v>0</v>
      </c>
      <c r="E2928" s="131"/>
    </row>
    <row r="2929" spans="1:9" x14ac:dyDescent="0.25">
      <c r="A2929" s="753">
        <v>605126</v>
      </c>
      <c r="B2929" s="130">
        <v>0</v>
      </c>
      <c r="E2929" s="131"/>
    </row>
    <row r="2930" spans="1:9" x14ac:dyDescent="0.25">
      <c r="A2930" s="753">
        <v>500112</v>
      </c>
      <c r="B2930" s="130">
        <v>0</v>
      </c>
      <c r="E2930" s="131"/>
    </row>
    <row r="2931" spans="1:9" x14ac:dyDescent="0.25">
      <c r="A2931" s="753">
        <v>500114</v>
      </c>
      <c r="B2931" s="130">
        <v>0</v>
      </c>
      <c r="E2931" s="131"/>
    </row>
    <row r="2932" spans="1:9" x14ac:dyDescent="0.25">
      <c r="A2932" s="753">
        <v>500116</v>
      </c>
      <c r="B2932" s="130">
        <v>0</v>
      </c>
      <c r="E2932" s="131"/>
    </row>
    <row r="2933" spans="1:9" x14ac:dyDescent="0.25">
      <c r="A2933" s="753">
        <v>500118</v>
      </c>
      <c r="B2933" s="130">
        <v>0</v>
      </c>
      <c r="E2933" s="131"/>
    </row>
    <row r="2934" spans="1:9" x14ac:dyDescent="0.25">
      <c r="A2934" s="753">
        <v>500122</v>
      </c>
      <c r="B2934" s="130">
        <v>0</v>
      </c>
      <c r="E2934" s="131"/>
    </row>
    <row r="2935" spans="1:9" x14ac:dyDescent="0.25">
      <c r="A2935" s="753">
        <v>500124</v>
      </c>
      <c r="B2935" s="130">
        <v>0</v>
      </c>
      <c r="E2935" s="131"/>
    </row>
    <row r="2936" spans="1:9" x14ac:dyDescent="0.25">
      <c r="A2936" s="753">
        <v>500126</v>
      </c>
      <c r="B2936" s="130">
        <v>0</v>
      </c>
      <c r="E2936" s="131"/>
    </row>
    <row r="2937" spans="1:9" x14ac:dyDescent="0.25">
      <c r="A2937" s="753">
        <v>500128</v>
      </c>
      <c r="B2937" s="130">
        <v>0</v>
      </c>
      <c r="E2937" s="131"/>
    </row>
    <row r="2938" spans="1:9" x14ac:dyDescent="0.25">
      <c r="A2938" s="753">
        <v>500212</v>
      </c>
      <c r="B2938" s="130">
        <v>0</v>
      </c>
      <c r="C2938" s="131" t="s">
        <v>1134</v>
      </c>
      <c r="D2938" s="131">
        <v>16</v>
      </c>
      <c r="E2938" s="131" t="s">
        <v>1134</v>
      </c>
      <c r="F2938" s="767">
        <v>-0.01</v>
      </c>
      <c r="G2938" s="767">
        <v>0</v>
      </c>
      <c r="H2938" s="767">
        <v>-0.01</v>
      </c>
      <c r="I2938" s="768" t="s">
        <v>1823</v>
      </c>
    </row>
    <row r="2939" spans="1:9" x14ac:dyDescent="0.25">
      <c r="A2939" s="753">
        <v>500214</v>
      </c>
      <c r="B2939" s="130">
        <v>0</v>
      </c>
      <c r="C2939" s="131" t="s">
        <v>233</v>
      </c>
      <c r="D2939" s="131">
        <v>16</v>
      </c>
      <c r="E2939" s="131" t="s">
        <v>233</v>
      </c>
      <c r="F2939" s="767">
        <v>-49508.31</v>
      </c>
      <c r="G2939" s="767">
        <v>0</v>
      </c>
      <c r="H2939" s="767">
        <v>-49508.31</v>
      </c>
      <c r="I2939" s="768" t="s">
        <v>1824</v>
      </c>
    </row>
    <row r="2940" spans="1:9" x14ac:dyDescent="0.25">
      <c r="A2940" s="753">
        <v>500216</v>
      </c>
      <c r="B2940" s="130">
        <v>0</v>
      </c>
      <c r="C2940" s="131" t="s">
        <v>233</v>
      </c>
      <c r="D2940" s="131">
        <v>16</v>
      </c>
      <c r="E2940" s="131" t="s">
        <v>233</v>
      </c>
      <c r="F2940" s="767">
        <v>-49508.31</v>
      </c>
      <c r="G2940" s="767">
        <v>0</v>
      </c>
      <c r="H2940" s="767">
        <v>-49508.31</v>
      </c>
      <c r="I2940" s="768" t="s">
        <v>1824</v>
      </c>
    </row>
    <row r="2941" spans="1:9" x14ac:dyDescent="0.25">
      <c r="A2941" s="753"/>
      <c r="C2941" s="131" t="s">
        <v>1135</v>
      </c>
      <c r="D2941" s="131">
        <v>16</v>
      </c>
      <c r="E2941" s="131" t="s">
        <v>1135</v>
      </c>
      <c r="F2941" s="767">
        <v>44968.42</v>
      </c>
      <c r="G2941" s="767">
        <v>0</v>
      </c>
      <c r="H2941" s="767">
        <v>44968.42</v>
      </c>
      <c r="I2941" s="768" t="s">
        <v>1825</v>
      </c>
    </row>
    <row r="2942" spans="1:9" x14ac:dyDescent="0.25">
      <c r="A2942" s="753">
        <v>500218</v>
      </c>
      <c r="B2942" s="130">
        <v>0</v>
      </c>
      <c r="E2942" s="131"/>
    </row>
    <row r="2943" spans="1:9" x14ac:dyDescent="0.25">
      <c r="A2943" s="753">
        <v>500222</v>
      </c>
      <c r="B2943" s="130">
        <v>1</v>
      </c>
      <c r="C2943" s="131" t="s">
        <v>1134</v>
      </c>
      <c r="D2943" s="131">
        <v>16</v>
      </c>
      <c r="E2943" s="131" t="s">
        <v>1134</v>
      </c>
      <c r="F2943" s="767">
        <v>-0.01</v>
      </c>
      <c r="G2943" s="767">
        <v>0</v>
      </c>
      <c r="H2943" s="767">
        <v>-0.01</v>
      </c>
      <c r="I2943" s="768" t="s">
        <v>1823</v>
      </c>
    </row>
    <row r="2944" spans="1:9" x14ac:dyDescent="0.25">
      <c r="A2944" s="753">
        <v>500224</v>
      </c>
      <c r="B2944" s="130">
        <v>49508</v>
      </c>
      <c r="C2944" s="131" t="s">
        <v>233</v>
      </c>
      <c r="D2944" s="131">
        <v>16</v>
      </c>
      <c r="E2944" s="131" t="s">
        <v>233</v>
      </c>
      <c r="F2944" s="767">
        <v>-49508.31</v>
      </c>
      <c r="G2944" s="767">
        <v>0</v>
      </c>
      <c r="H2944" s="767">
        <v>-49508.31</v>
      </c>
      <c r="I2944" s="768" t="s">
        <v>1824</v>
      </c>
    </row>
    <row r="2945" spans="1:9" x14ac:dyDescent="0.25">
      <c r="A2945" s="753">
        <v>500226</v>
      </c>
      <c r="B2945" s="130">
        <v>4540</v>
      </c>
      <c r="C2945" s="131" t="s">
        <v>233</v>
      </c>
      <c r="D2945" s="131">
        <v>16</v>
      </c>
      <c r="E2945" s="131" t="s">
        <v>233</v>
      </c>
      <c r="F2945" s="767">
        <v>-49508.31</v>
      </c>
      <c r="G2945" s="767">
        <v>0</v>
      </c>
      <c r="H2945" s="767">
        <v>-49508.31</v>
      </c>
      <c r="I2945" s="768" t="s">
        <v>1824</v>
      </c>
    </row>
    <row r="2946" spans="1:9" x14ac:dyDescent="0.25">
      <c r="A2946" s="753"/>
      <c r="C2946" s="131" t="s">
        <v>1135</v>
      </c>
      <c r="D2946" s="131">
        <v>16</v>
      </c>
      <c r="E2946" s="131" t="s">
        <v>1135</v>
      </c>
      <c r="F2946" s="767">
        <v>44968.42</v>
      </c>
      <c r="G2946" s="767">
        <v>0</v>
      </c>
      <c r="H2946" s="767">
        <v>44968.42</v>
      </c>
      <c r="I2946" s="768" t="s">
        <v>1825</v>
      </c>
    </row>
    <row r="2947" spans="1:9" x14ac:dyDescent="0.25">
      <c r="A2947" s="753">
        <v>500228</v>
      </c>
      <c r="B2947" s="130">
        <v>4540</v>
      </c>
      <c r="E2947" s="131"/>
    </row>
    <row r="2948" spans="1:9" x14ac:dyDescent="0.25">
      <c r="A2948" s="753">
        <v>500312</v>
      </c>
      <c r="B2948" s="130">
        <v>0</v>
      </c>
      <c r="E2948" s="131"/>
    </row>
    <row r="2949" spans="1:9" x14ac:dyDescent="0.25">
      <c r="A2949" s="753">
        <v>500314</v>
      </c>
      <c r="B2949" s="130">
        <v>0</v>
      </c>
      <c r="E2949" s="131"/>
    </row>
    <row r="2950" spans="1:9" x14ac:dyDescent="0.25">
      <c r="A2950" s="753">
        <v>500316</v>
      </c>
      <c r="B2950" s="130">
        <v>0</v>
      </c>
      <c r="E2950" s="131"/>
    </row>
    <row r="2951" spans="1:9" x14ac:dyDescent="0.25">
      <c r="A2951" s="753">
        <v>500318</v>
      </c>
      <c r="B2951" s="130">
        <v>0</v>
      </c>
      <c r="E2951" s="131"/>
    </row>
    <row r="2952" spans="1:9" x14ac:dyDescent="0.25">
      <c r="A2952" s="753">
        <v>500322</v>
      </c>
      <c r="B2952" s="130">
        <v>0</v>
      </c>
      <c r="E2952" s="131"/>
    </row>
    <row r="2953" spans="1:9" x14ac:dyDescent="0.25">
      <c r="A2953" s="753">
        <v>500324</v>
      </c>
      <c r="B2953" s="130">
        <v>0</v>
      </c>
      <c r="E2953" s="131"/>
    </row>
    <row r="2954" spans="1:9" x14ac:dyDescent="0.25">
      <c r="A2954" s="753">
        <v>500326</v>
      </c>
      <c r="B2954" s="130">
        <v>0</v>
      </c>
      <c r="E2954" s="131"/>
    </row>
    <row r="2955" spans="1:9" x14ac:dyDescent="0.25">
      <c r="A2955" s="753">
        <v>500328</v>
      </c>
      <c r="B2955" s="130">
        <v>0</v>
      </c>
      <c r="E2955" s="131"/>
    </row>
    <row r="2956" spans="1:9" x14ac:dyDescent="0.25">
      <c r="A2956" s="753">
        <v>500412</v>
      </c>
      <c r="B2956" s="130">
        <v>0</v>
      </c>
      <c r="E2956" s="131"/>
    </row>
    <row r="2957" spans="1:9" x14ac:dyDescent="0.25">
      <c r="A2957" s="753">
        <v>500414</v>
      </c>
      <c r="B2957" s="130">
        <v>0</v>
      </c>
      <c r="E2957" s="131"/>
    </row>
    <row r="2958" spans="1:9" x14ac:dyDescent="0.25">
      <c r="A2958" s="753">
        <v>500416</v>
      </c>
      <c r="B2958" s="130">
        <v>0</v>
      </c>
      <c r="E2958" s="131"/>
    </row>
    <row r="2959" spans="1:9" x14ac:dyDescent="0.25">
      <c r="A2959" s="753">
        <v>500418</v>
      </c>
      <c r="B2959" s="130">
        <v>0</v>
      </c>
      <c r="E2959" s="131"/>
    </row>
    <row r="2960" spans="1:9" x14ac:dyDescent="0.25">
      <c r="A2960" s="753">
        <v>500422</v>
      </c>
      <c r="B2960" s="130">
        <v>0</v>
      </c>
      <c r="E2960" s="131"/>
    </row>
    <row r="2961" spans="1:9" x14ac:dyDescent="0.25">
      <c r="A2961" s="753">
        <v>500424</v>
      </c>
      <c r="B2961" s="130">
        <v>0</v>
      </c>
      <c r="E2961" s="131"/>
    </row>
    <row r="2962" spans="1:9" x14ac:dyDescent="0.25">
      <c r="A2962" s="753">
        <v>500426</v>
      </c>
      <c r="B2962" s="130">
        <v>0</v>
      </c>
      <c r="E2962" s="131"/>
    </row>
    <row r="2963" spans="1:9" x14ac:dyDescent="0.25">
      <c r="A2963" s="753">
        <v>500428</v>
      </c>
      <c r="B2963" s="130">
        <v>0</v>
      </c>
      <c r="E2963" s="131"/>
    </row>
    <row r="2964" spans="1:9" x14ac:dyDescent="0.25">
      <c r="A2964" s="753">
        <v>500512</v>
      </c>
      <c r="B2964" s="130">
        <v>0</v>
      </c>
      <c r="C2964" s="131" t="s">
        <v>1137</v>
      </c>
      <c r="D2964" s="131">
        <v>16</v>
      </c>
      <c r="E2964" s="131" t="s">
        <v>1137</v>
      </c>
      <c r="F2964" s="767">
        <v>-0.01</v>
      </c>
      <c r="G2964" s="767">
        <v>0</v>
      </c>
      <c r="H2964" s="767">
        <v>-0.01</v>
      </c>
      <c r="I2964" s="768" t="s">
        <v>1826</v>
      </c>
    </row>
    <row r="2965" spans="1:9" x14ac:dyDescent="0.25">
      <c r="A2965" s="753">
        <v>500514</v>
      </c>
      <c r="B2965" s="130">
        <v>0</v>
      </c>
      <c r="C2965" s="131" t="s">
        <v>234</v>
      </c>
      <c r="D2965" s="131">
        <v>16</v>
      </c>
      <c r="E2965" s="131" t="s">
        <v>234</v>
      </c>
      <c r="F2965" s="767">
        <v>-66243.350000000006</v>
      </c>
      <c r="G2965" s="767">
        <v>0</v>
      </c>
      <c r="H2965" s="767">
        <v>-66243.350000000006</v>
      </c>
      <c r="I2965" s="768" t="s">
        <v>1827</v>
      </c>
    </row>
    <row r="2966" spans="1:9" x14ac:dyDescent="0.25">
      <c r="A2966" s="753">
        <v>500516</v>
      </c>
      <c r="B2966" s="130">
        <v>0</v>
      </c>
      <c r="C2966" s="131" t="s">
        <v>234</v>
      </c>
      <c r="D2966" s="131">
        <v>16</v>
      </c>
      <c r="E2966" s="131" t="s">
        <v>234</v>
      </c>
      <c r="F2966" s="767">
        <v>-66243.350000000006</v>
      </c>
      <c r="G2966" s="767">
        <v>0</v>
      </c>
      <c r="H2966" s="767">
        <v>-66243.350000000006</v>
      </c>
      <c r="I2966" s="768" t="s">
        <v>1827</v>
      </c>
    </row>
    <row r="2967" spans="1:9" x14ac:dyDescent="0.25">
      <c r="A2967" s="753"/>
      <c r="C2967" s="131" t="s">
        <v>1138</v>
      </c>
      <c r="D2967" s="131">
        <v>16</v>
      </c>
      <c r="E2967" s="131" t="s">
        <v>1138</v>
      </c>
      <c r="F2967" s="767">
        <v>64976.959999999999</v>
      </c>
      <c r="G2967" s="767">
        <v>0</v>
      </c>
      <c r="H2967" s="767">
        <v>64976.959999999999</v>
      </c>
      <c r="I2967" s="768" t="s">
        <v>1828</v>
      </c>
    </row>
    <row r="2968" spans="1:9" x14ac:dyDescent="0.25">
      <c r="A2968" s="753">
        <v>500518</v>
      </c>
      <c r="B2968" s="130">
        <v>0</v>
      </c>
      <c r="E2968" s="131"/>
    </row>
    <row r="2969" spans="1:9" x14ac:dyDescent="0.25">
      <c r="A2969" s="753">
        <v>500522</v>
      </c>
      <c r="B2969" s="130">
        <v>1</v>
      </c>
      <c r="C2969" s="131" t="s">
        <v>1137</v>
      </c>
      <c r="D2969" s="131">
        <v>16</v>
      </c>
      <c r="E2969" s="131" t="s">
        <v>1137</v>
      </c>
      <c r="F2969" s="767">
        <v>-0.01</v>
      </c>
      <c r="G2969" s="767">
        <v>0</v>
      </c>
      <c r="H2969" s="767">
        <v>-0.01</v>
      </c>
      <c r="I2969" s="768" t="s">
        <v>1826</v>
      </c>
    </row>
    <row r="2970" spans="1:9" x14ac:dyDescent="0.25">
      <c r="A2970" s="753">
        <v>500524</v>
      </c>
      <c r="B2970" s="130">
        <v>66243</v>
      </c>
      <c r="C2970" s="131" t="s">
        <v>234</v>
      </c>
      <c r="D2970" s="131">
        <v>16</v>
      </c>
      <c r="E2970" s="131" t="s">
        <v>234</v>
      </c>
      <c r="F2970" s="767">
        <v>-66243.350000000006</v>
      </c>
      <c r="G2970" s="767">
        <v>0</v>
      </c>
      <c r="H2970" s="767">
        <v>-66243.350000000006</v>
      </c>
      <c r="I2970" s="768" t="s">
        <v>1827</v>
      </c>
    </row>
    <row r="2971" spans="1:9" x14ac:dyDescent="0.25">
      <c r="A2971" s="753">
        <v>500526</v>
      </c>
      <c r="B2971" s="130">
        <v>1266</v>
      </c>
      <c r="C2971" s="131" t="s">
        <v>234</v>
      </c>
      <c r="D2971" s="131">
        <v>16</v>
      </c>
      <c r="E2971" s="131" t="s">
        <v>234</v>
      </c>
      <c r="F2971" s="767">
        <v>-66243.350000000006</v>
      </c>
      <c r="G2971" s="767">
        <v>0</v>
      </c>
      <c r="H2971" s="767">
        <v>-66243.350000000006</v>
      </c>
      <c r="I2971" s="768" t="s">
        <v>1827</v>
      </c>
    </row>
    <row r="2972" spans="1:9" x14ac:dyDescent="0.25">
      <c r="A2972" s="753"/>
      <c r="C2972" s="131" t="s">
        <v>1138</v>
      </c>
      <c r="D2972" s="131">
        <v>16</v>
      </c>
      <c r="E2972" s="131" t="s">
        <v>1138</v>
      </c>
      <c r="F2972" s="767">
        <v>64976.959999999999</v>
      </c>
      <c r="G2972" s="767">
        <v>0</v>
      </c>
      <c r="H2972" s="767">
        <v>64976.959999999999</v>
      </c>
      <c r="I2972" s="768" t="s">
        <v>1828</v>
      </c>
    </row>
    <row r="2973" spans="1:9" x14ac:dyDescent="0.25">
      <c r="A2973" s="753">
        <v>500528</v>
      </c>
      <c r="B2973" s="130">
        <v>1266</v>
      </c>
      <c r="E2973" s="131"/>
    </row>
    <row r="2974" spans="1:9" x14ac:dyDescent="0.25">
      <c r="A2974" s="753">
        <v>500612</v>
      </c>
      <c r="B2974" s="130">
        <v>0</v>
      </c>
      <c r="E2974" s="131"/>
    </row>
    <row r="2975" spans="1:9" x14ac:dyDescent="0.25">
      <c r="A2975" s="753">
        <v>500614</v>
      </c>
      <c r="B2975" s="130">
        <v>0</v>
      </c>
      <c r="E2975" s="131"/>
    </row>
    <row r="2976" spans="1:9" x14ac:dyDescent="0.25">
      <c r="A2976" s="753">
        <v>500616</v>
      </c>
      <c r="B2976" s="130">
        <v>0</v>
      </c>
      <c r="E2976" s="131"/>
    </row>
    <row r="2977" spans="1:9" x14ac:dyDescent="0.25">
      <c r="A2977" s="753">
        <v>500618</v>
      </c>
      <c r="B2977" s="130">
        <v>0</v>
      </c>
      <c r="E2977" s="131"/>
    </row>
    <row r="2978" spans="1:9" x14ac:dyDescent="0.25">
      <c r="A2978" s="753">
        <v>500622</v>
      </c>
      <c r="B2978" s="130">
        <v>0</v>
      </c>
      <c r="E2978" s="131"/>
    </row>
    <row r="2979" spans="1:9" x14ac:dyDescent="0.25">
      <c r="A2979" s="753">
        <v>500624</v>
      </c>
      <c r="B2979" s="130">
        <v>0</v>
      </c>
      <c r="E2979" s="131"/>
    </row>
    <row r="2980" spans="1:9" x14ac:dyDescent="0.25">
      <c r="A2980" s="753">
        <v>500626</v>
      </c>
      <c r="B2980" s="130">
        <v>0</v>
      </c>
      <c r="E2980" s="131"/>
    </row>
    <row r="2981" spans="1:9" x14ac:dyDescent="0.25">
      <c r="A2981" s="753">
        <v>500628</v>
      </c>
      <c r="B2981" s="130">
        <v>0</v>
      </c>
      <c r="E2981" s="131"/>
    </row>
    <row r="2982" spans="1:9" x14ac:dyDescent="0.25">
      <c r="A2982" s="753">
        <v>500712</v>
      </c>
      <c r="B2982" s="130">
        <v>0</v>
      </c>
      <c r="C2982" s="131" t="s">
        <v>2281</v>
      </c>
      <c r="D2982" s="131">
        <v>16</v>
      </c>
      <c r="E2982" s="131" t="s">
        <v>2281</v>
      </c>
      <c r="F2982" s="767">
        <v>-0.01</v>
      </c>
      <c r="G2982" s="767">
        <v>0</v>
      </c>
      <c r="H2982" s="767">
        <v>-0.01</v>
      </c>
      <c r="I2982" s="768" t="s">
        <v>2282</v>
      </c>
    </row>
    <row r="2983" spans="1:9" x14ac:dyDescent="0.25">
      <c r="A2983" s="753">
        <v>500714</v>
      </c>
      <c r="B2983" s="130">
        <v>0</v>
      </c>
      <c r="C2983" s="131" t="s">
        <v>385</v>
      </c>
      <c r="D2983" s="131">
        <v>16</v>
      </c>
      <c r="E2983" s="131" t="s">
        <v>385</v>
      </c>
      <c r="F2983" s="767">
        <v>-88209.5</v>
      </c>
      <c r="G2983" s="767">
        <v>0</v>
      </c>
      <c r="H2983" s="767">
        <v>-88209.5</v>
      </c>
      <c r="I2983" s="768" t="s">
        <v>2283</v>
      </c>
    </row>
    <row r="2984" spans="1:9" x14ac:dyDescent="0.25">
      <c r="A2984" s="753">
        <v>500716</v>
      </c>
      <c r="B2984" s="130">
        <v>0</v>
      </c>
      <c r="C2984" s="131" t="s">
        <v>385</v>
      </c>
      <c r="D2984" s="131">
        <v>16</v>
      </c>
      <c r="E2984" s="131" t="s">
        <v>385</v>
      </c>
      <c r="F2984" s="767">
        <v>-88209.5</v>
      </c>
      <c r="G2984" s="767">
        <v>0</v>
      </c>
      <c r="H2984" s="767">
        <v>-88209.5</v>
      </c>
      <c r="I2984" s="768" t="s">
        <v>2283</v>
      </c>
    </row>
    <row r="2985" spans="1:9" x14ac:dyDescent="0.25">
      <c r="A2985" s="753"/>
      <c r="C2985" s="131" t="s">
        <v>1136</v>
      </c>
      <c r="D2985" s="131">
        <v>16</v>
      </c>
      <c r="E2985" s="131" t="s">
        <v>1136</v>
      </c>
      <c r="F2985" s="767">
        <v>84914.34</v>
      </c>
      <c r="G2985" s="767">
        <v>0</v>
      </c>
      <c r="H2985" s="767">
        <v>84914.34</v>
      </c>
      <c r="I2985" s="768" t="s">
        <v>1829</v>
      </c>
    </row>
    <row r="2986" spans="1:9" x14ac:dyDescent="0.25">
      <c r="A2986" s="753">
        <v>500718</v>
      </c>
      <c r="B2986" s="130">
        <v>0</v>
      </c>
      <c r="E2986" s="131"/>
    </row>
    <row r="2987" spans="1:9" x14ac:dyDescent="0.25">
      <c r="A2987" s="753">
        <v>500722</v>
      </c>
      <c r="B2987" s="130">
        <v>1</v>
      </c>
      <c r="C2987" s="131" t="s">
        <v>2281</v>
      </c>
      <c r="D2987" s="131">
        <v>16</v>
      </c>
      <c r="E2987" s="131" t="s">
        <v>2281</v>
      </c>
      <c r="F2987" s="767">
        <v>-0.01</v>
      </c>
      <c r="G2987" s="767">
        <v>0</v>
      </c>
      <c r="H2987" s="767">
        <v>-0.01</v>
      </c>
      <c r="I2987" s="768" t="s">
        <v>2282</v>
      </c>
    </row>
    <row r="2988" spans="1:9" x14ac:dyDescent="0.25">
      <c r="A2988" s="753">
        <v>500724</v>
      </c>
      <c r="B2988" s="130">
        <v>88210</v>
      </c>
      <c r="C2988" s="131" t="s">
        <v>385</v>
      </c>
      <c r="D2988" s="131">
        <v>16</v>
      </c>
      <c r="E2988" s="131" t="s">
        <v>385</v>
      </c>
      <c r="F2988" s="767">
        <v>-88209.5</v>
      </c>
      <c r="G2988" s="767">
        <v>0</v>
      </c>
      <c r="H2988" s="767">
        <v>-88209.5</v>
      </c>
      <c r="I2988" s="768" t="s">
        <v>2283</v>
      </c>
    </row>
    <row r="2989" spans="1:9" x14ac:dyDescent="0.25">
      <c r="A2989" s="753">
        <v>500726</v>
      </c>
      <c r="B2989" s="130">
        <v>3296</v>
      </c>
      <c r="C2989" s="131" t="s">
        <v>385</v>
      </c>
      <c r="D2989" s="131">
        <v>16</v>
      </c>
      <c r="E2989" s="131" t="s">
        <v>385</v>
      </c>
      <c r="F2989" s="767">
        <v>-88209.5</v>
      </c>
      <c r="G2989" s="767">
        <v>0</v>
      </c>
      <c r="H2989" s="767">
        <v>-88209.5</v>
      </c>
      <c r="I2989" s="768" t="s">
        <v>2283</v>
      </c>
    </row>
    <row r="2990" spans="1:9" x14ac:dyDescent="0.25">
      <c r="A2990" s="753"/>
      <c r="C2990" s="131" t="s">
        <v>1136</v>
      </c>
      <c r="D2990" s="131">
        <v>16</v>
      </c>
      <c r="E2990" s="131" t="s">
        <v>1136</v>
      </c>
      <c r="F2990" s="767">
        <v>84914.34</v>
      </c>
      <c r="G2990" s="767">
        <v>0</v>
      </c>
      <c r="H2990" s="767">
        <v>84914.34</v>
      </c>
      <c r="I2990" s="768" t="s">
        <v>1829</v>
      </c>
    </row>
    <row r="2991" spans="1:9" x14ac:dyDescent="0.25">
      <c r="A2991" s="753">
        <v>500728</v>
      </c>
      <c r="B2991" s="130">
        <v>3296</v>
      </c>
      <c r="E2991" s="131"/>
    </row>
    <row r="2992" spans="1:9" x14ac:dyDescent="0.25">
      <c r="A2992" s="753">
        <v>500812</v>
      </c>
      <c r="B2992" s="130">
        <v>0</v>
      </c>
      <c r="E2992" s="131"/>
    </row>
    <row r="2993" spans="1:9" x14ac:dyDescent="0.25">
      <c r="A2993" s="753">
        <v>500814</v>
      </c>
      <c r="B2993" s="130">
        <v>0</v>
      </c>
      <c r="E2993" s="131"/>
    </row>
    <row r="2994" spans="1:9" x14ac:dyDescent="0.25">
      <c r="A2994" s="753">
        <v>500816</v>
      </c>
      <c r="B2994" s="130">
        <v>0</v>
      </c>
      <c r="C2994" s="131" t="s">
        <v>233</v>
      </c>
      <c r="D2994" s="131">
        <v>16</v>
      </c>
      <c r="E2994" s="131" t="s">
        <v>233</v>
      </c>
      <c r="F2994" s="767">
        <v>-49508.31</v>
      </c>
      <c r="G2994" s="767">
        <v>0</v>
      </c>
      <c r="H2994" s="767">
        <v>-49508.31</v>
      </c>
      <c r="I2994" s="768" t="s">
        <v>1824</v>
      </c>
    </row>
    <row r="2995" spans="1:9" x14ac:dyDescent="0.25">
      <c r="A2995" s="753"/>
      <c r="C2995" s="131" t="s">
        <v>1135</v>
      </c>
      <c r="D2995" s="131">
        <v>16</v>
      </c>
      <c r="E2995" s="131" t="s">
        <v>1135</v>
      </c>
      <c r="F2995" s="767">
        <v>44968.42</v>
      </c>
      <c r="G2995" s="767">
        <v>0</v>
      </c>
      <c r="H2995" s="767">
        <v>44968.42</v>
      </c>
      <c r="I2995" s="768" t="s">
        <v>1825</v>
      </c>
    </row>
    <row r="2996" spans="1:9" x14ac:dyDescent="0.25">
      <c r="A2996" s="753"/>
      <c r="C2996" s="131" t="s">
        <v>234</v>
      </c>
      <c r="D2996" s="131">
        <v>16</v>
      </c>
      <c r="E2996" s="131" t="s">
        <v>234</v>
      </c>
      <c r="F2996" s="767">
        <v>-66243.350000000006</v>
      </c>
      <c r="G2996" s="767">
        <v>0</v>
      </c>
      <c r="H2996" s="767">
        <v>-66243.350000000006</v>
      </c>
      <c r="I2996" s="768" t="s">
        <v>1827</v>
      </c>
    </row>
    <row r="2997" spans="1:9" x14ac:dyDescent="0.25">
      <c r="A2997" s="753"/>
      <c r="C2997" s="131" t="s">
        <v>1138</v>
      </c>
      <c r="D2997" s="131">
        <v>16</v>
      </c>
      <c r="E2997" s="131" t="s">
        <v>1138</v>
      </c>
      <c r="F2997" s="767">
        <v>64976.959999999999</v>
      </c>
      <c r="G2997" s="767">
        <v>0</v>
      </c>
      <c r="H2997" s="767">
        <v>64976.959999999999</v>
      </c>
      <c r="I2997" s="768" t="s">
        <v>1828</v>
      </c>
    </row>
    <row r="2998" spans="1:9" x14ac:dyDescent="0.25">
      <c r="A2998" s="753"/>
      <c r="C2998" s="131" t="s">
        <v>385</v>
      </c>
      <c r="D2998" s="131">
        <v>16</v>
      </c>
      <c r="E2998" s="131" t="s">
        <v>385</v>
      </c>
      <c r="F2998" s="767">
        <v>-88209.5</v>
      </c>
      <c r="G2998" s="767">
        <v>0</v>
      </c>
      <c r="H2998" s="767">
        <v>-88209.5</v>
      </c>
      <c r="I2998" s="768" t="s">
        <v>2283</v>
      </c>
    </row>
    <row r="2999" spans="1:9" x14ac:dyDescent="0.25">
      <c r="A2999" s="753"/>
      <c r="C2999" s="131" t="s">
        <v>1136</v>
      </c>
      <c r="D2999" s="131">
        <v>16</v>
      </c>
      <c r="E2999" s="131" t="s">
        <v>1136</v>
      </c>
      <c r="F2999" s="767">
        <v>84914.34</v>
      </c>
      <c r="G2999" s="767">
        <v>0</v>
      </c>
      <c r="H2999" s="767">
        <v>84914.34</v>
      </c>
      <c r="I2999" s="768" t="s">
        <v>1829</v>
      </c>
    </row>
    <row r="3000" spans="1:9" x14ac:dyDescent="0.25">
      <c r="A3000" s="753">
        <v>500818</v>
      </c>
      <c r="B3000" s="130">
        <v>0</v>
      </c>
      <c r="E3000" s="131"/>
    </row>
    <row r="3001" spans="1:9" x14ac:dyDescent="0.25">
      <c r="A3001" s="753">
        <v>500822</v>
      </c>
      <c r="B3001" s="130">
        <v>3</v>
      </c>
      <c r="E3001" s="131"/>
    </row>
    <row r="3002" spans="1:9" x14ac:dyDescent="0.25">
      <c r="A3002" s="753">
        <v>500824</v>
      </c>
      <c r="B3002" s="130">
        <v>203961</v>
      </c>
      <c r="E3002" s="131"/>
    </row>
    <row r="3003" spans="1:9" x14ac:dyDescent="0.25">
      <c r="A3003" s="753">
        <v>500826</v>
      </c>
      <c r="B3003" s="130">
        <v>9102</v>
      </c>
      <c r="C3003" s="131" t="s">
        <v>233</v>
      </c>
      <c r="D3003" s="131">
        <v>16</v>
      </c>
      <c r="E3003" s="131" t="s">
        <v>233</v>
      </c>
      <c r="F3003" s="767">
        <v>-49508.31</v>
      </c>
      <c r="G3003" s="767">
        <v>0</v>
      </c>
      <c r="H3003" s="767">
        <v>-49508.31</v>
      </c>
      <c r="I3003" s="768" t="s">
        <v>1824</v>
      </c>
    </row>
    <row r="3004" spans="1:9" x14ac:dyDescent="0.25">
      <c r="A3004" s="753"/>
      <c r="C3004" s="131" t="s">
        <v>1135</v>
      </c>
      <c r="D3004" s="131">
        <v>16</v>
      </c>
      <c r="E3004" s="131" t="s">
        <v>1135</v>
      </c>
      <c r="F3004" s="767">
        <v>44968.42</v>
      </c>
      <c r="G3004" s="767">
        <v>0</v>
      </c>
      <c r="H3004" s="767">
        <v>44968.42</v>
      </c>
      <c r="I3004" s="768" t="s">
        <v>1825</v>
      </c>
    </row>
    <row r="3005" spans="1:9" x14ac:dyDescent="0.25">
      <c r="A3005" s="753"/>
      <c r="C3005" s="131" t="s">
        <v>234</v>
      </c>
      <c r="D3005" s="131">
        <v>16</v>
      </c>
      <c r="E3005" s="131" t="s">
        <v>234</v>
      </c>
      <c r="F3005" s="767">
        <v>-66243.350000000006</v>
      </c>
      <c r="G3005" s="767">
        <v>0</v>
      </c>
      <c r="H3005" s="767">
        <v>-66243.350000000006</v>
      </c>
      <c r="I3005" s="768" t="s">
        <v>1827</v>
      </c>
    </row>
    <row r="3006" spans="1:9" x14ac:dyDescent="0.25">
      <c r="A3006" s="753"/>
      <c r="C3006" s="131" t="s">
        <v>1138</v>
      </c>
      <c r="D3006" s="131">
        <v>16</v>
      </c>
      <c r="E3006" s="131" t="s">
        <v>1138</v>
      </c>
      <c r="F3006" s="767">
        <v>64976.959999999999</v>
      </c>
      <c r="G3006" s="767">
        <v>0</v>
      </c>
      <c r="H3006" s="767">
        <v>64976.959999999999</v>
      </c>
      <c r="I3006" s="768" t="s">
        <v>1828</v>
      </c>
    </row>
    <row r="3007" spans="1:9" x14ac:dyDescent="0.25">
      <c r="A3007" s="753"/>
      <c r="C3007" s="131" t="s">
        <v>385</v>
      </c>
      <c r="D3007" s="131">
        <v>16</v>
      </c>
      <c r="E3007" s="131" t="s">
        <v>385</v>
      </c>
      <c r="F3007" s="767">
        <v>-88209.5</v>
      </c>
      <c r="G3007" s="767">
        <v>0</v>
      </c>
      <c r="H3007" s="767">
        <v>-88209.5</v>
      </c>
      <c r="I3007" s="768" t="s">
        <v>2283</v>
      </c>
    </row>
    <row r="3008" spans="1:9" x14ac:dyDescent="0.25">
      <c r="A3008" s="753"/>
      <c r="C3008" s="131" t="s">
        <v>1136</v>
      </c>
      <c r="D3008" s="131">
        <v>16</v>
      </c>
      <c r="E3008" s="131" t="s">
        <v>1136</v>
      </c>
      <c r="F3008" s="767">
        <v>84914.34</v>
      </c>
      <c r="G3008" s="767">
        <v>0</v>
      </c>
      <c r="H3008" s="767">
        <v>84914.34</v>
      </c>
      <c r="I3008" s="768" t="s">
        <v>1829</v>
      </c>
    </row>
    <row r="3009" spans="1:9" x14ac:dyDescent="0.25">
      <c r="A3009" s="753">
        <v>500828</v>
      </c>
      <c r="B3009" s="130">
        <v>3034</v>
      </c>
      <c r="E3009" s="131"/>
    </row>
    <row r="3010" spans="1:9" x14ac:dyDescent="0.25">
      <c r="A3010" s="753">
        <v>500912</v>
      </c>
      <c r="B3010" s="130">
        <v>0</v>
      </c>
      <c r="C3010" s="131" t="s">
        <v>1141</v>
      </c>
      <c r="D3010" s="131">
        <v>16</v>
      </c>
      <c r="E3010" s="131" t="s">
        <v>1141</v>
      </c>
      <c r="F3010" s="767">
        <v>-0.01</v>
      </c>
      <c r="G3010" s="767">
        <v>0</v>
      </c>
      <c r="H3010" s="767">
        <v>-0.01</v>
      </c>
      <c r="I3010" s="768" t="s">
        <v>1830</v>
      </c>
    </row>
    <row r="3011" spans="1:9" x14ac:dyDescent="0.25">
      <c r="A3011" s="753">
        <v>500914</v>
      </c>
      <c r="B3011" s="130">
        <v>0</v>
      </c>
      <c r="C3011" s="131" t="s">
        <v>100</v>
      </c>
      <c r="D3011" s="131">
        <v>16</v>
      </c>
      <c r="E3011" s="131" t="s">
        <v>100</v>
      </c>
      <c r="F3011" s="767">
        <v>-63527.8</v>
      </c>
      <c r="G3011" s="767">
        <v>0</v>
      </c>
      <c r="H3011" s="767">
        <v>-63527.8</v>
      </c>
      <c r="I3011" s="768" t="s">
        <v>1831</v>
      </c>
    </row>
    <row r="3012" spans="1:9" x14ac:dyDescent="0.25">
      <c r="A3012" s="753">
        <v>500916</v>
      </c>
      <c r="B3012" s="130">
        <v>0</v>
      </c>
      <c r="C3012" s="131" t="s">
        <v>100</v>
      </c>
      <c r="D3012" s="131">
        <v>16</v>
      </c>
      <c r="E3012" s="131" t="s">
        <v>100</v>
      </c>
      <c r="F3012" s="767">
        <v>-63527.8</v>
      </c>
      <c r="G3012" s="767">
        <v>0</v>
      </c>
      <c r="H3012" s="767">
        <v>-63527.8</v>
      </c>
      <c r="I3012" s="768" t="s">
        <v>1831</v>
      </c>
    </row>
    <row r="3013" spans="1:9" x14ac:dyDescent="0.25">
      <c r="A3013" s="753"/>
      <c r="C3013" s="131" t="s">
        <v>1142</v>
      </c>
      <c r="D3013" s="131">
        <v>16</v>
      </c>
      <c r="E3013" s="131" t="s">
        <v>1142</v>
      </c>
      <c r="F3013" s="767">
        <v>62923.61</v>
      </c>
      <c r="G3013" s="767">
        <v>0</v>
      </c>
      <c r="H3013" s="767">
        <v>62923.61</v>
      </c>
      <c r="I3013" s="768" t="s">
        <v>1832</v>
      </c>
    </row>
    <row r="3014" spans="1:9" x14ac:dyDescent="0.25">
      <c r="A3014" s="753">
        <v>500918</v>
      </c>
      <c r="B3014" s="130">
        <v>0</v>
      </c>
      <c r="E3014" s="131"/>
    </row>
    <row r="3015" spans="1:9" x14ac:dyDescent="0.25">
      <c r="A3015" s="753">
        <v>500922</v>
      </c>
      <c r="B3015" s="130">
        <v>1</v>
      </c>
      <c r="C3015" s="131" t="s">
        <v>1141</v>
      </c>
      <c r="D3015" s="131">
        <v>16</v>
      </c>
      <c r="E3015" s="131" t="s">
        <v>1141</v>
      </c>
      <c r="F3015" s="767">
        <v>-0.01</v>
      </c>
      <c r="G3015" s="767">
        <v>0</v>
      </c>
      <c r="H3015" s="767">
        <v>-0.01</v>
      </c>
      <c r="I3015" s="768" t="s">
        <v>1830</v>
      </c>
    </row>
    <row r="3016" spans="1:9" x14ac:dyDescent="0.25">
      <c r="A3016" s="753">
        <v>500924</v>
      </c>
      <c r="B3016" s="130">
        <v>63528</v>
      </c>
      <c r="C3016" s="131" t="s">
        <v>100</v>
      </c>
      <c r="D3016" s="131">
        <v>16</v>
      </c>
      <c r="E3016" s="131" t="s">
        <v>100</v>
      </c>
      <c r="F3016" s="767">
        <v>-63527.8</v>
      </c>
      <c r="G3016" s="767">
        <v>0</v>
      </c>
      <c r="H3016" s="767">
        <v>-63527.8</v>
      </c>
      <c r="I3016" s="768" t="s">
        <v>1831</v>
      </c>
    </row>
    <row r="3017" spans="1:9" x14ac:dyDescent="0.25">
      <c r="A3017" s="753">
        <v>500926</v>
      </c>
      <c r="B3017" s="130">
        <v>604</v>
      </c>
      <c r="C3017" s="131" t="s">
        <v>100</v>
      </c>
      <c r="D3017" s="131">
        <v>16</v>
      </c>
      <c r="E3017" s="131" t="s">
        <v>100</v>
      </c>
      <c r="F3017" s="767">
        <v>-63527.8</v>
      </c>
      <c r="G3017" s="767">
        <v>0</v>
      </c>
      <c r="H3017" s="767">
        <v>-63527.8</v>
      </c>
      <c r="I3017" s="768" t="s">
        <v>1831</v>
      </c>
    </row>
    <row r="3018" spans="1:9" x14ac:dyDescent="0.25">
      <c r="A3018" s="753"/>
      <c r="C3018" s="131" t="s">
        <v>1142</v>
      </c>
      <c r="D3018" s="131">
        <v>16</v>
      </c>
      <c r="E3018" s="131" t="s">
        <v>1142</v>
      </c>
      <c r="F3018" s="767">
        <v>62923.61</v>
      </c>
      <c r="G3018" s="767">
        <v>0</v>
      </c>
      <c r="H3018" s="767">
        <v>62923.61</v>
      </c>
      <c r="I3018" s="768" t="s">
        <v>1832</v>
      </c>
    </row>
    <row r="3019" spans="1:9" x14ac:dyDescent="0.25">
      <c r="A3019" s="753">
        <v>500928</v>
      </c>
      <c r="B3019" s="130">
        <v>604</v>
      </c>
      <c r="E3019" s="131"/>
    </row>
    <row r="3020" spans="1:9" x14ac:dyDescent="0.25">
      <c r="A3020" s="753">
        <v>501012</v>
      </c>
      <c r="B3020" s="130">
        <v>0</v>
      </c>
      <c r="C3020" s="131" t="s">
        <v>1144</v>
      </c>
      <c r="D3020" s="131">
        <v>16</v>
      </c>
      <c r="E3020" s="131" t="s">
        <v>1144</v>
      </c>
      <c r="F3020" s="767">
        <v>-0.04</v>
      </c>
      <c r="G3020" s="767">
        <v>0</v>
      </c>
      <c r="H3020" s="767">
        <v>-0.04</v>
      </c>
      <c r="I3020" s="768" t="s">
        <v>1833</v>
      </c>
    </row>
    <row r="3021" spans="1:9" x14ac:dyDescent="0.25">
      <c r="A3021" s="753">
        <v>501014</v>
      </c>
      <c r="B3021" s="130">
        <v>0</v>
      </c>
      <c r="C3021" s="131" t="s">
        <v>255</v>
      </c>
      <c r="D3021" s="131">
        <v>16</v>
      </c>
      <c r="E3021" s="131" t="s">
        <v>255</v>
      </c>
      <c r="F3021" s="767">
        <v>-295643.12</v>
      </c>
      <c r="G3021" s="767">
        <v>0</v>
      </c>
      <c r="H3021" s="767">
        <v>-295643.12</v>
      </c>
      <c r="I3021" s="768" t="s">
        <v>1833</v>
      </c>
    </row>
    <row r="3022" spans="1:9" x14ac:dyDescent="0.25">
      <c r="A3022" s="753">
        <v>501016</v>
      </c>
      <c r="B3022" s="130">
        <v>0</v>
      </c>
      <c r="C3022" s="131" t="s">
        <v>255</v>
      </c>
      <c r="D3022" s="131">
        <v>16</v>
      </c>
      <c r="E3022" s="131" t="s">
        <v>255</v>
      </c>
      <c r="F3022" s="767">
        <v>-295643.12</v>
      </c>
      <c r="G3022" s="767">
        <v>0</v>
      </c>
      <c r="H3022" s="767">
        <v>-295643.12</v>
      </c>
      <c r="I3022" s="768" t="s">
        <v>1833</v>
      </c>
    </row>
    <row r="3023" spans="1:9" x14ac:dyDescent="0.25">
      <c r="A3023" s="753"/>
      <c r="C3023" s="131" t="s">
        <v>1145</v>
      </c>
      <c r="D3023" s="131">
        <v>16</v>
      </c>
      <c r="E3023" s="131" t="s">
        <v>1145</v>
      </c>
      <c r="F3023" s="767">
        <v>278307.76</v>
      </c>
      <c r="G3023" s="767">
        <v>0</v>
      </c>
      <c r="H3023" s="767">
        <v>278307.76</v>
      </c>
      <c r="I3023" s="768" t="s">
        <v>1833</v>
      </c>
    </row>
    <row r="3024" spans="1:9" x14ac:dyDescent="0.25">
      <c r="A3024" s="753">
        <v>501018</v>
      </c>
      <c r="B3024" s="130">
        <v>0</v>
      </c>
      <c r="E3024" s="131"/>
    </row>
    <row r="3025" spans="1:9" x14ac:dyDescent="0.25">
      <c r="A3025" s="753">
        <v>501022</v>
      </c>
      <c r="B3025" s="130">
        <v>4</v>
      </c>
      <c r="C3025" s="131" t="s">
        <v>1144</v>
      </c>
      <c r="D3025" s="131">
        <v>16</v>
      </c>
      <c r="E3025" s="131" t="s">
        <v>1144</v>
      </c>
      <c r="F3025" s="767">
        <v>-0.04</v>
      </c>
      <c r="G3025" s="767">
        <v>0</v>
      </c>
      <c r="H3025" s="767">
        <v>-0.04</v>
      </c>
      <c r="I3025" s="768" t="s">
        <v>1833</v>
      </c>
    </row>
    <row r="3026" spans="1:9" x14ac:dyDescent="0.25">
      <c r="A3026" s="753">
        <v>501024</v>
      </c>
      <c r="B3026" s="130">
        <v>295643</v>
      </c>
      <c r="C3026" s="131" t="s">
        <v>255</v>
      </c>
      <c r="D3026" s="131">
        <v>16</v>
      </c>
      <c r="E3026" s="131" t="s">
        <v>255</v>
      </c>
      <c r="F3026" s="767">
        <v>-295643.12</v>
      </c>
      <c r="G3026" s="767">
        <v>0</v>
      </c>
      <c r="H3026" s="767">
        <v>-295643.12</v>
      </c>
      <c r="I3026" s="768" t="s">
        <v>1833</v>
      </c>
    </row>
    <row r="3027" spans="1:9" x14ac:dyDescent="0.25">
      <c r="A3027" s="753">
        <v>501026</v>
      </c>
      <c r="B3027" s="130">
        <v>17335</v>
      </c>
      <c r="C3027" s="131" t="s">
        <v>255</v>
      </c>
      <c r="D3027" s="131">
        <v>16</v>
      </c>
      <c r="E3027" s="131" t="s">
        <v>255</v>
      </c>
      <c r="F3027" s="767">
        <v>-295643.12</v>
      </c>
      <c r="G3027" s="767">
        <v>0</v>
      </c>
      <c r="H3027" s="767">
        <v>-295643.12</v>
      </c>
      <c r="I3027" s="768" t="s">
        <v>1833</v>
      </c>
    </row>
    <row r="3028" spans="1:9" x14ac:dyDescent="0.25">
      <c r="A3028" s="753"/>
      <c r="C3028" s="131" t="s">
        <v>1145</v>
      </c>
      <c r="D3028" s="131">
        <v>16</v>
      </c>
      <c r="E3028" s="131" t="s">
        <v>1145</v>
      </c>
      <c r="F3028" s="767">
        <v>278307.76</v>
      </c>
      <c r="G3028" s="767">
        <v>0</v>
      </c>
      <c r="H3028" s="767">
        <v>278307.76</v>
      </c>
      <c r="I3028" s="768" t="s">
        <v>1833</v>
      </c>
    </row>
    <row r="3029" spans="1:9" x14ac:dyDescent="0.25">
      <c r="A3029" s="753">
        <v>501028</v>
      </c>
      <c r="B3029" s="130">
        <v>4334</v>
      </c>
      <c r="E3029" s="131"/>
    </row>
    <row r="3030" spans="1:9" x14ac:dyDescent="0.25">
      <c r="A3030" s="753">
        <v>501112</v>
      </c>
      <c r="B3030" s="130">
        <v>0</v>
      </c>
      <c r="E3030" s="131"/>
    </row>
    <row r="3031" spans="1:9" x14ac:dyDescent="0.25">
      <c r="A3031" s="753">
        <v>501114</v>
      </c>
      <c r="B3031" s="130">
        <v>0</v>
      </c>
      <c r="E3031" s="131"/>
    </row>
    <row r="3032" spans="1:9" x14ac:dyDescent="0.25">
      <c r="A3032" s="753">
        <v>501116</v>
      </c>
      <c r="B3032" s="130">
        <v>0</v>
      </c>
      <c r="E3032" s="131"/>
    </row>
    <row r="3033" spans="1:9" x14ac:dyDescent="0.25">
      <c r="A3033" s="753">
        <v>501118</v>
      </c>
      <c r="B3033" s="130">
        <v>0</v>
      </c>
      <c r="E3033" s="131"/>
    </row>
    <row r="3034" spans="1:9" x14ac:dyDescent="0.25">
      <c r="A3034" s="753">
        <v>501122</v>
      </c>
      <c r="B3034" s="130">
        <v>0</v>
      </c>
      <c r="E3034" s="131"/>
    </row>
    <row r="3035" spans="1:9" x14ac:dyDescent="0.25">
      <c r="A3035" s="753">
        <v>501124</v>
      </c>
      <c r="B3035" s="130">
        <v>0</v>
      </c>
      <c r="E3035" s="131"/>
    </row>
    <row r="3036" spans="1:9" x14ac:dyDescent="0.25">
      <c r="A3036" s="753">
        <v>501126</v>
      </c>
      <c r="B3036" s="130">
        <v>0</v>
      </c>
      <c r="E3036" s="131"/>
    </row>
    <row r="3037" spans="1:9" x14ac:dyDescent="0.25">
      <c r="A3037" s="753">
        <v>501128</v>
      </c>
      <c r="B3037" s="130">
        <v>0</v>
      </c>
      <c r="E3037" s="131"/>
    </row>
    <row r="3038" spans="1:9" x14ac:dyDescent="0.25">
      <c r="A3038" s="753">
        <v>501212</v>
      </c>
      <c r="B3038" s="130">
        <v>0</v>
      </c>
      <c r="C3038" s="131" t="s">
        <v>1146</v>
      </c>
      <c r="D3038" s="131">
        <v>16</v>
      </c>
      <c r="E3038" s="131" t="s">
        <v>1146</v>
      </c>
      <c r="F3038" s="767">
        <v>-0.01</v>
      </c>
      <c r="G3038" s="767">
        <v>0</v>
      </c>
      <c r="H3038" s="767">
        <v>-0.01</v>
      </c>
      <c r="I3038" s="768" t="s">
        <v>1834</v>
      </c>
    </row>
    <row r="3039" spans="1:9" x14ac:dyDescent="0.25">
      <c r="A3039" s="753">
        <v>501214</v>
      </c>
      <c r="B3039" s="130">
        <v>0</v>
      </c>
      <c r="C3039" s="131" t="s">
        <v>101</v>
      </c>
      <c r="D3039" s="131">
        <v>16</v>
      </c>
      <c r="E3039" s="131" t="s">
        <v>101</v>
      </c>
      <c r="F3039" s="767">
        <v>-80066.53</v>
      </c>
      <c r="G3039" s="767">
        <v>0</v>
      </c>
      <c r="H3039" s="767">
        <v>-80066.53</v>
      </c>
      <c r="I3039" s="768" t="s">
        <v>1834</v>
      </c>
    </row>
    <row r="3040" spans="1:9" x14ac:dyDescent="0.25">
      <c r="A3040" s="753">
        <v>501216</v>
      </c>
      <c r="B3040" s="130">
        <v>0</v>
      </c>
      <c r="C3040" s="131" t="s">
        <v>101</v>
      </c>
      <c r="D3040" s="131">
        <v>16</v>
      </c>
      <c r="E3040" s="131" t="s">
        <v>101</v>
      </c>
      <c r="F3040" s="767">
        <v>-80066.53</v>
      </c>
      <c r="G3040" s="767">
        <v>0</v>
      </c>
      <c r="H3040" s="767">
        <v>-80066.53</v>
      </c>
      <c r="I3040" s="768" t="s">
        <v>1834</v>
      </c>
    </row>
    <row r="3041" spans="1:9" x14ac:dyDescent="0.25">
      <c r="A3041" s="753"/>
      <c r="C3041" s="131" t="s">
        <v>1147</v>
      </c>
      <c r="D3041" s="131">
        <v>16</v>
      </c>
      <c r="E3041" s="131" t="s">
        <v>1147</v>
      </c>
      <c r="F3041" s="767">
        <v>76375.27</v>
      </c>
      <c r="G3041" s="767">
        <v>0</v>
      </c>
      <c r="H3041" s="767">
        <v>76375.27</v>
      </c>
      <c r="I3041" s="768" t="s">
        <v>1834</v>
      </c>
    </row>
    <row r="3042" spans="1:9" x14ac:dyDescent="0.25">
      <c r="A3042" s="753">
        <v>501218</v>
      </c>
      <c r="B3042" s="130">
        <v>0</v>
      </c>
      <c r="E3042" s="131"/>
    </row>
    <row r="3043" spans="1:9" x14ac:dyDescent="0.25">
      <c r="A3043" s="753">
        <v>501222</v>
      </c>
      <c r="B3043" s="130">
        <v>1</v>
      </c>
      <c r="C3043" s="131" t="s">
        <v>1146</v>
      </c>
      <c r="D3043" s="131">
        <v>16</v>
      </c>
      <c r="E3043" s="131" t="s">
        <v>1146</v>
      </c>
      <c r="F3043" s="767">
        <v>-0.01</v>
      </c>
      <c r="G3043" s="767">
        <v>0</v>
      </c>
      <c r="H3043" s="767">
        <v>-0.01</v>
      </c>
      <c r="I3043" s="768" t="s">
        <v>1834</v>
      </c>
    </row>
    <row r="3044" spans="1:9" x14ac:dyDescent="0.25">
      <c r="A3044" s="753">
        <v>501224</v>
      </c>
      <c r="B3044" s="130">
        <v>80067</v>
      </c>
      <c r="C3044" s="131" t="s">
        <v>101</v>
      </c>
      <c r="D3044" s="131">
        <v>16</v>
      </c>
      <c r="E3044" s="131" t="s">
        <v>101</v>
      </c>
      <c r="F3044" s="767">
        <v>-80066.53</v>
      </c>
      <c r="G3044" s="767">
        <v>0</v>
      </c>
      <c r="H3044" s="767">
        <v>-80066.53</v>
      </c>
      <c r="I3044" s="768" t="s">
        <v>1834</v>
      </c>
    </row>
    <row r="3045" spans="1:9" x14ac:dyDescent="0.25">
      <c r="A3045" s="753">
        <v>501226</v>
      </c>
      <c r="B3045" s="130">
        <v>3692</v>
      </c>
      <c r="C3045" s="131" t="s">
        <v>101</v>
      </c>
      <c r="D3045" s="131">
        <v>16</v>
      </c>
      <c r="E3045" s="131" t="s">
        <v>101</v>
      </c>
      <c r="F3045" s="767">
        <v>-80066.53</v>
      </c>
      <c r="G3045" s="767">
        <v>0</v>
      </c>
      <c r="H3045" s="767">
        <v>-80066.53</v>
      </c>
      <c r="I3045" s="768" t="s">
        <v>1834</v>
      </c>
    </row>
    <row r="3046" spans="1:9" x14ac:dyDescent="0.25">
      <c r="A3046" s="753"/>
      <c r="C3046" s="131" t="s">
        <v>1147</v>
      </c>
      <c r="D3046" s="131">
        <v>16</v>
      </c>
      <c r="E3046" s="131" t="s">
        <v>1147</v>
      </c>
      <c r="F3046" s="767">
        <v>76375.27</v>
      </c>
      <c r="G3046" s="767">
        <v>0</v>
      </c>
      <c r="H3046" s="767">
        <v>76375.27</v>
      </c>
      <c r="I3046" s="768" t="s">
        <v>1834</v>
      </c>
    </row>
    <row r="3047" spans="1:9" x14ac:dyDescent="0.25">
      <c r="A3047" s="753">
        <v>501228</v>
      </c>
      <c r="B3047" s="130">
        <v>3692</v>
      </c>
      <c r="E3047" s="131"/>
    </row>
    <row r="3048" spans="1:9" x14ac:dyDescent="0.25">
      <c r="A3048" s="753">
        <v>501312</v>
      </c>
      <c r="B3048" s="130">
        <v>2</v>
      </c>
      <c r="C3048" s="131" t="s">
        <v>2284</v>
      </c>
      <c r="D3048" s="131">
        <v>16</v>
      </c>
      <c r="E3048" s="131" t="s">
        <v>2284</v>
      </c>
      <c r="F3048" s="767">
        <v>0</v>
      </c>
      <c r="G3048" s="767">
        <v>-0.02</v>
      </c>
      <c r="H3048" s="767">
        <v>-0.02</v>
      </c>
      <c r="I3048" s="768" t="s">
        <v>2285</v>
      </c>
    </row>
    <row r="3049" spans="1:9" x14ac:dyDescent="0.25">
      <c r="A3049" s="753">
        <v>501314</v>
      </c>
      <c r="B3049" s="130">
        <v>181350</v>
      </c>
      <c r="C3049" s="131" t="s">
        <v>235</v>
      </c>
      <c r="D3049" s="131">
        <v>16</v>
      </c>
      <c r="E3049" s="131" t="s">
        <v>235</v>
      </c>
      <c r="F3049" s="767">
        <v>0</v>
      </c>
      <c r="G3049" s="767">
        <v>-181349.96</v>
      </c>
      <c r="H3049" s="767">
        <v>-181349.96</v>
      </c>
      <c r="I3049" s="768" t="s">
        <v>2286</v>
      </c>
    </row>
    <row r="3050" spans="1:9" x14ac:dyDescent="0.25">
      <c r="A3050" s="753">
        <v>501316</v>
      </c>
      <c r="B3050" s="130">
        <v>6237</v>
      </c>
      <c r="C3050" s="131" t="s">
        <v>235</v>
      </c>
      <c r="D3050" s="131">
        <v>16</v>
      </c>
      <c r="E3050" s="131" t="s">
        <v>235</v>
      </c>
      <c r="F3050" s="767">
        <v>0</v>
      </c>
      <c r="G3050" s="767">
        <v>-181349.96</v>
      </c>
      <c r="H3050" s="767">
        <v>-181349.96</v>
      </c>
      <c r="I3050" s="768" t="s">
        <v>2286</v>
      </c>
    </row>
    <row r="3051" spans="1:9" x14ac:dyDescent="0.25">
      <c r="A3051" s="753"/>
      <c r="C3051" s="131" t="s">
        <v>2287</v>
      </c>
      <c r="D3051" s="131">
        <v>16</v>
      </c>
      <c r="E3051" s="131" t="s">
        <v>2287</v>
      </c>
      <c r="F3051" s="767">
        <v>0</v>
      </c>
      <c r="G3051" s="767">
        <v>175112.67</v>
      </c>
      <c r="H3051" s="767">
        <v>175112.67</v>
      </c>
      <c r="I3051" s="768" t="s">
        <v>2288</v>
      </c>
    </row>
    <row r="3052" spans="1:9" x14ac:dyDescent="0.25">
      <c r="A3052" s="753">
        <v>501318</v>
      </c>
      <c r="B3052" s="130">
        <v>3119</v>
      </c>
      <c r="E3052" s="131"/>
    </row>
    <row r="3053" spans="1:9" x14ac:dyDescent="0.25">
      <c r="A3053" s="753">
        <v>501322</v>
      </c>
      <c r="B3053" s="130">
        <v>2</v>
      </c>
      <c r="C3053" s="131" t="s">
        <v>2284</v>
      </c>
      <c r="D3053" s="131">
        <v>16</v>
      </c>
      <c r="E3053" s="131" t="s">
        <v>2284</v>
      </c>
      <c r="F3053" s="767">
        <v>0</v>
      </c>
      <c r="G3053" s="767">
        <v>-0.02</v>
      </c>
      <c r="H3053" s="767">
        <v>-0.02</v>
      </c>
      <c r="I3053" s="768" t="s">
        <v>2285</v>
      </c>
    </row>
    <row r="3054" spans="1:9" x14ac:dyDescent="0.25">
      <c r="A3054" s="753">
        <v>501324</v>
      </c>
      <c r="B3054" s="130">
        <v>181350</v>
      </c>
      <c r="C3054" s="131" t="s">
        <v>235</v>
      </c>
      <c r="D3054" s="131">
        <v>16</v>
      </c>
      <c r="E3054" s="131" t="s">
        <v>235</v>
      </c>
      <c r="F3054" s="767">
        <v>0</v>
      </c>
      <c r="G3054" s="767">
        <v>-181349.96</v>
      </c>
      <c r="H3054" s="767">
        <v>-181349.96</v>
      </c>
      <c r="I3054" s="768" t="s">
        <v>2286</v>
      </c>
    </row>
    <row r="3055" spans="1:9" x14ac:dyDescent="0.25">
      <c r="A3055" s="753">
        <v>501326</v>
      </c>
      <c r="B3055" s="130">
        <v>6237</v>
      </c>
      <c r="C3055" s="131" t="s">
        <v>235</v>
      </c>
      <c r="D3055" s="131">
        <v>16</v>
      </c>
      <c r="E3055" s="131" t="s">
        <v>235</v>
      </c>
      <c r="F3055" s="767">
        <v>0</v>
      </c>
      <c r="G3055" s="767">
        <v>-181349.96</v>
      </c>
      <c r="H3055" s="767">
        <v>-181349.96</v>
      </c>
      <c r="I3055" s="768" t="s">
        <v>2286</v>
      </c>
    </row>
    <row r="3056" spans="1:9" x14ac:dyDescent="0.25">
      <c r="A3056" s="753"/>
      <c r="C3056" s="131" t="s">
        <v>2287</v>
      </c>
      <c r="D3056" s="131">
        <v>16</v>
      </c>
      <c r="E3056" s="131" t="s">
        <v>2287</v>
      </c>
      <c r="F3056" s="767">
        <v>0</v>
      </c>
      <c r="G3056" s="767">
        <v>175112.67</v>
      </c>
      <c r="H3056" s="767">
        <v>175112.67</v>
      </c>
      <c r="I3056" s="768" t="s">
        <v>2288</v>
      </c>
    </row>
    <row r="3057" spans="1:9" x14ac:dyDescent="0.25">
      <c r="A3057" s="753">
        <v>501328</v>
      </c>
      <c r="B3057" s="130">
        <v>3119</v>
      </c>
      <c r="E3057" s="131"/>
    </row>
    <row r="3058" spans="1:9" x14ac:dyDescent="0.25">
      <c r="A3058" s="753">
        <v>501412</v>
      </c>
      <c r="B3058" s="130">
        <v>1</v>
      </c>
      <c r="C3058" s="131" t="s">
        <v>2289</v>
      </c>
      <c r="D3058" s="131">
        <v>16</v>
      </c>
      <c r="E3058" s="131" t="s">
        <v>2289</v>
      </c>
      <c r="F3058" s="767">
        <v>-0.01</v>
      </c>
      <c r="G3058" s="767">
        <v>-0.01</v>
      </c>
      <c r="H3058" s="767">
        <v>-0.02</v>
      </c>
      <c r="I3058" s="768" t="s">
        <v>2290</v>
      </c>
    </row>
    <row r="3059" spans="1:9" x14ac:dyDescent="0.25">
      <c r="A3059" s="753">
        <v>501414</v>
      </c>
      <c r="B3059" s="130">
        <v>107635</v>
      </c>
      <c r="C3059" s="131" t="s">
        <v>364</v>
      </c>
      <c r="D3059" s="131">
        <v>16</v>
      </c>
      <c r="E3059" s="131" t="s">
        <v>364</v>
      </c>
      <c r="F3059" s="767">
        <v>-120423.5</v>
      </c>
      <c r="G3059" s="767">
        <v>-107635.36</v>
      </c>
      <c r="H3059" s="767">
        <v>-228058.86</v>
      </c>
      <c r="I3059" s="768" t="s">
        <v>2291</v>
      </c>
    </row>
    <row r="3060" spans="1:9" x14ac:dyDescent="0.25">
      <c r="A3060" s="753">
        <v>501416</v>
      </c>
      <c r="B3060" s="130">
        <v>7098</v>
      </c>
      <c r="C3060" s="131" t="s">
        <v>364</v>
      </c>
      <c r="D3060" s="131">
        <v>16</v>
      </c>
      <c r="E3060" s="131" t="s">
        <v>364</v>
      </c>
      <c r="F3060" s="767">
        <v>-120423.5</v>
      </c>
      <c r="G3060" s="767">
        <v>-107635.36</v>
      </c>
      <c r="H3060" s="767">
        <v>-228058.86</v>
      </c>
      <c r="I3060" s="768" t="s">
        <v>2291</v>
      </c>
    </row>
    <row r="3061" spans="1:9" x14ac:dyDescent="0.25">
      <c r="A3061" s="753"/>
      <c r="C3061" s="131" t="s">
        <v>2292</v>
      </c>
      <c r="D3061" s="131">
        <v>16</v>
      </c>
      <c r="E3061" s="131" t="s">
        <v>2292</v>
      </c>
      <c r="F3061" s="767">
        <v>111575</v>
      </c>
      <c r="G3061" s="767">
        <v>100537.06</v>
      </c>
      <c r="H3061" s="767">
        <v>212112.06</v>
      </c>
      <c r="I3061" s="768" t="s">
        <v>2293</v>
      </c>
    </row>
    <row r="3062" spans="1:9" x14ac:dyDescent="0.25">
      <c r="A3062" s="753">
        <v>501418</v>
      </c>
      <c r="B3062" s="130">
        <v>7098</v>
      </c>
      <c r="E3062" s="131"/>
    </row>
    <row r="3063" spans="1:9" x14ac:dyDescent="0.25">
      <c r="A3063" s="753">
        <v>501422</v>
      </c>
      <c r="B3063" s="130">
        <v>2</v>
      </c>
      <c r="C3063" s="131" t="s">
        <v>2289</v>
      </c>
      <c r="D3063" s="131">
        <v>16</v>
      </c>
      <c r="E3063" s="131" t="s">
        <v>2289</v>
      </c>
      <c r="F3063" s="767">
        <v>-0.01</v>
      </c>
      <c r="G3063" s="767">
        <v>-0.01</v>
      </c>
      <c r="H3063" s="767">
        <v>-0.02</v>
      </c>
      <c r="I3063" s="768" t="s">
        <v>2290</v>
      </c>
    </row>
    <row r="3064" spans="1:9" x14ac:dyDescent="0.25">
      <c r="A3064" s="753">
        <v>501424</v>
      </c>
      <c r="B3064" s="130">
        <v>228059</v>
      </c>
      <c r="C3064" s="131" t="s">
        <v>364</v>
      </c>
      <c r="D3064" s="131">
        <v>16</v>
      </c>
      <c r="E3064" s="131" t="s">
        <v>364</v>
      </c>
      <c r="F3064" s="767">
        <v>-120423.5</v>
      </c>
      <c r="G3064" s="767">
        <v>-107635.36</v>
      </c>
      <c r="H3064" s="767">
        <v>-228058.86</v>
      </c>
      <c r="I3064" s="768" t="s">
        <v>2291</v>
      </c>
    </row>
    <row r="3065" spans="1:9" x14ac:dyDescent="0.25">
      <c r="A3065" s="753">
        <v>501426</v>
      </c>
      <c r="B3065" s="130">
        <v>15947</v>
      </c>
      <c r="C3065" s="131" t="s">
        <v>364</v>
      </c>
      <c r="D3065" s="131">
        <v>16</v>
      </c>
      <c r="E3065" s="131" t="s">
        <v>364</v>
      </c>
      <c r="F3065" s="767">
        <v>-120423.5</v>
      </c>
      <c r="G3065" s="767">
        <v>-107635.36</v>
      </c>
      <c r="H3065" s="767">
        <v>-228058.86</v>
      </c>
      <c r="I3065" s="768" t="s">
        <v>2291</v>
      </c>
    </row>
    <row r="3066" spans="1:9" x14ac:dyDescent="0.25">
      <c r="A3066" s="753"/>
      <c r="C3066" s="131" t="s">
        <v>2292</v>
      </c>
      <c r="D3066" s="131">
        <v>16</v>
      </c>
      <c r="E3066" s="131" t="s">
        <v>2292</v>
      </c>
      <c r="F3066" s="767">
        <v>111575</v>
      </c>
      <c r="G3066" s="767">
        <v>100537.06</v>
      </c>
      <c r="H3066" s="767">
        <v>212112.06</v>
      </c>
      <c r="I3066" s="768" t="s">
        <v>2293</v>
      </c>
    </row>
    <row r="3067" spans="1:9" x14ac:dyDescent="0.25">
      <c r="A3067" s="753">
        <v>501428</v>
      </c>
      <c r="B3067" s="130">
        <v>7974</v>
      </c>
      <c r="E3067" s="131"/>
    </row>
    <row r="3068" spans="1:9" x14ac:dyDescent="0.25">
      <c r="A3068" s="753">
        <v>501512</v>
      </c>
      <c r="B3068" s="130">
        <v>0</v>
      </c>
      <c r="C3068" s="131" t="s">
        <v>1151</v>
      </c>
      <c r="D3068" s="131">
        <v>16</v>
      </c>
      <c r="E3068" s="131" t="s">
        <v>1151</v>
      </c>
      <c r="F3068" s="767">
        <v>-0.01</v>
      </c>
      <c r="G3068" s="767">
        <v>0</v>
      </c>
      <c r="H3068" s="767">
        <v>-0.01</v>
      </c>
      <c r="I3068" s="768" t="s">
        <v>1835</v>
      </c>
    </row>
    <row r="3069" spans="1:9" x14ac:dyDescent="0.25">
      <c r="A3069" s="753">
        <v>501514</v>
      </c>
      <c r="B3069" s="130">
        <v>0</v>
      </c>
      <c r="C3069" s="131" t="s">
        <v>371</v>
      </c>
      <c r="D3069" s="131">
        <v>16</v>
      </c>
      <c r="E3069" s="131" t="s">
        <v>371</v>
      </c>
      <c r="F3069" s="767">
        <v>-106923.5</v>
      </c>
      <c r="G3069" s="767">
        <v>0</v>
      </c>
      <c r="H3069" s="767">
        <v>-106923.5</v>
      </c>
      <c r="I3069" s="768" t="s">
        <v>1836</v>
      </c>
    </row>
    <row r="3070" spans="1:9" x14ac:dyDescent="0.25">
      <c r="A3070" s="753">
        <v>501516</v>
      </c>
      <c r="B3070" s="130">
        <v>0</v>
      </c>
      <c r="C3070" s="131" t="s">
        <v>371</v>
      </c>
      <c r="D3070" s="131">
        <v>16</v>
      </c>
      <c r="E3070" s="131" t="s">
        <v>371</v>
      </c>
      <c r="F3070" s="767">
        <v>-106923.5</v>
      </c>
      <c r="G3070" s="767">
        <v>0</v>
      </c>
      <c r="H3070" s="767">
        <v>-106923.5</v>
      </c>
      <c r="I3070" s="768" t="s">
        <v>1836</v>
      </c>
    </row>
    <row r="3071" spans="1:9" x14ac:dyDescent="0.25">
      <c r="A3071" s="753"/>
      <c r="C3071" s="131" t="s">
        <v>1152</v>
      </c>
      <c r="D3071" s="131">
        <v>16</v>
      </c>
      <c r="E3071" s="131" t="s">
        <v>1152</v>
      </c>
      <c r="F3071" s="767">
        <v>102290.17</v>
      </c>
      <c r="G3071" s="767">
        <v>0</v>
      </c>
      <c r="H3071" s="767">
        <v>102290.17</v>
      </c>
      <c r="I3071" s="768" t="s">
        <v>1837</v>
      </c>
    </row>
    <row r="3072" spans="1:9" x14ac:dyDescent="0.25">
      <c r="A3072" s="753">
        <v>501518</v>
      </c>
      <c r="B3072" s="130">
        <v>0</v>
      </c>
      <c r="E3072" s="131"/>
    </row>
    <row r="3073" spans="1:9" x14ac:dyDescent="0.25">
      <c r="A3073" s="753">
        <v>501522</v>
      </c>
      <c r="B3073" s="130">
        <v>1</v>
      </c>
      <c r="C3073" s="131" t="s">
        <v>1151</v>
      </c>
      <c r="D3073" s="131">
        <v>16</v>
      </c>
      <c r="E3073" s="131" t="s">
        <v>1151</v>
      </c>
      <c r="F3073" s="767">
        <v>-0.01</v>
      </c>
      <c r="G3073" s="767">
        <v>0</v>
      </c>
      <c r="H3073" s="767">
        <v>-0.01</v>
      </c>
      <c r="I3073" s="768" t="s">
        <v>1835</v>
      </c>
    </row>
    <row r="3074" spans="1:9" x14ac:dyDescent="0.25">
      <c r="A3074" s="753">
        <v>501524</v>
      </c>
      <c r="B3074" s="130">
        <v>106924</v>
      </c>
      <c r="C3074" s="131" t="s">
        <v>371</v>
      </c>
      <c r="D3074" s="131">
        <v>16</v>
      </c>
      <c r="E3074" s="131" t="s">
        <v>371</v>
      </c>
      <c r="F3074" s="767">
        <v>-106923.5</v>
      </c>
      <c r="G3074" s="767">
        <v>0</v>
      </c>
      <c r="H3074" s="767">
        <v>-106923.5</v>
      </c>
      <c r="I3074" s="768" t="s">
        <v>1836</v>
      </c>
    </row>
    <row r="3075" spans="1:9" x14ac:dyDescent="0.25">
      <c r="A3075" s="753">
        <v>501526</v>
      </c>
      <c r="B3075" s="130">
        <v>4634</v>
      </c>
      <c r="C3075" s="131" t="s">
        <v>371</v>
      </c>
      <c r="D3075" s="131">
        <v>16</v>
      </c>
      <c r="E3075" s="131" t="s">
        <v>371</v>
      </c>
      <c r="F3075" s="767">
        <v>-106923.5</v>
      </c>
      <c r="G3075" s="767">
        <v>0</v>
      </c>
      <c r="H3075" s="767">
        <v>-106923.5</v>
      </c>
      <c r="I3075" s="768" t="s">
        <v>1836</v>
      </c>
    </row>
    <row r="3076" spans="1:9" x14ac:dyDescent="0.25">
      <c r="A3076" s="753"/>
      <c r="C3076" s="131" t="s">
        <v>1152</v>
      </c>
      <c r="D3076" s="131">
        <v>16</v>
      </c>
      <c r="E3076" s="131" t="s">
        <v>1152</v>
      </c>
      <c r="F3076" s="767">
        <v>102290.17</v>
      </c>
      <c r="G3076" s="767">
        <v>0</v>
      </c>
      <c r="H3076" s="767">
        <v>102290.17</v>
      </c>
      <c r="I3076" s="768" t="s">
        <v>1837</v>
      </c>
    </row>
    <row r="3077" spans="1:9" x14ac:dyDescent="0.25">
      <c r="A3077" s="753">
        <v>501528</v>
      </c>
      <c r="B3077" s="130">
        <v>4634</v>
      </c>
      <c r="E3077" s="131"/>
    </row>
    <row r="3078" spans="1:9" x14ac:dyDescent="0.25">
      <c r="A3078" s="753">
        <v>501612</v>
      </c>
      <c r="B3078" s="130">
        <v>0</v>
      </c>
      <c r="E3078" s="131"/>
    </row>
    <row r="3079" spans="1:9" x14ac:dyDescent="0.25">
      <c r="A3079" s="753">
        <v>501614</v>
      </c>
      <c r="B3079" s="130">
        <v>0</v>
      </c>
      <c r="E3079" s="131"/>
    </row>
    <row r="3080" spans="1:9" x14ac:dyDescent="0.25">
      <c r="A3080" s="753">
        <v>501616</v>
      </c>
      <c r="B3080" s="130">
        <v>0</v>
      </c>
      <c r="E3080" s="131"/>
    </row>
    <row r="3081" spans="1:9" x14ac:dyDescent="0.25">
      <c r="A3081" s="753">
        <v>501618</v>
      </c>
      <c r="B3081" s="130">
        <v>0</v>
      </c>
      <c r="E3081" s="131"/>
    </row>
    <row r="3082" spans="1:9" x14ac:dyDescent="0.25">
      <c r="A3082" s="753">
        <v>501622</v>
      </c>
      <c r="B3082" s="130">
        <v>0</v>
      </c>
      <c r="E3082" s="131"/>
    </row>
    <row r="3083" spans="1:9" x14ac:dyDescent="0.25">
      <c r="A3083" s="753">
        <v>501624</v>
      </c>
      <c r="B3083" s="130">
        <v>0</v>
      </c>
      <c r="E3083" s="131"/>
    </row>
    <row r="3084" spans="1:9" x14ac:dyDescent="0.25">
      <c r="A3084" s="753">
        <v>501626</v>
      </c>
      <c r="B3084" s="130">
        <v>0</v>
      </c>
      <c r="E3084" s="131"/>
    </row>
    <row r="3085" spans="1:9" x14ac:dyDescent="0.25">
      <c r="A3085" s="753">
        <v>501628</v>
      </c>
      <c r="B3085" s="130">
        <v>0</v>
      </c>
      <c r="E3085" s="131"/>
    </row>
    <row r="3086" spans="1:9" x14ac:dyDescent="0.25">
      <c r="A3086" s="753">
        <v>501712</v>
      </c>
      <c r="B3086" s="130">
        <v>3</v>
      </c>
      <c r="E3086" s="131"/>
    </row>
    <row r="3087" spans="1:9" x14ac:dyDescent="0.25">
      <c r="A3087" s="753">
        <v>501714</v>
      </c>
      <c r="B3087" s="130">
        <v>288985</v>
      </c>
      <c r="E3087" s="131"/>
    </row>
    <row r="3088" spans="1:9" x14ac:dyDescent="0.25">
      <c r="A3088" s="753">
        <v>501716</v>
      </c>
      <c r="B3088" s="130">
        <v>13335</v>
      </c>
      <c r="C3088" s="131" t="s">
        <v>100</v>
      </c>
      <c r="D3088" s="131">
        <v>16</v>
      </c>
      <c r="E3088" s="131" t="s">
        <v>100</v>
      </c>
      <c r="F3088" s="767">
        <v>-63527.8</v>
      </c>
      <c r="G3088" s="767">
        <v>0</v>
      </c>
      <c r="H3088" s="767">
        <v>-63527.8</v>
      </c>
      <c r="I3088" s="768" t="s">
        <v>1831</v>
      </c>
    </row>
    <row r="3089" spans="1:9" x14ac:dyDescent="0.25">
      <c r="A3089" s="753"/>
      <c r="C3089" s="131" t="s">
        <v>1142</v>
      </c>
      <c r="D3089" s="131">
        <v>16</v>
      </c>
      <c r="E3089" s="131" t="s">
        <v>1142</v>
      </c>
      <c r="F3089" s="767">
        <v>62923.61</v>
      </c>
      <c r="G3089" s="767">
        <v>0</v>
      </c>
      <c r="H3089" s="767">
        <v>62923.61</v>
      </c>
      <c r="I3089" s="768" t="s">
        <v>1832</v>
      </c>
    </row>
    <row r="3090" spans="1:9" x14ac:dyDescent="0.25">
      <c r="A3090" s="753"/>
      <c r="C3090" s="131" t="s">
        <v>255</v>
      </c>
      <c r="D3090" s="131">
        <v>16</v>
      </c>
      <c r="E3090" s="131" t="s">
        <v>255</v>
      </c>
      <c r="F3090" s="767">
        <v>-295643.12</v>
      </c>
      <c r="G3090" s="767">
        <v>0</v>
      </c>
      <c r="H3090" s="767">
        <v>-295643.12</v>
      </c>
      <c r="I3090" s="768" t="s">
        <v>1833</v>
      </c>
    </row>
    <row r="3091" spans="1:9" x14ac:dyDescent="0.25">
      <c r="A3091" s="753"/>
      <c r="C3091" s="131" t="s">
        <v>1145</v>
      </c>
      <c r="D3091" s="131">
        <v>16</v>
      </c>
      <c r="E3091" s="131" t="s">
        <v>1145</v>
      </c>
      <c r="F3091" s="767">
        <v>278307.76</v>
      </c>
      <c r="G3091" s="767">
        <v>0</v>
      </c>
      <c r="H3091" s="767">
        <v>278307.76</v>
      </c>
      <c r="I3091" s="768" t="s">
        <v>1833</v>
      </c>
    </row>
    <row r="3092" spans="1:9" x14ac:dyDescent="0.25">
      <c r="A3092" s="753"/>
      <c r="C3092" s="131" t="s">
        <v>101</v>
      </c>
      <c r="D3092" s="131">
        <v>16</v>
      </c>
      <c r="E3092" s="131" t="s">
        <v>101</v>
      </c>
      <c r="F3092" s="767">
        <v>-80066.53</v>
      </c>
      <c r="G3092" s="767">
        <v>0</v>
      </c>
      <c r="H3092" s="767">
        <v>-80066.53</v>
      </c>
      <c r="I3092" s="768" t="s">
        <v>1834</v>
      </c>
    </row>
    <row r="3093" spans="1:9" x14ac:dyDescent="0.25">
      <c r="A3093" s="753"/>
      <c r="C3093" s="131" t="s">
        <v>1147</v>
      </c>
      <c r="D3093" s="131">
        <v>16</v>
      </c>
      <c r="E3093" s="131" t="s">
        <v>1147</v>
      </c>
      <c r="F3093" s="767">
        <v>76375.27</v>
      </c>
      <c r="G3093" s="767">
        <v>0</v>
      </c>
      <c r="H3093" s="767">
        <v>76375.27</v>
      </c>
      <c r="I3093" s="768" t="s">
        <v>1834</v>
      </c>
    </row>
    <row r="3094" spans="1:9" x14ac:dyDescent="0.25">
      <c r="A3094" s="753"/>
      <c r="C3094" s="131" t="s">
        <v>235</v>
      </c>
      <c r="D3094" s="131">
        <v>16</v>
      </c>
      <c r="E3094" s="131" t="s">
        <v>235</v>
      </c>
      <c r="F3094" s="767">
        <v>0</v>
      </c>
      <c r="G3094" s="767">
        <v>-181349.96</v>
      </c>
      <c r="H3094" s="767">
        <v>-181349.96</v>
      </c>
      <c r="I3094" s="768" t="s">
        <v>2286</v>
      </c>
    </row>
    <row r="3095" spans="1:9" x14ac:dyDescent="0.25">
      <c r="A3095" s="753"/>
      <c r="C3095" s="131" t="s">
        <v>2287</v>
      </c>
      <c r="D3095" s="131">
        <v>16</v>
      </c>
      <c r="E3095" s="131" t="s">
        <v>2287</v>
      </c>
      <c r="F3095" s="767">
        <v>0</v>
      </c>
      <c r="G3095" s="767">
        <v>175112.67</v>
      </c>
      <c r="H3095" s="767">
        <v>175112.67</v>
      </c>
      <c r="I3095" s="768" t="s">
        <v>2288</v>
      </c>
    </row>
    <row r="3096" spans="1:9" x14ac:dyDescent="0.25">
      <c r="A3096" s="753"/>
      <c r="C3096" s="131" t="s">
        <v>364</v>
      </c>
      <c r="D3096" s="131">
        <v>16</v>
      </c>
      <c r="E3096" s="131" t="s">
        <v>364</v>
      </c>
      <c r="F3096" s="767">
        <v>-120423.5</v>
      </c>
      <c r="G3096" s="767">
        <v>-107635.36</v>
      </c>
      <c r="H3096" s="767">
        <v>-228058.86</v>
      </c>
      <c r="I3096" s="768" t="s">
        <v>2291</v>
      </c>
    </row>
    <row r="3097" spans="1:9" x14ac:dyDescent="0.25">
      <c r="A3097" s="753"/>
      <c r="C3097" s="131" t="s">
        <v>2292</v>
      </c>
      <c r="D3097" s="131">
        <v>16</v>
      </c>
      <c r="E3097" s="131" t="s">
        <v>2292</v>
      </c>
      <c r="F3097" s="767">
        <v>111575</v>
      </c>
      <c r="G3097" s="767">
        <v>100537.06</v>
      </c>
      <c r="H3097" s="767">
        <v>212112.06</v>
      </c>
      <c r="I3097" s="768" t="s">
        <v>2293</v>
      </c>
    </row>
    <row r="3098" spans="1:9" x14ac:dyDescent="0.25">
      <c r="A3098" s="753"/>
      <c r="C3098" s="131" t="s">
        <v>371</v>
      </c>
      <c r="D3098" s="131">
        <v>16</v>
      </c>
      <c r="E3098" s="131" t="s">
        <v>371</v>
      </c>
      <c r="F3098" s="767">
        <v>-106923.5</v>
      </c>
      <c r="G3098" s="767">
        <v>0</v>
      </c>
      <c r="H3098" s="767">
        <v>-106923.5</v>
      </c>
      <c r="I3098" s="768" t="s">
        <v>1836</v>
      </c>
    </row>
    <row r="3099" spans="1:9" x14ac:dyDescent="0.25">
      <c r="A3099" s="753"/>
      <c r="C3099" s="131" t="s">
        <v>1152</v>
      </c>
      <c r="D3099" s="131">
        <v>16</v>
      </c>
      <c r="E3099" s="131" t="s">
        <v>1152</v>
      </c>
      <c r="F3099" s="767">
        <v>102290.17</v>
      </c>
      <c r="G3099" s="767">
        <v>0</v>
      </c>
      <c r="H3099" s="767">
        <v>102290.17</v>
      </c>
      <c r="I3099" s="768" t="s">
        <v>1837</v>
      </c>
    </row>
    <row r="3100" spans="1:9" x14ac:dyDescent="0.25">
      <c r="A3100" s="753">
        <v>501718</v>
      </c>
      <c r="B3100" s="130">
        <v>4445</v>
      </c>
      <c r="E3100" s="131"/>
    </row>
    <row r="3101" spans="1:9" x14ac:dyDescent="0.25">
      <c r="A3101" s="753">
        <v>501722</v>
      </c>
      <c r="B3101" s="130">
        <v>11</v>
      </c>
      <c r="E3101" s="131"/>
    </row>
    <row r="3102" spans="1:9" x14ac:dyDescent="0.25">
      <c r="A3102" s="753">
        <v>501724</v>
      </c>
      <c r="B3102" s="130">
        <v>955571</v>
      </c>
      <c r="E3102" s="131"/>
    </row>
    <row r="3103" spans="1:9" x14ac:dyDescent="0.25">
      <c r="A3103" s="753">
        <v>501726</v>
      </c>
      <c r="B3103" s="130">
        <v>48449</v>
      </c>
      <c r="C3103" s="131" t="s">
        <v>100</v>
      </c>
      <c r="D3103" s="131">
        <v>16</v>
      </c>
      <c r="E3103" s="131" t="s">
        <v>100</v>
      </c>
      <c r="F3103" s="767">
        <v>-63527.8</v>
      </c>
      <c r="G3103" s="767">
        <v>0</v>
      </c>
      <c r="H3103" s="767">
        <v>-63527.8</v>
      </c>
      <c r="I3103" s="768" t="s">
        <v>1831</v>
      </c>
    </row>
    <row r="3104" spans="1:9" x14ac:dyDescent="0.25">
      <c r="A3104" s="753"/>
      <c r="C3104" s="131" t="s">
        <v>1142</v>
      </c>
      <c r="D3104" s="131">
        <v>16</v>
      </c>
      <c r="E3104" s="131" t="s">
        <v>1142</v>
      </c>
      <c r="F3104" s="767">
        <v>62923.61</v>
      </c>
      <c r="G3104" s="767">
        <v>0</v>
      </c>
      <c r="H3104" s="767">
        <v>62923.61</v>
      </c>
      <c r="I3104" s="768" t="s">
        <v>1832</v>
      </c>
    </row>
    <row r="3105" spans="1:9" x14ac:dyDescent="0.25">
      <c r="A3105" s="753"/>
      <c r="C3105" s="131" t="s">
        <v>255</v>
      </c>
      <c r="D3105" s="131">
        <v>16</v>
      </c>
      <c r="E3105" s="131" t="s">
        <v>255</v>
      </c>
      <c r="F3105" s="767">
        <v>-295643.12</v>
      </c>
      <c r="G3105" s="767">
        <v>0</v>
      </c>
      <c r="H3105" s="767">
        <v>-295643.12</v>
      </c>
      <c r="I3105" s="768" t="s">
        <v>1833</v>
      </c>
    </row>
    <row r="3106" spans="1:9" x14ac:dyDescent="0.25">
      <c r="A3106" s="753"/>
      <c r="C3106" s="131" t="s">
        <v>1145</v>
      </c>
      <c r="D3106" s="131">
        <v>16</v>
      </c>
      <c r="E3106" s="131" t="s">
        <v>1145</v>
      </c>
      <c r="F3106" s="767">
        <v>278307.76</v>
      </c>
      <c r="G3106" s="767">
        <v>0</v>
      </c>
      <c r="H3106" s="767">
        <v>278307.76</v>
      </c>
      <c r="I3106" s="768" t="s">
        <v>1833</v>
      </c>
    </row>
    <row r="3107" spans="1:9" x14ac:dyDescent="0.25">
      <c r="A3107" s="753"/>
      <c r="C3107" s="131" t="s">
        <v>101</v>
      </c>
      <c r="D3107" s="131">
        <v>16</v>
      </c>
      <c r="E3107" s="131" t="s">
        <v>101</v>
      </c>
      <c r="F3107" s="767">
        <v>-80066.53</v>
      </c>
      <c r="G3107" s="767">
        <v>0</v>
      </c>
      <c r="H3107" s="767">
        <v>-80066.53</v>
      </c>
      <c r="I3107" s="768" t="s">
        <v>1834</v>
      </c>
    </row>
    <row r="3108" spans="1:9" x14ac:dyDescent="0.25">
      <c r="A3108" s="753"/>
      <c r="C3108" s="131" t="s">
        <v>1147</v>
      </c>
      <c r="D3108" s="131">
        <v>16</v>
      </c>
      <c r="E3108" s="131" t="s">
        <v>1147</v>
      </c>
      <c r="F3108" s="767">
        <v>76375.27</v>
      </c>
      <c r="G3108" s="767">
        <v>0</v>
      </c>
      <c r="H3108" s="767">
        <v>76375.27</v>
      </c>
      <c r="I3108" s="768" t="s">
        <v>1834</v>
      </c>
    </row>
    <row r="3109" spans="1:9" x14ac:dyDescent="0.25">
      <c r="A3109" s="753"/>
      <c r="C3109" s="131" t="s">
        <v>235</v>
      </c>
      <c r="D3109" s="131">
        <v>16</v>
      </c>
      <c r="E3109" s="131" t="s">
        <v>235</v>
      </c>
      <c r="F3109" s="767">
        <v>0</v>
      </c>
      <c r="G3109" s="767">
        <v>-181349.96</v>
      </c>
      <c r="H3109" s="767">
        <v>-181349.96</v>
      </c>
      <c r="I3109" s="768" t="s">
        <v>2286</v>
      </c>
    </row>
    <row r="3110" spans="1:9" x14ac:dyDescent="0.25">
      <c r="A3110" s="753"/>
      <c r="C3110" s="131" t="s">
        <v>2287</v>
      </c>
      <c r="D3110" s="131">
        <v>16</v>
      </c>
      <c r="E3110" s="131" t="s">
        <v>2287</v>
      </c>
      <c r="F3110" s="767">
        <v>0</v>
      </c>
      <c r="G3110" s="767">
        <v>175112.67</v>
      </c>
      <c r="H3110" s="767">
        <v>175112.67</v>
      </c>
      <c r="I3110" s="768" t="s">
        <v>2288</v>
      </c>
    </row>
    <row r="3111" spans="1:9" x14ac:dyDescent="0.25">
      <c r="A3111" s="753"/>
      <c r="C3111" s="131" t="s">
        <v>364</v>
      </c>
      <c r="D3111" s="131">
        <v>16</v>
      </c>
      <c r="E3111" s="131" t="s">
        <v>364</v>
      </c>
      <c r="F3111" s="767">
        <v>-120423.5</v>
      </c>
      <c r="G3111" s="767">
        <v>-107635.36</v>
      </c>
      <c r="H3111" s="767">
        <v>-228058.86</v>
      </c>
      <c r="I3111" s="768" t="s">
        <v>2291</v>
      </c>
    </row>
    <row r="3112" spans="1:9" x14ac:dyDescent="0.25">
      <c r="A3112" s="753"/>
      <c r="C3112" s="131" t="s">
        <v>2292</v>
      </c>
      <c r="D3112" s="131">
        <v>16</v>
      </c>
      <c r="E3112" s="131" t="s">
        <v>2292</v>
      </c>
      <c r="F3112" s="767">
        <v>111575</v>
      </c>
      <c r="G3112" s="767">
        <v>100537.06</v>
      </c>
      <c r="H3112" s="767">
        <v>212112.06</v>
      </c>
      <c r="I3112" s="768" t="s">
        <v>2293</v>
      </c>
    </row>
    <row r="3113" spans="1:9" x14ac:dyDescent="0.25">
      <c r="A3113" s="753"/>
      <c r="C3113" s="131" t="s">
        <v>371</v>
      </c>
      <c r="D3113" s="131">
        <v>16</v>
      </c>
      <c r="E3113" s="131" t="s">
        <v>371</v>
      </c>
      <c r="F3113" s="767">
        <v>-106923.5</v>
      </c>
      <c r="G3113" s="767">
        <v>0</v>
      </c>
      <c r="H3113" s="767">
        <v>-106923.5</v>
      </c>
      <c r="I3113" s="768" t="s">
        <v>1836</v>
      </c>
    </row>
    <row r="3114" spans="1:9" x14ac:dyDescent="0.25">
      <c r="A3114" s="753"/>
      <c r="C3114" s="131" t="s">
        <v>1152</v>
      </c>
      <c r="D3114" s="131">
        <v>16</v>
      </c>
      <c r="E3114" s="131" t="s">
        <v>1152</v>
      </c>
      <c r="F3114" s="767">
        <v>102290.17</v>
      </c>
      <c r="G3114" s="767">
        <v>0</v>
      </c>
      <c r="H3114" s="767">
        <v>102290.17</v>
      </c>
      <c r="I3114" s="768" t="s">
        <v>1837</v>
      </c>
    </row>
    <row r="3115" spans="1:9" x14ac:dyDescent="0.25">
      <c r="A3115" s="753">
        <v>501728</v>
      </c>
      <c r="B3115" s="130">
        <v>4404</v>
      </c>
      <c r="E3115" s="131"/>
    </row>
    <row r="3116" spans="1:9" x14ac:dyDescent="0.25">
      <c r="A3116" s="753">
        <v>501812</v>
      </c>
      <c r="B3116" s="130">
        <v>0</v>
      </c>
      <c r="E3116" s="131"/>
    </row>
    <row r="3117" spans="1:9" x14ac:dyDescent="0.25">
      <c r="A3117" s="753">
        <v>501814</v>
      </c>
      <c r="B3117" s="130">
        <v>0</v>
      </c>
      <c r="E3117" s="131"/>
    </row>
    <row r="3118" spans="1:9" x14ac:dyDescent="0.25">
      <c r="A3118" s="753">
        <v>501816</v>
      </c>
      <c r="B3118" s="130">
        <v>0</v>
      </c>
      <c r="E3118" s="131"/>
    </row>
    <row r="3119" spans="1:9" x14ac:dyDescent="0.25">
      <c r="A3119" s="753">
        <v>501818</v>
      </c>
      <c r="B3119" s="130">
        <v>0</v>
      </c>
      <c r="E3119" s="131"/>
    </row>
    <row r="3120" spans="1:9" x14ac:dyDescent="0.25">
      <c r="A3120" s="753">
        <v>501822</v>
      </c>
      <c r="B3120" s="130">
        <v>0</v>
      </c>
      <c r="E3120" s="131"/>
    </row>
    <row r="3121" spans="1:9" x14ac:dyDescent="0.25">
      <c r="A3121" s="753">
        <v>501824</v>
      </c>
      <c r="B3121" s="130">
        <v>0</v>
      </c>
      <c r="E3121" s="131"/>
    </row>
    <row r="3122" spans="1:9" x14ac:dyDescent="0.25">
      <c r="A3122" s="753">
        <v>501826</v>
      </c>
      <c r="B3122" s="130">
        <v>0</v>
      </c>
      <c r="E3122" s="131"/>
    </row>
    <row r="3123" spans="1:9" x14ac:dyDescent="0.25">
      <c r="A3123" s="753">
        <v>501828</v>
      </c>
      <c r="B3123" s="130">
        <v>0</v>
      </c>
      <c r="E3123" s="131"/>
    </row>
    <row r="3124" spans="1:9" x14ac:dyDescent="0.25">
      <c r="A3124" s="753">
        <v>501912</v>
      </c>
      <c r="B3124" s="130">
        <v>0</v>
      </c>
      <c r="C3124" s="131" t="s">
        <v>1153</v>
      </c>
      <c r="D3124" s="131">
        <v>16</v>
      </c>
      <c r="E3124" s="131" t="s">
        <v>1153</v>
      </c>
      <c r="F3124" s="767">
        <v>-0.01</v>
      </c>
      <c r="G3124" s="767">
        <v>0</v>
      </c>
      <c r="H3124" s="767">
        <v>-0.01</v>
      </c>
      <c r="I3124" s="768" t="s">
        <v>1838</v>
      </c>
    </row>
    <row r="3125" spans="1:9" x14ac:dyDescent="0.25">
      <c r="A3125" s="753">
        <v>501914</v>
      </c>
      <c r="B3125" s="130">
        <v>0</v>
      </c>
      <c r="C3125" s="131" t="s">
        <v>0</v>
      </c>
      <c r="D3125" s="131">
        <v>16</v>
      </c>
      <c r="E3125" s="131" t="s">
        <v>0</v>
      </c>
      <c r="F3125" s="767">
        <v>-90273.5</v>
      </c>
      <c r="G3125" s="767">
        <v>0</v>
      </c>
      <c r="H3125" s="767">
        <v>-90273.5</v>
      </c>
      <c r="I3125" s="768" t="s">
        <v>1839</v>
      </c>
    </row>
    <row r="3126" spans="1:9" x14ac:dyDescent="0.25">
      <c r="A3126" s="753">
        <v>501916</v>
      </c>
      <c r="B3126" s="130">
        <v>0</v>
      </c>
      <c r="C3126" s="131" t="s">
        <v>0</v>
      </c>
      <c r="D3126" s="131">
        <v>16</v>
      </c>
      <c r="E3126" s="131" t="s">
        <v>0</v>
      </c>
      <c r="F3126" s="767">
        <v>-90273.5</v>
      </c>
      <c r="G3126" s="767">
        <v>0</v>
      </c>
      <c r="H3126" s="767">
        <v>-90273.5</v>
      </c>
      <c r="I3126" s="768" t="s">
        <v>1839</v>
      </c>
    </row>
    <row r="3127" spans="1:9" x14ac:dyDescent="0.25">
      <c r="A3127" s="753"/>
      <c r="C3127" s="131" t="s">
        <v>1117</v>
      </c>
      <c r="D3127" s="131">
        <v>16</v>
      </c>
      <c r="E3127" s="131" t="s">
        <v>1117</v>
      </c>
      <c r="F3127" s="767">
        <v>82763.5</v>
      </c>
      <c r="G3127" s="767">
        <v>0</v>
      </c>
      <c r="H3127" s="767">
        <v>82763.5</v>
      </c>
      <c r="I3127" s="768" t="s">
        <v>1840</v>
      </c>
    </row>
    <row r="3128" spans="1:9" x14ac:dyDescent="0.25">
      <c r="A3128" s="753">
        <v>501918</v>
      </c>
      <c r="B3128" s="130">
        <v>0</v>
      </c>
      <c r="E3128" s="131"/>
    </row>
    <row r="3129" spans="1:9" x14ac:dyDescent="0.25">
      <c r="A3129" s="753">
        <v>501922</v>
      </c>
      <c r="B3129" s="130">
        <v>1</v>
      </c>
      <c r="C3129" s="131" t="s">
        <v>1153</v>
      </c>
      <c r="D3129" s="131">
        <v>16</v>
      </c>
      <c r="E3129" s="131" t="s">
        <v>1153</v>
      </c>
      <c r="F3129" s="767">
        <v>-0.01</v>
      </c>
      <c r="G3129" s="767">
        <v>0</v>
      </c>
      <c r="H3129" s="767">
        <v>-0.01</v>
      </c>
      <c r="I3129" s="768" t="s">
        <v>1838</v>
      </c>
    </row>
    <row r="3130" spans="1:9" x14ac:dyDescent="0.25">
      <c r="A3130" s="753">
        <v>501924</v>
      </c>
      <c r="B3130" s="130">
        <v>90274</v>
      </c>
      <c r="C3130" s="131" t="s">
        <v>0</v>
      </c>
      <c r="D3130" s="131">
        <v>16</v>
      </c>
      <c r="E3130" s="131" t="s">
        <v>0</v>
      </c>
      <c r="F3130" s="767">
        <v>-90273.5</v>
      </c>
      <c r="G3130" s="767">
        <v>0</v>
      </c>
      <c r="H3130" s="767">
        <v>-90273.5</v>
      </c>
      <c r="I3130" s="768" t="s">
        <v>1839</v>
      </c>
    </row>
    <row r="3131" spans="1:9" x14ac:dyDescent="0.25">
      <c r="A3131" s="753">
        <v>501926</v>
      </c>
      <c r="B3131" s="130">
        <v>7510</v>
      </c>
      <c r="C3131" s="131" t="s">
        <v>0</v>
      </c>
      <c r="D3131" s="131">
        <v>16</v>
      </c>
      <c r="E3131" s="131" t="s">
        <v>0</v>
      </c>
      <c r="F3131" s="767">
        <v>-90273.5</v>
      </c>
      <c r="G3131" s="767">
        <v>0</v>
      </c>
      <c r="H3131" s="767">
        <v>-90273.5</v>
      </c>
      <c r="I3131" s="768" t="s">
        <v>1839</v>
      </c>
    </row>
    <row r="3132" spans="1:9" x14ac:dyDescent="0.25">
      <c r="A3132" s="753"/>
      <c r="C3132" s="131" t="s">
        <v>1117</v>
      </c>
      <c r="D3132" s="131">
        <v>16</v>
      </c>
      <c r="E3132" s="131" t="s">
        <v>1117</v>
      </c>
      <c r="F3132" s="767">
        <v>82763.5</v>
      </c>
      <c r="G3132" s="767">
        <v>0</v>
      </c>
      <c r="H3132" s="767">
        <v>82763.5</v>
      </c>
      <c r="I3132" s="768" t="s">
        <v>1840</v>
      </c>
    </row>
    <row r="3133" spans="1:9" x14ac:dyDescent="0.25">
      <c r="A3133" s="753">
        <v>501928</v>
      </c>
      <c r="B3133" s="130">
        <v>7510</v>
      </c>
      <c r="E3133" s="131"/>
    </row>
    <row r="3134" spans="1:9" x14ac:dyDescent="0.25">
      <c r="A3134" s="753">
        <v>502012</v>
      </c>
      <c r="B3134" s="130">
        <v>2</v>
      </c>
      <c r="C3134" s="131" t="s">
        <v>1156</v>
      </c>
      <c r="D3134" s="131">
        <v>16</v>
      </c>
      <c r="E3134" s="131" t="s">
        <v>1156</v>
      </c>
      <c r="F3134" s="767">
        <v>-7.0000000000000007E-2</v>
      </c>
      <c r="G3134" s="767">
        <v>-0.02</v>
      </c>
      <c r="H3134" s="767">
        <v>-0.09</v>
      </c>
      <c r="I3134" s="768" t="s">
        <v>1841</v>
      </c>
    </row>
    <row r="3135" spans="1:9" x14ac:dyDescent="0.25">
      <c r="A3135" s="753">
        <v>502014</v>
      </c>
      <c r="B3135" s="130">
        <v>138273</v>
      </c>
      <c r="C3135" s="131" t="s">
        <v>388</v>
      </c>
      <c r="D3135" s="131">
        <v>16</v>
      </c>
      <c r="E3135" s="131" t="s">
        <v>388</v>
      </c>
      <c r="F3135" s="767">
        <v>-488096.67</v>
      </c>
      <c r="G3135" s="767">
        <v>-138273.37</v>
      </c>
      <c r="H3135" s="767">
        <v>-626370.04</v>
      </c>
      <c r="I3135" s="768" t="s">
        <v>1842</v>
      </c>
    </row>
    <row r="3136" spans="1:9" x14ac:dyDescent="0.25">
      <c r="A3136" s="753">
        <v>502016</v>
      </c>
      <c r="B3136" s="130">
        <v>12190</v>
      </c>
      <c r="C3136" s="131" t="s">
        <v>388</v>
      </c>
      <c r="D3136" s="131">
        <v>16</v>
      </c>
      <c r="E3136" s="131" t="s">
        <v>388</v>
      </c>
      <c r="F3136" s="767">
        <v>-488096.67</v>
      </c>
      <c r="G3136" s="767">
        <v>-138273.37</v>
      </c>
      <c r="H3136" s="767">
        <v>-626370.04</v>
      </c>
      <c r="I3136" s="768" t="s">
        <v>1842</v>
      </c>
    </row>
    <row r="3137" spans="1:9" x14ac:dyDescent="0.25">
      <c r="A3137" s="753"/>
      <c r="C3137" s="131" t="s">
        <v>1157</v>
      </c>
      <c r="D3137" s="131">
        <v>16</v>
      </c>
      <c r="E3137" s="131" t="s">
        <v>1157</v>
      </c>
      <c r="F3137" s="767">
        <v>453839.9</v>
      </c>
      <c r="G3137" s="767">
        <v>126082.57</v>
      </c>
      <c r="H3137" s="767">
        <v>579922.47</v>
      </c>
      <c r="I3137" s="768" t="s">
        <v>1843</v>
      </c>
    </row>
    <row r="3138" spans="1:9" x14ac:dyDescent="0.25">
      <c r="A3138" s="753">
        <v>502018</v>
      </c>
      <c r="B3138" s="130">
        <v>6095</v>
      </c>
      <c r="E3138" s="131"/>
    </row>
    <row r="3139" spans="1:9" x14ac:dyDescent="0.25">
      <c r="A3139" s="753">
        <v>502022</v>
      </c>
      <c r="B3139" s="130">
        <v>9</v>
      </c>
      <c r="C3139" s="131" t="s">
        <v>1156</v>
      </c>
      <c r="D3139" s="131">
        <v>16</v>
      </c>
      <c r="E3139" s="131" t="s">
        <v>1156</v>
      </c>
      <c r="F3139" s="767">
        <v>-7.0000000000000007E-2</v>
      </c>
      <c r="G3139" s="767">
        <v>-0.02</v>
      </c>
      <c r="H3139" s="767">
        <v>-0.09</v>
      </c>
      <c r="I3139" s="768" t="s">
        <v>1841</v>
      </c>
    </row>
    <row r="3140" spans="1:9" x14ac:dyDescent="0.25">
      <c r="A3140" s="753">
        <v>502024</v>
      </c>
      <c r="B3140" s="130">
        <v>626370</v>
      </c>
      <c r="C3140" s="131" t="s">
        <v>388</v>
      </c>
      <c r="D3140" s="131">
        <v>16</v>
      </c>
      <c r="E3140" s="131" t="s">
        <v>388</v>
      </c>
      <c r="F3140" s="767">
        <v>-488096.67</v>
      </c>
      <c r="G3140" s="767">
        <v>-138273.37</v>
      </c>
      <c r="H3140" s="767">
        <v>-626370.04</v>
      </c>
      <c r="I3140" s="768" t="s">
        <v>1842</v>
      </c>
    </row>
    <row r="3141" spans="1:9" x14ac:dyDescent="0.25">
      <c r="A3141" s="753">
        <v>502026</v>
      </c>
      <c r="B3141" s="130">
        <v>46448</v>
      </c>
      <c r="C3141" s="131" t="s">
        <v>388</v>
      </c>
      <c r="D3141" s="131">
        <v>16</v>
      </c>
      <c r="E3141" s="131" t="s">
        <v>388</v>
      </c>
      <c r="F3141" s="767">
        <v>-488096.67</v>
      </c>
      <c r="G3141" s="767">
        <v>-138273.37</v>
      </c>
      <c r="H3141" s="767">
        <v>-626370.04</v>
      </c>
      <c r="I3141" s="768" t="s">
        <v>1842</v>
      </c>
    </row>
    <row r="3142" spans="1:9" x14ac:dyDescent="0.25">
      <c r="A3142" s="753"/>
      <c r="C3142" s="131" t="s">
        <v>1157</v>
      </c>
      <c r="D3142" s="131">
        <v>16</v>
      </c>
      <c r="E3142" s="131" t="s">
        <v>1157</v>
      </c>
      <c r="F3142" s="767">
        <v>453839.9</v>
      </c>
      <c r="G3142" s="767">
        <v>126082.57</v>
      </c>
      <c r="H3142" s="767">
        <v>579922.47</v>
      </c>
      <c r="I3142" s="768" t="s">
        <v>1843</v>
      </c>
    </row>
    <row r="3143" spans="1:9" x14ac:dyDescent="0.25">
      <c r="A3143" s="753">
        <v>502028</v>
      </c>
      <c r="B3143" s="130">
        <v>5161</v>
      </c>
      <c r="E3143" s="131"/>
    </row>
    <row r="3144" spans="1:9" x14ac:dyDescent="0.25">
      <c r="A3144" s="753">
        <v>502112</v>
      </c>
      <c r="B3144" s="130">
        <v>4</v>
      </c>
      <c r="C3144" s="131" t="s">
        <v>1158</v>
      </c>
      <c r="D3144" s="131">
        <v>16</v>
      </c>
      <c r="E3144" s="131" t="s">
        <v>1158</v>
      </c>
      <c r="F3144" s="767">
        <v>-0.13</v>
      </c>
      <c r="G3144" s="767">
        <v>-0.04</v>
      </c>
      <c r="H3144" s="767">
        <v>-0.17</v>
      </c>
      <c r="I3144" s="768" t="s">
        <v>1844</v>
      </c>
    </row>
    <row r="3145" spans="1:9" x14ac:dyDescent="0.25">
      <c r="A3145" s="753">
        <v>502114</v>
      </c>
      <c r="B3145" s="130">
        <v>324698</v>
      </c>
      <c r="C3145" s="131" t="s">
        <v>372</v>
      </c>
      <c r="D3145" s="131">
        <v>16</v>
      </c>
      <c r="E3145" s="131" t="s">
        <v>372</v>
      </c>
      <c r="F3145" s="767">
        <v>-1072320</v>
      </c>
      <c r="G3145" s="767">
        <v>-324698.42</v>
      </c>
      <c r="H3145" s="767">
        <v>-1397018.42</v>
      </c>
      <c r="I3145" s="768" t="s">
        <v>1845</v>
      </c>
    </row>
    <row r="3146" spans="1:9" x14ac:dyDescent="0.25">
      <c r="A3146" s="753">
        <v>502116</v>
      </c>
      <c r="B3146" s="130">
        <v>25095</v>
      </c>
      <c r="C3146" s="131" t="s">
        <v>372</v>
      </c>
      <c r="D3146" s="131">
        <v>16</v>
      </c>
      <c r="E3146" s="131" t="s">
        <v>372</v>
      </c>
      <c r="F3146" s="767">
        <v>-1072320</v>
      </c>
      <c r="G3146" s="767">
        <v>-324698.42</v>
      </c>
      <c r="H3146" s="767">
        <v>-1397018.42</v>
      </c>
      <c r="I3146" s="768" t="s">
        <v>1845</v>
      </c>
    </row>
    <row r="3147" spans="1:9" x14ac:dyDescent="0.25">
      <c r="A3147" s="753"/>
      <c r="C3147" s="131" t="s">
        <v>1159</v>
      </c>
      <c r="D3147" s="131">
        <v>16</v>
      </c>
      <c r="E3147" s="131" t="s">
        <v>1159</v>
      </c>
      <c r="F3147" s="767">
        <v>1004366.9</v>
      </c>
      <c r="G3147" s="767">
        <v>299603.12</v>
      </c>
      <c r="H3147" s="767">
        <v>1303970.02</v>
      </c>
      <c r="I3147" s="768" t="s">
        <v>1846</v>
      </c>
    </row>
    <row r="3148" spans="1:9" x14ac:dyDescent="0.25">
      <c r="A3148" s="753">
        <v>502118</v>
      </c>
      <c r="B3148" s="130">
        <v>6274</v>
      </c>
      <c r="E3148" s="131"/>
    </row>
    <row r="3149" spans="1:9" x14ac:dyDescent="0.25">
      <c r="A3149" s="753">
        <v>502122</v>
      </c>
      <c r="B3149" s="130">
        <v>17</v>
      </c>
      <c r="C3149" s="131" t="s">
        <v>1158</v>
      </c>
      <c r="D3149" s="131">
        <v>16</v>
      </c>
      <c r="E3149" s="131" t="s">
        <v>1158</v>
      </c>
      <c r="F3149" s="767">
        <v>-0.13</v>
      </c>
      <c r="G3149" s="767">
        <v>-0.04</v>
      </c>
      <c r="H3149" s="767">
        <v>-0.17</v>
      </c>
      <c r="I3149" s="768" t="s">
        <v>1844</v>
      </c>
    </row>
    <row r="3150" spans="1:9" x14ac:dyDescent="0.25">
      <c r="A3150" s="753">
        <v>502124</v>
      </c>
      <c r="B3150" s="130">
        <v>1397018</v>
      </c>
      <c r="C3150" s="131" t="s">
        <v>372</v>
      </c>
      <c r="D3150" s="131">
        <v>16</v>
      </c>
      <c r="E3150" s="131" t="s">
        <v>372</v>
      </c>
      <c r="F3150" s="767">
        <v>-1072320</v>
      </c>
      <c r="G3150" s="767">
        <v>-324698.42</v>
      </c>
      <c r="H3150" s="767">
        <v>-1397018.42</v>
      </c>
      <c r="I3150" s="768" t="s">
        <v>1845</v>
      </c>
    </row>
    <row r="3151" spans="1:9" x14ac:dyDescent="0.25">
      <c r="A3151" s="753">
        <v>502126</v>
      </c>
      <c r="B3151" s="130">
        <v>93048</v>
      </c>
      <c r="C3151" s="131" t="s">
        <v>372</v>
      </c>
      <c r="D3151" s="131">
        <v>16</v>
      </c>
      <c r="E3151" s="131" t="s">
        <v>372</v>
      </c>
      <c r="F3151" s="767">
        <v>-1072320</v>
      </c>
      <c r="G3151" s="767">
        <v>-324698.42</v>
      </c>
      <c r="H3151" s="767">
        <v>-1397018.42</v>
      </c>
      <c r="I3151" s="768" t="s">
        <v>1845</v>
      </c>
    </row>
    <row r="3152" spans="1:9" x14ac:dyDescent="0.25">
      <c r="A3152" s="753"/>
      <c r="C3152" s="131" t="s">
        <v>1159</v>
      </c>
      <c r="D3152" s="131">
        <v>16</v>
      </c>
      <c r="E3152" s="131" t="s">
        <v>1159</v>
      </c>
      <c r="F3152" s="767">
        <v>1004366.9</v>
      </c>
      <c r="G3152" s="767">
        <v>299603.12</v>
      </c>
      <c r="H3152" s="767">
        <v>1303970.02</v>
      </c>
      <c r="I3152" s="768" t="s">
        <v>1846</v>
      </c>
    </row>
    <row r="3153" spans="1:9" x14ac:dyDescent="0.25">
      <c r="A3153" s="753">
        <v>502128</v>
      </c>
      <c r="B3153" s="130">
        <v>5473</v>
      </c>
      <c r="E3153" s="131"/>
    </row>
    <row r="3154" spans="1:9" x14ac:dyDescent="0.25">
      <c r="A3154" s="753">
        <v>502212</v>
      </c>
      <c r="B3154" s="130">
        <v>0</v>
      </c>
      <c r="C3154" s="131" t="s">
        <v>2294</v>
      </c>
      <c r="D3154" s="131">
        <v>16</v>
      </c>
      <c r="E3154" s="131" t="s">
        <v>2294</v>
      </c>
      <c r="F3154" s="767">
        <v>-0.02</v>
      </c>
      <c r="G3154" s="767">
        <v>0</v>
      </c>
      <c r="H3154" s="767">
        <v>-0.02</v>
      </c>
      <c r="I3154" s="768" t="s">
        <v>2295</v>
      </c>
    </row>
    <row r="3155" spans="1:9" x14ac:dyDescent="0.25">
      <c r="A3155" s="753">
        <v>502214</v>
      </c>
      <c r="B3155" s="130">
        <v>0</v>
      </c>
      <c r="C3155" s="131" t="s">
        <v>389</v>
      </c>
      <c r="D3155" s="131">
        <v>16</v>
      </c>
      <c r="E3155" s="131" t="s">
        <v>389</v>
      </c>
      <c r="F3155" s="767">
        <v>-160941.5</v>
      </c>
      <c r="G3155" s="767">
        <v>0</v>
      </c>
      <c r="H3155" s="767">
        <v>-160941.5</v>
      </c>
      <c r="I3155" s="768" t="s">
        <v>2296</v>
      </c>
    </row>
    <row r="3156" spans="1:9" x14ac:dyDescent="0.25">
      <c r="A3156" s="753">
        <v>502216</v>
      </c>
      <c r="B3156" s="130">
        <v>0</v>
      </c>
      <c r="C3156" s="131" t="s">
        <v>389</v>
      </c>
      <c r="D3156" s="131">
        <v>16</v>
      </c>
      <c r="E3156" s="131" t="s">
        <v>389</v>
      </c>
      <c r="F3156" s="767">
        <v>-160941.5</v>
      </c>
      <c r="G3156" s="767">
        <v>0</v>
      </c>
      <c r="H3156" s="767">
        <v>-160941.5</v>
      </c>
      <c r="I3156" s="768" t="s">
        <v>2296</v>
      </c>
    </row>
    <row r="3157" spans="1:9" x14ac:dyDescent="0.25">
      <c r="A3157" s="753"/>
      <c r="C3157" s="131" t="s">
        <v>2297</v>
      </c>
      <c r="D3157" s="131">
        <v>16</v>
      </c>
      <c r="E3157" s="131" t="s">
        <v>2297</v>
      </c>
      <c r="F3157" s="767">
        <v>156088.57999999999</v>
      </c>
      <c r="G3157" s="767">
        <v>0</v>
      </c>
      <c r="H3157" s="767">
        <v>156088.57999999999</v>
      </c>
      <c r="I3157" s="768" t="s">
        <v>2298</v>
      </c>
    </row>
    <row r="3158" spans="1:9" x14ac:dyDescent="0.25">
      <c r="A3158" s="753">
        <v>502218</v>
      </c>
      <c r="B3158" s="130">
        <v>0</v>
      </c>
      <c r="E3158" s="131"/>
    </row>
    <row r="3159" spans="1:9" x14ac:dyDescent="0.25">
      <c r="A3159" s="753">
        <v>502222</v>
      </c>
      <c r="B3159" s="130">
        <v>2</v>
      </c>
      <c r="C3159" s="131" t="s">
        <v>2294</v>
      </c>
      <c r="D3159" s="131">
        <v>16</v>
      </c>
      <c r="E3159" s="131" t="s">
        <v>2294</v>
      </c>
      <c r="F3159" s="767">
        <v>-0.02</v>
      </c>
      <c r="G3159" s="767">
        <v>0</v>
      </c>
      <c r="H3159" s="767">
        <v>-0.02</v>
      </c>
      <c r="I3159" s="768" t="s">
        <v>2295</v>
      </c>
    </row>
    <row r="3160" spans="1:9" x14ac:dyDescent="0.25">
      <c r="A3160" s="753">
        <v>502224</v>
      </c>
      <c r="B3160" s="130">
        <v>160942</v>
      </c>
      <c r="C3160" s="131" t="s">
        <v>389</v>
      </c>
      <c r="D3160" s="131">
        <v>16</v>
      </c>
      <c r="E3160" s="131" t="s">
        <v>389</v>
      </c>
      <c r="F3160" s="767">
        <v>-160941.5</v>
      </c>
      <c r="G3160" s="767">
        <v>0</v>
      </c>
      <c r="H3160" s="767">
        <v>-160941.5</v>
      </c>
      <c r="I3160" s="768" t="s">
        <v>2296</v>
      </c>
    </row>
    <row r="3161" spans="1:9" x14ac:dyDescent="0.25">
      <c r="A3161" s="753">
        <v>502226</v>
      </c>
      <c r="B3161" s="130">
        <v>4853</v>
      </c>
      <c r="C3161" s="131" t="s">
        <v>389</v>
      </c>
      <c r="D3161" s="131">
        <v>16</v>
      </c>
      <c r="E3161" s="131" t="s">
        <v>389</v>
      </c>
      <c r="F3161" s="767">
        <v>-160941.5</v>
      </c>
      <c r="G3161" s="767">
        <v>0</v>
      </c>
      <c r="H3161" s="767">
        <v>-160941.5</v>
      </c>
      <c r="I3161" s="768" t="s">
        <v>2296</v>
      </c>
    </row>
    <row r="3162" spans="1:9" x14ac:dyDescent="0.25">
      <c r="A3162" s="753"/>
      <c r="C3162" s="131" t="s">
        <v>2297</v>
      </c>
      <c r="D3162" s="131">
        <v>16</v>
      </c>
      <c r="E3162" s="131" t="s">
        <v>2297</v>
      </c>
      <c r="F3162" s="767">
        <v>156088.57999999999</v>
      </c>
      <c r="G3162" s="767">
        <v>0</v>
      </c>
      <c r="H3162" s="767">
        <v>156088.57999999999</v>
      </c>
      <c r="I3162" s="768" t="s">
        <v>2298</v>
      </c>
    </row>
    <row r="3163" spans="1:9" x14ac:dyDescent="0.25">
      <c r="A3163" s="753">
        <v>502228</v>
      </c>
      <c r="B3163" s="130">
        <v>2427</v>
      </c>
      <c r="E3163" s="131"/>
    </row>
    <row r="3164" spans="1:9" x14ac:dyDescent="0.25">
      <c r="A3164" s="753">
        <v>502312</v>
      </c>
      <c r="B3164" s="130">
        <v>0</v>
      </c>
      <c r="C3164" s="131" t="s">
        <v>2299</v>
      </c>
      <c r="D3164" s="131">
        <v>16</v>
      </c>
      <c r="E3164" s="131" t="s">
        <v>2299</v>
      </c>
      <c r="F3164" s="767">
        <v>-0.04</v>
      </c>
      <c r="G3164" s="767">
        <v>0</v>
      </c>
      <c r="H3164" s="767">
        <v>-0.04</v>
      </c>
      <c r="I3164" s="768" t="s">
        <v>2300</v>
      </c>
    </row>
    <row r="3165" spans="1:9" x14ac:dyDescent="0.25">
      <c r="A3165" s="753">
        <v>502314</v>
      </c>
      <c r="B3165" s="130">
        <v>0</v>
      </c>
      <c r="C3165" s="131" t="s">
        <v>373</v>
      </c>
      <c r="D3165" s="131">
        <v>16</v>
      </c>
      <c r="E3165" s="131" t="s">
        <v>373</v>
      </c>
      <c r="F3165" s="767">
        <v>-345515.77</v>
      </c>
      <c r="G3165" s="767">
        <v>0</v>
      </c>
      <c r="H3165" s="767">
        <v>-345515.77</v>
      </c>
      <c r="I3165" s="768" t="s">
        <v>2301</v>
      </c>
    </row>
    <row r="3166" spans="1:9" x14ac:dyDescent="0.25">
      <c r="A3166" s="753">
        <v>502316</v>
      </c>
      <c r="B3166" s="130">
        <v>0</v>
      </c>
      <c r="C3166" s="131" t="s">
        <v>373</v>
      </c>
      <c r="D3166" s="131">
        <v>16</v>
      </c>
      <c r="E3166" s="131" t="s">
        <v>373</v>
      </c>
      <c r="F3166" s="767">
        <v>-345515.77</v>
      </c>
      <c r="G3166" s="767">
        <v>0</v>
      </c>
      <c r="H3166" s="767">
        <v>-345515.77</v>
      </c>
      <c r="I3166" s="768" t="s">
        <v>2301</v>
      </c>
    </row>
    <row r="3167" spans="1:9" x14ac:dyDescent="0.25">
      <c r="A3167" s="753"/>
      <c r="C3167" s="131" t="s">
        <v>2302</v>
      </c>
      <c r="D3167" s="131">
        <v>16</v>
      </c>
      <c r="E3167" s="131" t="s">
        <v>2302</v>
      </c>
      <c r="F3167" s="767">
        <v>339379.44</v>
      </c>
      <c r="G3167" s="767">
        <v>0</v>
      </c>
      <c r="H3167" s="767">
        <v>339379.44</v>
      </c>
      <c r="I3167" s="768" t="s">
        <v>2303</v>
      </c>
    </row>
    <row r="3168" spans="1:9" x14ac:dyDescent="0.25">
      <c r="A3168" s="753">
        <v>502318</v>
      </c>
      <c r="B3168" s="130">
        <v>0</v>
      </c>
      <c r="E3168" s="131"/>
    </row>
    <row r="3169" spans="1:9" x14ac:dyDescent="0.25">
      <c r="A3169" s="753">
        <v>502322</v>
      </c>
      <c r="B3169" s="130">
        <v>4</v>
      </c>
      <c r="C3169" s="131" t="s">
        <v>2299</v>
      </c>
      <c r="D3169" s="131">
        <v>16</v>
      </c>
      <c r="E3169" s="131" t="s">
        <v>2299</v>
      </c>
      <c r="F3169" s="767">
        <v>-0.04</v>
      </c>
      <c r="G3169" s="767">
        <v>0</v>
      </c>
      <c r="H3169" s="767">
        <v>-0.04</v>
      </c>
      <c r="I3169" s="768" t="s">
        <v>2300</v>
      </c>
    </row>
    <row r="3170" spans="1:9" x14ac:dyDescent="0.25">
      <c r="A3170" s="753">
        <v>502324</v>
      </c>
      <c r="B3170" s="130">
        <v>345516</v>
      </c>
      <c r="C3170" s="131" t="s">
        <v>373</v>
      </c>
      <c r="D3170" s="131">
        <v>16</v>
      </c>
      <c r="E3170" s="131" t="s">
        <v>373</v>
      </c>
      <c r="F3170" s="767">
        <v>-345515.77</v>
      </c>
      <c r="G3170" s="767">
        <v>0</v>
      </c>
      <c r="H3170" s="767">
        <v>-345515.77</v>
      </c>
      <c r="I3170" s="768" t="s">
        <v>2301</v>
      </c>
    </row>
    <row r="3171" spans="1:9" x14ac:dyDescent="0.25">
      <c r="A3171" s="753">
        <v>502326</v>
      </c>
      <c r="B3171" s="130">
        <v>6137</v>
      </c>
      <c r="C3171" s="131" t="s">
        <v>373</v>
      </c>
      <c r="D3171" s="131">
        <v>16</v>
      </c>
      <c r="E3171" s="131" t="s">
        <v>373</v>
      </c>
      <c r="F3171" s="767">
        <v>-345515.77</v>
      </c>
      <c r="G3171" s="767">
        <v>0</v>
      </c>
      <c r="H3171" s="767">
        <v>-345515.77</v>
      </c>
      <c r="I3171" s="768" t="s">
        <v>2301</v>
      </c>
    </row>
    <row r="3172" spans="1:9" x14ac:dyDescent="0.25">
      <c r="A3172" s="753"/>
      <c r="C3172" s="131" t="s">
        <v>2302</v>
      </c>
      <c r="D3172" s="131">
        <v>16</v>
      </c>
      <c r="E3172" s="131" t="s">
        <v>2302</v>
      </c>
      <c r="F3172" s="767">
        <v>339379.44</v>
      </c>
      <c r="G3172" s="767">
        <v>0</v>
      </c>
      <c r="H3172" s="767">
        <v>339379.44</v>
      </c>
      <c r="I3172" s="768" t="s">
        <v>2303</v>
      </c>
    </row>
    <row r="3173" spans="1:9" x14ac:dyDescent="0.25">
      <c r="A3173" s="753">
        <v>502328</v>
      </c>
      <c r="B3173" s="130">
        <v>1534</v>
      </c>
      <c r="E3173" s="131"/>
    </row>
    <row r="3174" spans="1:9" x14ac:dyDescent="0.25">
      <c r="A3174" s="753">
        <v>502412</v>
      </c>
      <c r="B3174" s="130">
        <v>0</v>
      </c>
      <c r="C3174" s="131" t="s">
        <v>1160</v>
      </c>
      <c r="D3174" s="131">
        <v>16</v>
      </c>
      <c r="E3174" s="131" t="s">
        <v>1160</v>
      </c>
      <c r="F3174" s="767">
        <v>-0.03</v>
      </c>
      <c r="G3174" s="767">
        <v>0</v>
      </c>
      <c r="H3174" s="767">
        <v>-0.03</v>
      </c>
      <c r="I3174" s="768" t="s">
        <v>1847</v>
      </c>
    </row>
    <row r="3175" spans="1:9" x14ac:dyDescent="0.25">
      <c r="A3175" s="753"/>
      <c r="C3175" s="131" t="s">
        <v>1160</v>
      </c>
      <c r="D3175" s="131">
        <v>16</v>
      </c>
      <c r="E3175" s="131" t="s">
        <v>1848</v>
      </c>
      <c r="F3175" s="767">
        <v>-0.01</v>
      </c>
      <c r="G3175" s="767">
        <v>0</v>
      </c>
      <c r="H3175" s="767">
        <v>-0.01</v>
      </c>
      <c r="I3175" s="768" t="s">
        <v>1849</v>
      </c>
    </row>
    <row r="3176" spans="1:9" x14ac:dyDescent="0.25">
      <c r="A3176" s="753">
        <v>502414</v>
      </c>
      <c r="B3176" s="130">
        <v>0</v>
      </c>
      <c r="C3176" s="131" t="s">
        <v>365</v>
      </c>
      <c r="D3176" s="131">
        <v>16</v>
      </c>
      <c r="E3176" s="131" t="s">
        <v>365</v>
      </c>
      <c r="F3176" s="767">
        <v>-242245.5</v>
      </c>
      <c r="G3176" s="767">
        <v>0</v>
      </c>
      <c r="H3176" s="767">
        <v>-242245.5</v>
      </c>
      <c r="I3176" s="768" t="s">
        <v>1850</v>
      </c>
    </row>
    <row r="3177" spans="1:9" x14ac:dyDescent="0.25">
      <c r="A3177" s="753"/>
      <c r="C3177" s="131" t="s">
        <v>365</v>
      </c>
      <c r="D3177" s="131">
        <v>16</v>
      </c>
      <c r="E3177" s="131" t="s">
        <v>1139</v>
      </c>
      <c r="F3177" s="767">
        <v>-72260.61</v>
      </c>
      <c r="G3177" s="767">
        <v>0</v>
      </c>
      <c r="H3177" s="767">
        <v>-72260.61</v>
      </c>
      <c r="I3177" s="768" t="s">
        <v>1851</v>
      </c>
    </row>
    <row r="3178" spans="1:9" x14ac:dyDescent="0.25">
      <c r="A3178" s="753">
        <v>502416</v>
      </c>
      <c r="B3178" s="130">
        <v>0</v>
      </c>
      <c r="C3178" s="131" t="s">
        <v>365</v>
      </c>
      <c r="D3178" s="131">
        <v>16</v>
      </c>
      <c r="E3178" s="131" t="s">
        <v>365</v>
      </c>
      <c r="F3178" s="767">
        <v>-242245.5</v>
      </c>
      <c r="G3178" s="767">
        <v>0</v>
      </c>
      <c r="H3178" s="767">
        <v>-242245.5</v>
      </c>
      <c r="I3178" s="768" t="s">
        <v>1850</v>
      </c>
    </row>
    <row r="3179" spans="1:9" x14ac:dyDescent="0.25">
      <c r="A3179" s="753"/>
      <c r="C3179" s="131" t="s">
        <v>365</v>
      </c>
      <c r="D3179" s="131">
        <v>16</v>
      </c>
      <c r="E3179" s="131" t="s">
        <v>1139</v>
      </c>
      <c r="F3179" s="767">
        <v>-72260.61</v>
      </c>
      <c r="G3179" s="767">
        <v>0</v>
      </c>
      <c r="H3179" s="767">
        <v>-72260.61</v>
      </c>
      <c r="I3179" s="768" t="s">
        <v>1851</v>
      </c>
    </row>
    <row r="3180" spans="1:9" x14ac:dyDescent="0.25">
      <c r="A3180" s="753"/>
      <c r="C3180" s="131" t="s">
        <v>1161</v>
      </c>
      <c r="D3180" s="131">
        <v>16</v>
      </c>
      <c r="E3180" s="131" t="s">
        <v>1161</v>
      </c>
      <c r="F3180" s="767">
        <v>225357.57</v>
      </c>
      <c r="G3180" s="767">
        <v>0</v>
      </c>
      <c r="H3180" s="767">
        <v>225357.57</v>
      </c>
      <c r="I3180" s="768" t="s">
        <v>1852</v>
      </c>
    </row>
    <row r="3181" spans="1:9" x14ac:dyDescent="0.25">
      <c r="A3181" s="753"/>
      <c r="C3181" s="131" t="s">
        <v>1161</v>
      </c>
      <c r="D3181" s="131">
        <v>16</v>
      </c>
      <c r="E3181" s="131" t="s">
        <v>1140</v>
      </c>
      <c r="F3181" s="767">
        <v>65199.61</v>
      </c>
      <c r="G3181" s="767">
        <v>0</v>
      </c>
      <c r="H3181" s="767">
        <v>65199.61</v>
      </c>
      <c r="I3181" s="768" t="s">
        <v>1853</v>
      </c>
    </row>
    <row r="3182" spans="1:9" x14ac:dyDescent="0.25">
      <c r="A3182" s="753">
        <v>502418</v>
      </c>
      <c r="B3182" s="130">
        <v>0</v>
      </c>
      <c r="E3182" s="131"/>
    </row>
    <row r="3183" spans="1:9" x14ac:dyDescent="0.25">
      <c r="A3183" s="753">
        <v>502422</v>
      </c>
      <c r="B3183" s="130">
        <v>4</v>
      </c>
      <c r="C3183" s="131" t="s">
        <v>1160</v>
      </c>
      <c r="D3183" s="131">
        <v>16</v>
      </c>
      <c r="E3183" s="131" t="s">
        <v>1160</v>
      </c>
      <c r="F3183" s="767">
        <v>-0.03</v>
      </c>
      <c r="G3183" s="767">
        <v>0</v>
      </c>
      <c r="H3183" s="767">
        <v>-0.03</v>
      </c>
      <c r="I3183" s="768" t="s">
        <v>1847</v>
      </c>
    </row>
    <row r="3184" spans="1:9" x14ac:dyDescent="0.25">
      <c r="A3184" s="753"/>
      <c r="C3184" s="131" t="s">
        <v>1160</v>
      </c>
      <c r="D3184" s="131">
        <v>16</v>
      </c>
      <c r="E3184" s="131" t="s">
        <v>1848</v>
      </c>
      <c r="F3184" s="767">
        <v>-0.01</v>
      </c>
      <c r="G3184" s="767">
        <v>0</v>
      </c>
      <c r="H3184" s="767">
        <v>-0.01</v>
      </c>
      <c r="I3184" s="768" t="s">
        <v>1849</v>
      </c>
    </row>
    <row r="3185" spans="1:9" x14ac:dyDescent="0.25">
      <c r="A3185" s="753">
        <v>502424</v>
      </c>
      <c r="B3185" s="130">
        <v>314506</v>
      </c>
      <c r="C3185" s="131" t="s">
        <v>365</v>
      </c>
      <c r="D3185" s="131">
        <v>16</v>
      </c>
      <c r="E3185" s="131" t="s">
        <v>365</v>
      </c>
      <c r="F3185" s="767">
        <v>-242245.5</v>
      </c>
      <c r="G3185" s="767">
        <v>0</v>
      </c>
      <c r="H3185" s="767">
        <v>-242245.5</v>
      </c>
      <c r="I3185" s="768" t="s">
        <v>1850</v>
      </c>
    </row>
    <row r="3186" spans="1:9" x14ac:dyDescent="0.25">
      <c r="A3186" s="753"/>
      <c r="C3186" s="131" t="s">
        <v>365</v>
      </c>
      <c r="D3186" s="131">
        <v>16</v>
      </c>
      <c r="E3186" s="131" t="s">
        <v>1139</v>
      </c>
      <c r="F3186" s="767">
        <v>-72260.61</v>
      </c>
      <c r="G3186" s="767">
        <v>0</v>
      </c>
      <c r="H3186" s="767">
        <v>-72260.61</v>
      </c>
      <c r="I3186" s="768" t="s">
        <v>1851</v>
      </c>
    </row>
    <row r="3187" spans="1:9" x14ac:dyDescent="0.25">
      <c r="A3187" s="753">
        <v>502426</v>
      </c>
      <c r="B3187" s="130">
        <v>23949</v>
      </c>
      <c r="C3187" s="131" t="s">
        <v>365</v>
      </c>
      <c r="D3187" s="131">
        <v>16</v>
      </c>
      <c r="E3187" s="131" t="s">
        <v>365</v>
      </c>
      <c r="F3187" s="767">
        <v>-242245.5</v>
      </c>
      <c r="G3187" s="767">
        <v>0</v>
      </c>
      <c r="H3187" s="767">
        <v>-242245.5</v>
      </c>
      <c r="I3187" s="768" t="s">
        <v>1850</v>
      </c>
    </row>
    <row r="3188" spans="1:9" x14ac:dyDescent="0.25">
      <c r="A3188" s="753"/>
      <c r="C3188" s="131" t="s">
        <v>365</v>
      </c>
      <c r="D3188" s="131">
        <v>16</v>
      </c>
      <c r="E3188" s="131" t="s">
        <v>1139</v>
      </c>
      <c r="F3188" s="767">
        <v>-72260.61</v>
      </c>
      <c r="G3188" s="767">
        <v>0</v>
      </c>
      <c r="H3188" s="767">
        <v>-72260.61</v>
      </c>
      <c r="I3188" s="768" t="s">
        <v>1851</v>
      </c>
    </row>
    <row r="3189" spans="1:9" x14ac:dyDescent="0.25">
      <c r="A3189" s="753"/>
      <c r="C3189" s="131" t="s">
        <v>1161</v>
      </c>
      <c r="D3189" s="131">
        <v>16</v>
      </c>
      <c r="E3189" s="131" t="s">
        <v>1161</v>
      </c>
      <c r="F3189" s="767">
        <v>225357.57</v>
      </c>
      <c r="G3189" s="767">
        <v>0</v>
      </c>
      <c r="H3189" s="767">
        <v>225357.57</v>
      </c>
      <c r="I3189" s="768" t="s">
        <v>1852</v>
      </c>
    </row>
    <row r="3190" spans="1:9" x14ac:dyDescent="0.25">
      <c r="A3190" s="753"/>
      <c r="C3190" s="131" t="s">
        <v>1161</v>
      </c>
      <c r="D3190" s="131">
        <v>16</v>
      </c>
      <c r="E3190" s="131" t="s">
        <v>1140</v>
      </c>
      <c r="F3190" s="767">
        <v>65199.61</v>
      </c>
      <c r="G3190" s="767">
        <v>0</v>
      </c>
      <c r="H3190" s="767">
        <v>65199.61</v>
      </c>
      <c r="I3190" s="768" t="s">
        <v>1853</v>
      </c>
    </row>
    <row r="3191" spans="1:9" x14ac:dyDescent="0.25">
      <c r="A3191" s="753">
        <v>502428</v>
      </c>
      <c r="B3191" s="130">
        <v>5987</v>
      </c>
      <c r="E3191" s="131"/>
    </row>
    <row r="3192" spans="1:9" x14ac:dyDescent="0.25">
      <c r="A3192" s="753">
        <v>502512</v>
      </c>
      <c r="B3192" s="130">
        <v>0</v>
      </c>
      <c r="C3192" s="131" t="s">
        <v>1162</v>
      </c>
      <c r="D3192" s="131">
        <v>16</v>
      </c>
      <c r="E3192" s="131" t="s">
        <v>1162</v>
      </c>
      <c r="F3192" s="767">
        <v>-0.01</v>
      </c>
      <c r="G3192" s="767">
        <v>0</v>
      </c>
      <c r="H3192" s="767">
        <v>-0.01</v>
      </c>
      <c r="I3192" s="768" t="s">
        <v>1854</v>
      </c>
    </row>
    <row r="3193" spans="1:9" x14ac:dyDescent="0.25">
      <c r="A3193" s="753">
        <v>502514</v>
      </c>
      <c r="B3193" s="130">
        <v>0</v>
      </c>
      <c r="C3193" s="131" t="s">
        <v>416</v>
      </c>
      <c r="D3193" s="131">
        <v>16</v>
      </c>
      <c r="E3193" s="131" t="s">
        <v>416</v>
      </c>
      <c r="F3193" s="767">
        <v>-97623.5</v>
      </c>
      <c r="G3193" s="767">
        <v>0</v>
      </c>
      <c r="H3193" s="767">
        <v>-97623.5</v>
      </c>
      <c r="I3193" s="768" t="s">
        <v>1854</v>
      </c>
    </row>
    <row r="3194" spans="1:9" x14ac:dyDescent="0.25">
      <c r="A3194" s="753">
        <v>502516</v>
      </c>
      <c r="B3194" s="130">
        <v>0</v>
      </c>
      <c r="C3194" s="131" t="s">
        <v>416</v>
      </c>
      <c r="D3194" s="131">
        <v>16</v>
      </c>
      <c r="E3194" s="131" t="s">
        <v>416</v>
      </c>
      <c r="F3194" s="767">
        <v>-97623.5</v>
      </c>
      <c r="G3194" s="767">
        <v>0</v>
      </c>
      <c r="H3194" s="767">
        <v>-97623.5</v>
      </c>
      <c r="I3194" s="768" t="s">
        <v>1854</v>
      </c>
    </row>
    <row r="3195" spans="1:9" x14ac:dyDescent="0.25">
      <c r="A3195" s="753"/>
      <c r="C3195" s="131" t="s">
        <v>1163</v>
      </c>
      <c r="D3195" s="131">
        <v>16</v>
      </c>
      <c r="E3195" s="131" t="s">
        <v>1163</v>
      </c>
      <c r="F3195" s="767">
        <v>90757.33</v>
      </c>
      <c r="G3195" s="767">
        <v>0</v>
      </c>
      <c r="H3195" s="767">
        <v>90757.33</v>
      </c>
      <c r="I3195" s="768" t="s">
        <v>1854</v>
      </c>
    </row>
    <row r="3196" spans="1:9" x14ac:dyDescent="0.25">
      <c r="A3196" s="753">
        <v>502518</v>
      </c>
      <c r="B3196" s="130">
        <v>0</v>
      </c>
      <c r="E3196" s="131"/>
    </row>
    <row r="3197" spans="1:9" x14ac:dyDescent="0.25">
      <c r="A3197" s="753">
        <v>502522</v>
      </c>
      <c r="B3197" s="130">
        <v>1</v>
      </c>
      <c r="C3197" s="131" t="s">
        <v>1162</v>
      </c>
      <c r="D3197" s="131">
        <v>16</v>
      </c>
      <c r="E3197" s="131" t="s">
        <v>1162</v>
      </c>
      <c r="F3197" s="767">
        <v>-0.01</v>
      </c>
      <c r="G3197" s="767">
        <v>0</v>
      </c>
      <c r="H3197" s="767">
        <v>-0.01</v>
      </c>
      <c r="I3197" s="768" t="s">
        <v>1854</v>
      </c>
    </row>
    <row r="3198" spans="1:9" x14ac:dyDescent="0.25">
      <c r="A3198" s="753">
        <v>502524</v>
      </c>
      <c r="B3198" s="130">
        <v>97624</v>
      </c>
      <c r="C3198" s="131" t="s">
        <v>416</v>
      </c>
      <c r="D3198" s="131">
        <v>16</v>
      </c>
      <c r="E3198" s="131" t="s">
        <v>416</v>
      </c>
      <c r="F3198" s="767">
        <v>-97623.5</v>
      </c>
      <c r="G3198" s="767">
        <v>0</v>
      </c>
      <c r="H3198" s="767">
        <v>-97623.5</v>
      </c>
      <c r="I3198" s="768" t="s">
        <v>1854</v>
      </c>
    </row>
    <row r="3199" spans="1:9" x14ac:dyDescent="0.25">
      <c r="A3199" s="753">
        <v>502526</v>
      </c>
      <c r="B3199" s="130">
        <v>6867</v>
      </c>
      <c r="C3199" s="131" t="s">
        <v>416</v>
      </c>
      <c r="D3199" s="131">
        <v>16</v>
      </c>
      <c r="E3199" s="131" t="s">
        <v>416</v>
      </c>
      <c r="F3199" s="767">
        <v>-97623.5</v>
      </c>
      <c r="G3199" s="767">
        <v>0</v>
      </c>
      <c r="H3199" s="767">
        <v>-97623.5</v>
      </c>
      <c r="I3199" s="768" t="s">
        <v>1854</v>
      </c>
    </row>
    <row r="3200" spans="1:9" x14ac:dyDescent="0.25">
      <c r="A3200" s="753"/>
      <c r="C3200" s="131" t="s">
        <v>1163</v>
      </c>
      <c r="D3200" s="131">
        <v>16</v>
      </c>
      <c r="E3200" s="131" t="s">
        <v>1163</v>
      </c>
      <c r="F3200" s="767">
        <v>90757.33</v>
      </c>
      <c r="G3200" s="767">
        <v>0</v>
      </c>
      <c r="H3200" s="767">
        <v>90757.33</v>
      </c>
      <c r="I3200" s="768" t="s">
        <v>1854</v>
      </c>
    </row>
    <row r="3201" spans="1:9" x14ac:dyDescent="0.25">
      <c r="A3201" s="753">
        <v>502528</v>
      </c>
      <c r="B3201" s="130">
        <v>6867</v>
      </c>
      <c r="E3201" s="131"/>
    </row>
    <row r="3202" spans="1:9" x14ac:dyDescent="0.25">
      <c r="A3202" s="753">
        <v>502612</v>
      </c>
      <c r="B3202" s="130">
        <v>0</v>
      </c>
      <c r="E3202" s="131"/>
    </row>
    <row r="3203" spans="1:9" x14ac:dyDescent="0.25">
      <c r="A3203" s="753">
        <v>502614</v>
      </c>
      <c r="B3203" s="130">
        <v>0</v>
      </c>
      <c r="E3203" s="131"/>
    </row>
    <row r="3204" spans="1:9" x14ac:dyDescent="0.25">
      <c r="A3204" s="753">
        <v>502616</v>
      </c>
      <c r="B3204" s="130">
        <v>0</v>
      </c>
      <c r="E3204" s="131"/>
    </row>
    <row r="3205" spans="1:9" x14ac:dyDescent="0.25">
      <c r="A3205" s="753">
        <v>502618</v>
      </c>
      <c r="B3205" s="130">
        <v>0</v>
      </c>
      <c r="E3205" s="131"/>
    </row>
    <row r="3206" spans="1:9" x14ac:dyDescent="0.25">
      <c r="A3206" s="753">
        <v>502622</v>
      </c>
      <c r="B3206" s="130">
        <v>0</v>
      </c>
      <c r="E3206" s="131"/>
    </row>
    <row r="3207" spans="1:9" x14ac:dyDescent="0.25">
      <c r="A3207" s="753">
        <v>502624</v>
      </c>
      <c r="B3207" s="130">
        <v>0</v>
      </c>
      <c r="E3207" s="131"/>
    </row>
    <row r="3208" spans="1:9" x14ac:dyDescent="0.25">
      <c r="A3208" s="753">
        <v>502626</v>
      </c>
      <c r="B3208" s="130">
        <v>0</v>
      </c>
      <c r="E3208" s="131"/>
    </row>
    <row r="3209" spans="1:9" x14ac:dyDescent="0.25">
      <c r="A3209" s="753">
        <v>502628</v>
      </c>
      <c r="B3209" s="130">
        <v>0</v>
      </c>
      <c r="E3209" s="131"/>
    </row>
    <row r="3210" spans="1:9" x14ac:dyDescent="0.25">
      <c r="A3210" s="753">
        <v>502712</v>
      </c>
      <c r="B3210" s="130">
        <v>0</v>
      </c>
      <c r="C3210" s="131" t="s">
        <v>1164</v>
      </c>
      <c r="D3210" s="131">
        <v>16</v>
      </c>
      <c r="E3210" s="131" t="s">
        <v>1164</v>
      </c>
      <c r="F3210" s="767">
        <v>-0.01</v>
      </c>
      <c r="G3210" s="767">
        <v>0</v>
      </c>
      <c r="H3210" s="767">
        <v>-0.01</v>
      </c>
      <c r="I3210" s="768" t="s">
        <v>1855</v>
      </c>
    </row>
    <row r="3211" spans="1:9" x14ac:dyDescent="0.25">
      <c r="A3211" s="753">
        <v>502714</v>
      </c>
      <c r="B3211" s="130">
        <v>0</v>
      </c>
      <c r="C3211" s="131" t="s">
        <v>256</v>
      </c>
      <c r="D3211" s="131">
        <v>16</v>
      </c>
      <c r="E3211" s="131" t="s">
        <v>256</v>
      </c>
      <c r="F3211" s="767">
        <v>-121994.74</v>
      </c>
      <c r="G3211" s="767">
        <v>0</v>
      </c>
      <c r="H3211" s="767">
        <v>-121994.74</v>
      </c>
      <c r="I3211" s="768" t="s">
        <v>1856</v>
      </c>
    </row>
    <row r="3212" spans="1:9" x14ac:dyDescent="0.25">
      <c r="A3212" s="753">
        <v>502716</v>
      </c>
      <c r="B3212" s="130">
        <v>0</v>
      </c>
      <c r="C3212" s="131" t="s">
        <v>256</v>
      </c>
      <c r="D3212" s="131">
        <v>16</v>
      </c>
      <c r="E3212" s="131" t="s">
        <v>256</v>
      </c>
      <c r="F3212" s="767">
        <v>-121994.74</v>
      </c>
      <c r="G3212" s="767">
        <v>0</v>
      </c>
      <c r="H3212" s="767">
        <v>-121994.74</v>
      </c>
      <c r="I3212" s="768" t="s">
        <v>1856</v>
      </c>
    </row>
    <row r="3213" spans="1:9" x14ac:dyDescent="0.25">
      <c r="A3213" s="753"/>
      <c r="C3213" s="131" t="s">
        <v>1165</v>
      </c>
      <c r="D3213" s="131">
        <v>16</v>
      </c>
      <c r="E3213" s="131" t="s">
        <v>1165</v>
      </c>
      <c r="F3213" s="767">
        <v>116172.84</v>
      </c>
      <c r="G3213" s="767">
        <v>0</v>
      </c>
      <c r="H3213" s="767">
        <v>116172.84</v>
      </c>
      <c r="I3213" s="768" t="s">
        <v>1857</v>
      </c>
    </row>
    <row r="3214" spans="1:9" x14ac:dyDescent="0.25">
      <c r="A3214" s="753">
        <v>502718</v>
      </c>
      <c r="B3214" s="130">
        <v>0</v>
      </c>
      <c r="E3214" s="131"/>
    </row>
    <row r="3215" spans="1:9" x14ac:dyDescent="0.25">
      <c r="A3215" s="753">
        <v>502722</v>
      </c>
      <c r="B3215" s="130">
        <v>1</v>
      </c>
      <c r="C3215" s="131" t="s">
        <v>1164</v>
      </c>
      <c r="D3215" s="131">
        <v>16</v>
      </c>
      <c r="E3215" s="131" t="s">
        <v>1164</v>
      </c>
      <c r="F3215" s="767">
        <v>-0.01</v>
      </c>
      <c r="G3215" s="767">
        <v>0</v>
      </c>
      <c r="H3215" s="767">
        <v>-0.01</v>
      </c>
      <c r="I3215" s="768" t="s">
        <v>1855</v>
      </c>
    </row>
    <row r="3216" spans="1:9" x14ac:dyDescent="0.25">
      <c r="A3216" s="753">
        <v>502724</v>
      </c>
      <c r="B3216" s="130">
        <v>121995</v>
      </c>
      <c r="C3216" s="131" t="s">
        <v>256</v>
      </c>
      <c r="D3216" s="131">
        <v>16</v>
      </c>
      <c r="E3216" s="131" t="s">
        <v>256</v>
      </c>
      <c r="F3216" s="767">
        <v>-121994.74</v>
      </c>
      <c r="G3216" s="767">
        <v>0</v>
      </c>
      <c r="H3216" s="767">
        <v>-121994.74</v>
      </c>
      <c r="I3216" s="768" t="s">
        <v>1856</v>
      </c>
    </row>
    <row r="3217" spans="1:9" x14ac:dyDescent="0.25">
      <c r="A3217" s="753">
        <v>502726</v>
      </c>
      <c r="B3217" s="130">
        <v>5822</v>
      </c>
      <c r="C3217" s="131" t="s">
        <v>256</v>
      </c>
      <c r="D3217" s="131">
        <v>16</v>
      </c>
      <c r="E3217" s="131" t="s">
        <v>256</v>
      </c>
      <c r="F3217" s="767">
        <v>-121994.74</v>
      </c>
      <c r="G3217" s="767">
        <v>0</v>
      </c>
      <c r="H3217" s="767">
        <v>-121994.74</v>
      </c>
      <c r="I3217" s="768" t="s">
        <v>1856</v>
      </c>
    </row>
    <row r="3218" spans="1:9" x14ac:dyDescent="0.25">
      <c r="A3218" s="753"/>
      <c r="C3218" s="131" t="s">
        <v>1165</v>
      </c>
      <c r="D3218" s="131">
        <v>16</v>
      </c>
      <c r="E3218" s="131" t="s">
        <v>1165</v>
      </c>
      <c r="F3218" s="767">
        <v>116172.84</v>
      </c>
      <c r="G3218" s="767">
        <v>0</v>
      </c>
      <c r="H3218" s="767">
        <v>116172.84</v>
      </c>
      <c r="I3218" s="768" t="s">
        <v>1857</v>
      </c>
    </row>
    <row r="3219" spans="1:9" x14ac:dyDescent="0.25">
      <c r="A3219" s="753">
        <v>502728</v>
      </c>
      <c r="B3219" s="130">
        <v>5822</v>
      </c>
      <c r="E3219" s="131"/>
    </row>
    <row r="3220" spans="1:9" x14ac:dyDescent="0.25">
      <c r="A3220" s="753">
        <v>502812</v>
      </c>
      <c r="B3220" s="130">
        <v>0</v>
      </c>
      <c r="C3220" s="131" t="s">
        <v>1154</v>
      </c>
      <c r="D3220" s="131">
        <v>16</v>
      </c>
      <c r="E3220" s="131" t="s">
        <v>1154</v>
      </c>
      <c r="F3220" s="767">
        <v>-0.01</v>
      </c>
      <c r="G3220" s="767">
        <v>0</v>
      </c>
      <c r="H3220" s="767">
        <v>-0.01</v>
      </c>
      <c r="I3220" s="768" t="s">
        <v>1858</v>
      </c>
    </row>
    <row r="3221" spans="1:9" x14ac:dyDescent="0.25">
      <c r="A3221" s="753">
        <v>502814</v>
      </c>
      <c r="B3221" s="130">
        <v>0</v>
      </c>
      <c r="C3221" s="131" t="s">
        <v>366</v>
      </c>
      <c r="D3221" s="131">
        <v>16</v>
      </c>
      <c r="E3221" s="131" t="s">
        <v>366</v>
      </c>
      <c r="F3221" s="767">
        <v>-133336.91</v>
      </c>
      <c r="G3221" s="767">
        <v>0</v>
      </c>
      <c r="H3221" s="767">
        <v>-133336.91</v>
      </c>
      <c r="I3221" s="768" t="s">
        <v>1859</v>
      </c>
    </row>
    <row r="3222" spans="1:9" x14ac:dyDescent="0.25">
      <c r="A3222" s="753">
        <v>502816</v>
      </c>
      <c r="B3222" s="130">
        <v>0</v>
      </c>
      <c r="C3222" s="131" t="s">
        <v>366</v>
      </c>
      <c r="D3222" s="131">
        <v>16</v>
      </c>
      <c r="E3222" s="131" t="s">
        <v>366</v>
      </c>
      <c r="F3222" s="767">
        <v>-133336.91</v>
      </c>
      <c r="G3222" s="767">
        <v>0</v>
      </c>
      <c r="H3222" s="767">
        <v>-133336.91</v>
      </c>
      <c r="I3222" s="768" t="s">
        <v>1859</v>
      </c>
    </row>
    <row r="3223" spans="1:9" x14ac:dyDescent="0.25">
      <c r="A3223" s="753"/>
      <c r="C3223" s="131" t="s">
        <v>1155</v>
      </c>
      <c r="D3223" s="131">
        <v>16</v>
      </c>
      <c r="E3223" s="131" t="s">
        <v>1155</v>
      </c>
      <c r="F3223" s="767">
        <v>124643.41</v>
      </c>
      <c r="G3223" s="767">
        <v>0</v>
      </c>
      <c r="H3223" s="767">
        <v>124643.41</v>
      </c>
      <c r="I3223" s="768" t="s">
        <v>1860</v>
      </c>
    </row>
    <row r="3224" spans="1:9" x14ac:dyDescent="0.25">
      <c r="A3224" s="753">
        <v>502818</v>
      </c>
      <c r="B3224" s="130">
        <v>0</v>
      </c>
      <c r="E3224" s="131"/>
    </row>
    <row r="3225" spans="1:9" x14ac:dyDescent="0.25">
      <c r="A3225" s="753">
        <v>502822</v>
      </c>
      <c r="B3225" s="130">
        <v>1</v>
      </c>
      <c r="C3225" s="131" t="s">
        <v>1154</v>
      </c>
      <c r="D3225" s="131">
        <v>16</v>
      </c>
      <c r="E3225" s="131" t="s">
        <v>1154</v>
      </c>
      <c r="F3225" s="767">
        <v>-0.01</v>
      </c>
      <c r="G3225" s="767">
        <v>0</v>
      </c>
      <c r="H3225" s="767">
        <v>-0.01</v>
      </c>
      <c r="I3225" s="768" t="s">
        <v>1858</v>
      </c>
    </row>
    <row r="3226" spans="1:9" x14ac:dyDescent="0.25">
      <c r="A3226" s="753">
        <v>502824</v>
      </c>
      <c r="B3226" s="130">
        <v>133337</v>
      </c>
      <c r="C3226" s="131" t="s">
        <v>366</v>
      </c>
      <c r="D3226" s="131">
        <v>16</v>
      </c>
      <c r="E3226" s="131" t="s">
        <v>366</v>
      </c>
      <c r="F3226" s="767">
        <v>-133336.91</v>
      </c>
      <c r="G3226" s="767">
        <v>0</v>
      </c>
      <c r="H3226" s="767">
        <v>-133336.91</v>
      </c>
      <c r="I3226" s="768" t="s">
        <v>1859</v>
      </c>
    </row>
    <row r="3227" spans="1:9" x14ac:dyDescent="0.25">
      <c r="A3227" s="753">
        <v>502826</v>
      </c>
      <c r="B3227" s="130">
        <v>8694</v>
      </c>
      <c r="C3227" s="131" t="s">
        <v>366</v>
      </c>
      <c r="D3227" s="131">
        <v>16</v>
      </c>
      <c r="E3227" s="131" t="s">
        <v>366</v>
      </c>
      <c r="F3227" s="767">
        <v>-133336.91</v>
      </c>
      <c r="G3227" s="767">
        <v>0</v>
      </c>
      <c r="H3227" s="767">
        <v>-133336.91</v>
      </c>
      <c r="I3227" s="768" t="s">
        <v>1859</v>
      </c>
    </row>
    <row r="3228" spans="1:9" x14ac:dyDescent="0.25">
      <c r="A3228" s="753"/>
      <c r="C3228" s="131" t="s">
        <v>1155</v>
      </c>
      <c r="D3228" s="131">
        <v>16</v>
      </c>
      <c r="E3228" s="131" t="s">
        <v>1155</v>
      </c>
      <c r="F3228" s="767">
        <v>124643.41</v>
      </c>
      <c r="G3228" s="767">
        <v>0</v>
      </c>
      <c r="H3228" s="767">
        <v>124643.41</v>
      </c>
      <c r="I3228" s="768" t="s">
        <v>1860</v>
      </c>
    </row>
    <row r="3229" spans="1:9" x14ac:dyDescent="0.25">
      <c r="A3229" s="753">
        <v>502828</v>
      </c>
      <c r="B3229" s="130">
        <v>8694</v>
      </c>
      <c r="E3229" s="131"/>
    </row>
    <row r="3230" spans="1:9" x14ac:dyDescent="0.25">
      <c r="A3230" s="753">
        <v>502912</v>
      </c>
      <c r="B3230" s="130">
        <v>0</v>
      </c>
      <c r="E3230" s="131"/>
    </row>
    <row r="3231" spans="1:9" x14ac:dyDescent="0.25">
      <c r="A3231" s="753">
        <v>502914</v>
      </c>
      <c r="B3231" s="130">
        <v>0</v>
      </c>
      <c r="E3231" s="131"/>
    </row>
    <row r="3232" spans="1:9" x14ac:dyDescent="0.25">
      <c r="A3232" s="753">
        <v>502916</v>
      </c>
      <c r="B3232" s="130">
        <v>0</v>
      </c>
      <c r="E3232" s="131"/>
    </row>
    <row r="3233" spans="1:9" x14ac:dyDescent="0.25">
      <c r="A3233" s="753">
        <v>502918</v>
      </c>
      <c r="B3233" s="130">
        <v>0</v>
      </c>
      <c r="E3233" s="131"/>
    </row>
    <row r="3234" spans="1:9" x14ac:dyDescent="0.25">
      <c r="A3234" s="753">
        <v>502922</v>
      </c>
      <c r="B3234" s="130">
        <v>0</v>
      </c>
      <c r="E3234" s="131"/>
    </row>
    <row r="3235" spans="1:9" x14ac:dyDescent="0.25">
      <c r="A3235" s="753">
        <v>502924</v>
      </c>
      <c r="B3235" s="130">
        <v>0</v>
      </c>
      <c r="E3235" s="131"/>
    </row>
    <row r="3236" spans="1:9" x14ac:dyDescent="0.25">
      <c r="A3236" s="753">
        <v>502926</v>
      </c>
      <c r="B3236" s="130">
        <v>0</v>
      </c>
      <c r="E3236" s="131"/>
    </row>
    <row r="3237" spans="1:9" x14ac:dyDescent="0.25">
      <c r="A3237" s="753">
        <v>502928</v>
      </c>
      <c r="B3237" s="130">
        <v>0</v>
      </c>
      <c r="E3237" s="131"/>
    </row>
    <row r="3238" spans="1:9" x14ac:dyDescent="0.25">
      <c r="A3238" s="753">
        <v>503012</v>
      </c>
      <c r="B3238" s="130">
        <v>6</v>
      </c>
      <c r="E3238" s="131"/>
    </row>
    <row r="3239" spans="1:9" x14ac:dyDescent="0.25">
      <c r="A3239" s="753">
        <v>503014</v>
      </c>
      <c r="B3239" s="130">
        <v>462971</v>
      </c>
      <c r="E3239" s="131"/>
    </row>
    <row r="3240" spans="1:9" x14ac:dyDescent="0.25">
      <c r="A3240" s="753">
        <v>503016</v>
      </c>
      <c r="B3240" s="130">
        <v>37285</v>
      </c>
      <c r="C3240" s="131" t="s">
        <v>0</v>
      </c>
      <c r="D3240" s="131">
        <v>16</v>
      </c>
      <c r="E3240" s="131" t="s">
        <v>0</v>
      </c>
      <c r="F3240" s="767">
        <v>-90273.5</v>
      </c>
      <c r="G3240" s="767">
        <v>0</v>
      </c>
      <c r="H3240" s="767">
        <v>-90273.5</v>
      </c>
      <c r="I3240" s="768" t="s">
        <v>1839</v>
      </c>
    </row>
    <row r="3241" spans="1:9" x14ac:dyDescent="0.25">
      <c r="A3241" s="753"/>
      <c r="C3241" s="131" t="s">
        <v>1117</v>
      </c>
      <c r="D3241" s="131">
        <v>16</v>
      </c>
      <c r="E3241" s="131" t="s">
        <v>1117</v>
      </c>
      <c r="F3241" s="767">
        <v>82763.5</v>
      </c>
      <c r="G3241" s="767">
        <v>0</v>
      </c>
      <c r="H3241" s="767">
        <v>82763.5</v>
      </c>
      <c r="I3241" s="768" t="s">
        <v>1840</v>
      </c>
    </row>
    <row r="3242" spans="1:9" x14ac:dyDescent="0.25">
      <c r="A3242" s="753"/>
      <c r="C3242" s="131" t="s">
        <v>388</v>
      </c>
      <c r="D3242" s="131">
        <v>16</v>
      </c>
      <c r="E3242" s="131" t="s">
        <v>388</v>
      </c>
      <c r="F3242" s="767">
        <v>-488096.67</v>
      </c>
      <c r="G3242" s="767">
        <v>-138273.37</v>
      </c>
      <c r="H3242" s="767">
        <v>-626370.04</v>
      </c>
      <c r="I3242" s="768" t="s">
        <v>1842</v>
      </c>
    </row>
    <row r="3243" spans="1:9" x14ac:dyDescent="0.25">
      <c r="A3243" s="753"/>
      <c r="C3243" s="131" t="s">
        <v>1157</v>
      </c>
      <c r="D3243" s="131">
        <v>16</v>
      </c>
      <c r="E3243" s="131" t="s">
        <v>1157</v>
      </c>
      <c r="F3243" s="767">
        <v>453839.9</v>
      </c>
      <c r="G3243" s="767">
        <v>126082.57</v>
      </c>
      <c r="H3243" s="767">
        <v>579922.47</v>
      </c>
      <c r="I3243" s="768" t="s">
        <v>1843</v>
      </c>
    </row>
    <row r="3244" spans="1:9" x14ac:dyDescent="0.25">
      <c r="A3244" s="753"/>
      <c r="C3244" s="131" t="s">
        <v>372</v>
      </c>
      <c r="D3244" s="131">
        <v>16</v>
      </c>
      <c r="E3244" s="131" t="s">
        <v>372</v>
      </c>
      <c r="F3244" s="767">
        <v>-1072320</v>
      </c>
      <c r="G3244" s="767">
        <v>-324698.42</v>
      </c>
      <c r="H3244" s="767">
        <v>-1397018.42</v>
      </c>
      <c r="I3244" s="768" t="s">
        <v>1845</v>
      </c>
    </row>
    <row r="3245" spans="1:9" x14ac:dyDescent="0.25">
      <c r="A3245" s="753"/>
      <c r="C3245" s="131" t="s">
        <v>1159</v>
      </c>
      <c r="D3245" s="131">
        <v>16</v>
      </c>
      <c r="E3245" s="131" t="s">
        <v>1159</v>
      </c>
      <c r="F3245" s="767">
        <v>1004366.9</v>
      </c>
      <c r="G3245" s="767">
        <v>299603.12</v>
      </c>
      <c r="H3245" s="767">
        <v>1303970.02</v>
      </c>
      <c r="I3245" s="768" t="s">
        <v>1846</v>
      </c>
    </row>
    <row r="3246" spans="1:9" x14ac:dyDescent="0.25">
      <c r="A3246" s="753"/>
      <c r="C3246" s="131" t="s">
        <v>389</v>
      </c>
      <c r="D3246" s="131">
        <v>16</v>
      </c>
      <c r="E3246" s="131" t="s">
        <v>389</v>
      </c>
      <c r="F3246" s="767">
        <v>-160941.5</v>
      </c>
      <c r="G3246" s="767">
        <v>0</v>
      </c>
      <c r="H3246" s="767">
        <v>-160941.5</v>
      </c>
      <c r="I3246" s="768" t="s">
        <v>2296</v>
      </c>
    </row>
    <row r="3247" spans="1:9" x14ac:dyDescent="0.25">
      <c r="A3247" s="753"/>
      <c r="C3247" s="131" t="s">
        <v>2297</v>
      </c>
      <c r="D3247" s="131">
        <v>16</v>
      </c>
      <c r="E3247" s="131" t="s">
        <v>2297</v>
      </c>
      <c r="F3247" s="767">
        <v>156088.57999999999</v>
      </c>
      <c r="G3247" s="767">
        <v>0</v>
      </c>
      <c r="H3247" s="767">
        <v>156088.57999999999</v>
      </c>
      <c r="I3247" s="768" t="s">
        <v>2298</v>
      </c>
    </row>
    <row r="3248" spans="1:9" x14ac:dyDescent="0.25">
      <c r="A3248" s="753"/>
      <c r="C3248" s="131" t="s">
        <v>373</v>
      </c>
      <c r="D3248" s="131">
        <v>16</v>
      </c>
      <c r="E3248" s="131" t="s">
        <v>373</v>
      </c>
      <c r="F3248" s="767">
        <v>-345515.77</v>
      </c>
      <c r="G3248" s="767">
        <v>0</v>
      </c>
      <c r="H3248" s="767">
        <v>-345515.77</v>
      </c>
      <c r="I3248" s="768" t="s">
        <v>2301</v>
      </c>
    </row>
    <row r="3249" spans="1:9" x14ac:dyDescent="0.25">
      <c r="A3249" s="753"/>
      <c r="C3249" s="131" t="s">
        <v>2302</v>
      </c>
      <c r="D3249" s="131">
        <v>16</v>
      </c>
      <c r="E3249" s="131" t="s">
        <v>2302</v>
      </c>
      <c r="F3249" s="767">
        <v>339379.44</v>
      </c>
      <c r="G3249" s="767">
        <v>0</v>
      </c>
      <c r="H3249" s="767">
        <v>339379.44</v>
      </c>
      <c r="I3249" s="768" t="s">
        <v>2303</v>
      </c>
    </row>
    <row r="3250" spans="1:9" x14ac:dyDescent="0.25">
      <c r="A3250" s="753"/>
      <c r="C3250" s="131" t="s">
        <v>365</v>
      </c>
      <c r="D3250" s="131">
        <v>16</v>
      </c>
      <c r="E3250" s="131" t="s">
        <v>365</v>
      </c>
      <c r="F3250" s="767">
        <v>-242245.5</v>
      </c>
      <c r="G3250" s="767">
        <v>0</v>
      </c>
      <c r="H3250" s="767">
        <v>-242245.5</v>
      </c>
      <c r="I3250" s="768" t="s">
        <v>1850</v>
      </c>
    </row>
    <row r="3251" spans="1:9" x14ac:dyDescent="0.25">
      <c r="A3251" s="753"/>
      <c r="C3251" s="131" t="s">
        <v>365</v>
      </c>
      <c r="D3251" s="131">
        <v>16</v>
      </c>
      <c r="E3251" s="131" t="s">
        <v>1139</v>
      </c>
      <c r="F3251" s="767">
        <v>-72260.61</v>
      </c>
      <c r="G3251" s="767">
        <v>0</v>
      </c>
      <c r="H3251" s="767">
        <v>-72260.61</v>
      </c>
      <c r="I3251" s="768" t="s">
        <v>1851</v>
      </c>
    </row>
    <row r="3252" spans="1:9" x14ac:dyDescent="0.25">
      <c r="A3252" s="753"/>
      <c r="C3252" s="131" t="s">
        <v>1161</v>
      </c>
      <c r="D3252" s="131">
        <v>16</v>
      </c>
      <c r="E3252" s="131" t="s">
        <v>1161</v>
      </c>
      <c r="F3252" s="767">
        <v>225357.57</v>
      </c>
      <c r="G3252" s="767">
        <v>0</v>
      </c>
      <c r="H3252" s="767">
        <v>225357.57</v>
      </c>
      <c r="I3252" s="768" t="s">
        <v>1852</v>
      </c>
    </row>
    <row r="3253" spans="1:9" x14ac:dyDescent="0.25">
      <c r="A3253" s="753"/>
      <c r="C3253" s="131" t="s">
        <v>1161</v>
      </c>
      <c r="D3253" s="131">
        <v>16</v>
      </c>
      <c r="E3253" s="131" t="s">
        <v>1140</v>
      </c>
      <c r="F3253" s="767">
        <v>65199.61</v>
      </c>
      <c r="G3253" s="767">
        <v>0</v>
      </c>
      <c r="H3253" s="767">
        <v>65199.61</v>
      </c>
      <c r="I3253" s="768" t="s">
        <v>1853</v>
      </c>
    </row>
    <row r="3254" spans="1:9" x14ac:dyDescent="0.25">
      <c r="A3254" s="753"/>
      <c r="C3254" s="131" t="s">
        <v>416</v>
      </c>
      <c r="D3254" s="131">
        <v>16</v>
      </c>
      <c r="E3254" s="131" t="s">
        <v>416</v>
      </c>
      <c r="F3254" s="767">
        <v>-97623.5</v>
      </c>
      <c r="G3254" s="767">
        <v>0</v>
      </c>
      <c r="H3254" s="767">
        <v>-97623.5</v>
      </c>
      <c r="I3254" s="768" t="s">
        <v>1854</v>
      </c>
    </row>
    <row r="3255" spans="1:9" x14ac:dyDescent="0.25">
      <c r="A3255" s="753"/>
      <c r="C3255" s="131" t="s">
        <v>1163</v>
      </c>
      <c r="D3255" s="131">
        <v>16</v>
      </c>
      <c r="E3255" s="131" t="s">
        <v>1163</v>
      </c>
      <c r="F3255" s="767">
        <v>90757.33</v>
      </c>
      <c r="G3255" s="767">
        <v>0</v>
      </c>
      <c r="H3255" s="767">
        <v>90757.33</v>
      </c>
      <c r="I3255" s="768" t="s">
        <v>1854</v>
      </c>
    </row>
    <row r="3256" spans="1:9" x14ac:dyDescent="0.25">
      <c r="A3256" s="753"/>
      <c r="C3256" s="131" t="s">
        <v>256</v>
      </c>
      <c r="D3256" s="131">
        <v>16</v>
      </c>
      <c r="E3256" s="131" t="s">
        <v>256</v>
      </c>
      <c r="F3256" s="767">
        <v>-121994.74</v>
      </c>
      <c r="G3256" s="767">
        <v>0</v>
      </c>
      <c r="H3256" s="767">
        <v>-121994.74</v>
      </c>
      <c r="I3256" s="768" t="s">
        <v>1856</v>
      </c>
    </row>
    <row r="3257" spans="1:9" x14ac:dyDescent="0.25">
      <c r="A3257" s="753"/>
      <c r="C3257" s="131" t="s">
        <v>1165</v>
      </c>
      <c r="D3257" s="131">
        <v>16</v>
      </c>
      <c r="E3257" s="131" t="s">
        <v>1165</v>
      </c>
      <c r="F3257" s="767">
        <v>116172.84</v>
      </c>
      <c r="G3257" s="767">
        <v>0</v>
      </c>
      <c r="H3257" s="767">
        <v>116172.84</v>
      </c>
      <c r="I3257" s="768" t="s">
        <v>1857</v>
      </c>
    </row>
    <row r="3258" spans="1:9" x14ac:dyDescent="0.25">
      <c r="A3258" s="753"/>
      <c r="C3258" s="131" t="s">
        <v>366</v>
      </c>
      <c r="D3258" s="131">
        <v>16</v>
      </c>
      <c r="E3258" s="131" t="s">
        <v>366</v>
      </c>
      <c r="F3258" s="767">
        <v>-133336.91</v>
      </c>
      <c r="G3258" s="767">
        <v>0</v>
      </c>
      <c r="H3258" s="767">
        <v>-133336.91</v>
      </c>
      <c r="I3258" s="768" t="s">
        <v>1859</v>
      </c>
    </row>
    <row r="3259" spans="1:9" x14ac:dyDescent="0.25">
      <c r="A3259" s="753"/>
      <c r="C3259" s="131" t="s">
        <v>1155</v>
      </c>
      <c r="D3259" s="131">
        <v>16</v>
      </c>
      <c r="E3259" s="131" t="s">
        <v>1155</v>
      </c>
      <c r="F3259" s="767">
        <v>124643.41</v>
      </c>
      <c r="G3259" s="767">
        <v>0</v>
      </c>
      <c r="H3259" s="767">
        <v>124643.41</v>
      </c>
      <c r="I3259" s="768" t="s">
        <v>1860</v>
      </c>
    </row>
    <row r="3260" spans="1:9" x14ac:dyDescent="0.25">
      <c r="A3260" s="753">
        <v>503018</v>
      </c>
      <c r="B3260" s="130">
        <v>6214</v>
      </c>
      <c r="E3260" s="131"/>
    </row>
    <row r="3261" spans="1:9" x14ac:dyDescent="0.25">
      <c r="A3261" s="753">
        <v>503022</v>
      </c>
      <c r="B3261" s="130">
        <v>40</v>
      </c>
      <c r="E3261" s="131"/>
    </row>
    <row r="3262" spans="1:9" x14ac:dyDescent="0.25">
      <c r="A3262" s="753">
        <v>503024</v>
      </c>
      <c r="B3262" s="130">
        <v>3287582</v>
      </c>
      <c r="E3262" s="131"/>
    </row>
    <row r="3263" spans="1:9" x14ac:dyDescent="0.25">
      <c r="A3263" s="753">
        <v>503026</v>
      </c>
      <c r="B3263" s="130">
        <v>203328</v>
      </c>
      <c r="C3263" s="131" t="s">
        <v>0</v>
      </c>
      <c r="D3263" s="131">
        <v>16</v>
      </c>
      <c r="E3263" s="131" t="s">
        <v>0</v>
      </c>
      <c r="F3263" s="767">
        <v>-90273.5</v>
      </c>
      <c r="G3263" s="767">
        <v>0</v>
      </c>
      <c r="H3263" s="767">
        <v>-90273.5</v>
      </c>
      <c r="I3263" s="768" t="s">
        <v>1839</v>
      </c>
    </row>
    <row r="3264" spans="1:9" x14ac:dyDescent="0.25">
      <c r="A3264" s="753"/>
      <c r="C3264" s="131" t="s">
        <v>1117</v>
      </c>
      <c r="D3264" s="131">
        <v>16</v>
      </c>
      <c r="E3264" s="131" t="s">
        <v>1117</v>
      </c>
      <c r="F3264" s="767">
        <v>82763.5</v>
      </c>
      <c r="G3264" s="767">
        <v>0</v>
      </c>
      <c r="H3264" s="767">
        <v>82763.5</v>
      </c>
      <c r="I3264" s="768" t="s">
        <v>1840</v>
      </c>
    </row>
    <row r="3265" spans="1:9" x14ac:dyDescent="0.25">
      <c r="A3265" s="753"/>
      <c r="C3265" s="131" t="s">
        <v>388</v>
      </c>
      <c r="D3265" s="131">
        <v>16</v>
      </c>
      <c r="E3265" s="131" t="s">
        <v>388</v>
      </c>
      <c r="F3265" s="767">
        <v>-488096.67</v>
      </c>
      <c r="G3265" s="767">
        <v>-138273.37</v>
      </c>
      <c r="H3265" s="767">
        <v>-626370.04</v>
      </c>
      <c r="I3265" s="768" t="s">
        <v>1842</v>
      </c>
    </row>
    <row r="3266" spans="1:9" x14ac:dyDescent="0.25">
      <c r="A3266" s="753"/>
      <c r="C3266" s="131" t="s">
        <v>1157</v>
      </c>
      <c r="D3266" s="131">
        <v>16</v>
      </c>
      <c r="E3266" s="131" t="s">
        <v>1157</v>
      </c>
      <c r="F3266" s="767">
        <v>453839.9</v>
      </c>
      <c r="G3266" s="767">
        <v>126082.57</v>
      </c>
      <c r="H3266" s="767">
        <v>579922.47</v>
      </c>
      <c r="I3266" s="768" t="s">
        <v>1843</v>
      </c>
    </row>
    <row r="3267" spans="1:9" x14ac:dyDescent="0.25">
      <c r="A3267" s="753"/>
      <c r="C3267" s="131" t="s">
        <v>372</v>
      </c>
      <c r="D3267" s="131">
        <v>16</v>
      </c>
      <c r="E3267" s="131" t="s">
        <v>372</v>
      </c>
      <c r="F3267" s="767">
        <v>-1072320</v>
      </c>
      <c r="G3267" s="767">
        <v>-324698.42</v>
      </c>
      <c r="H3267" s="767">
        <v>-1397018.42</v>
      </c>
      <c r="I3267" s="768" t="s">
        <v>1845</v>
      </c>
    </row>
    <row r="3268" spans="1:9" x14ac:dyDescent="0.25">
      <c r="A3268" s="753"/>
      <c r="C3268" s="131" t="s">
        <v>1159</v>
      </c>
      <c r="D3268" s="131">
        <v>16</v>
      </c>
      <c r="E3268" s="131" t="s">
        <v>1159</v>
      </c>
      <c r="F3268" s="767">
        <v>1004366.9</v>
      </c>
      <c r="G3268" s="767">
        <v>299603.12</v>
      </c>
      <c r="H3268" s="767">
        <v>1303970.02</v>
      </c>
      <c r="I3268" s="768" t="s">
        <v>1846</v>
      </c>
    </row>
    <row r="3269" spans="1:9" x14ac:dyDescent="0.25">
      <c r="A3269" s="753"/>
      <c r="C3269" s="131" t="s">
        <v>389</v>
      </c>
      <c r="D3269" s="131">
        <v>16</v>
      </c>
      <c r="E3269" s="131" t="s">
        <v>389</v>
      </c>
      <c r="F3269" s="767">
        <v>-160941.5</v>
      </c>
      <c r="G3269" s="767">
        <v>0</v>
      </c>
      <c r="H3269" s="767">
        <v>-160941.5</v>
      </c>
      <c r="I3269" s="768" t="s">
        <v>2296</v>
      </c>
    </row>
    <row r="3270" spans="1:9" x14ac:dyDescent="0.25">
      <c r="A3270" s="753"/>
      <c r="C3270" s="131" t="s">
        <v>2297</v>
      </c>
      <c r="D3270" s="131">
        <v>16</v>
      </c>
      <c r="E3270" s="131" t="s">
        <v>2297</v>
      </c>
      <c r="F3270" s="767">
        <v>156088.57999999999</v>
      </c>
      <c r="G3270" s="767">
        <v>0</v>
      </c>
      <c r="H3270" s="767">
        <v>156088.57999999999</v>
      </c>
      <c r="I3270" s="768" t="s">
        <v>2298</v>
      </c>
    </row>
    <row r="3271" spans="1:9" x14ac:dyDescent="0.25">
      <c r="A3271" s="753"/>
      <c r="C3271" s="131" t="s">
        <v>373</v>
      </c>
      <c r="D3271" s="131">
        <v>16</v>
      </c>
      <c r="E3271" s="131" t="s">
        <v>373</v>
      </c>
      <c r="F3271" s="767">
        <v>-345515.77</v>
      </c>
      <c r="G3271" s="767">
        <v>0</v>
      </c>
      <c r="H3271" s="767">
        <v>-345515.77</v>
      </c>
      <c r="I3271" s="768" t="s">
        <v>2301</v>
      </c>
    </row>
    <row r="3272" spans="1:9" x14ac:dyDescent="0.25">
      <c r="A3272" s="753"/>
      <c r="C3272" s="131" t="s">
        <v>2302</v>
      </c>
      <c r="D3272" s="131">
        <v>16</v>
      </c>
      <c r="E3272" s="131" t="s">
        <v>2302</v>
      </c>
      <c r="F3272" s="767">
        <v>339379.44</v>
      </c>
      <c r="G3272" s="767">
        <v>0</v>
      </c>
      <c r="H3272" s="767">
        <v>339379.44</v>
      </c>
      <c r="I3272" s="768" t="s">
        <v>2303</v>
      </c>
    </row>
    <row r="3273" spans="1:9" x14ac:dyDescent="0.25">
      <c r="A3273" s="753"/>
      <c r="C3273" s="131" t="s">
        <v>365</v>
      </c>
      <c r="D3273" s="131">
        <v>16</v>
      </c>
      <c r="E3273" s="131" t="s">
        <v>365</v>
      </c>
      <c r="F3273" s="767">
        <v>-242245.5</v>
      </c>
      <c r="G3273" s="767">
        <v>0</v>
      </c>
      <c r="H3273" s="767">
        <v>-242245.5</v>
      </c>
      <c r="I3273" s="768" t="s">
        <v>1850</v>
      </c>
    </row>
    <row r="3274" spans="1:9" x14ac:dyDescent="0.25">
      <c r="A3274" s="753"/>
      <c r="C3274" s="131" t="s">
        <v>365</v>
      </c>
      <c r="D3274" s="131">
        <v>16</v>
      </c>
      <c r="E3274" s="131" t="s">
        <v>1139</v>
      </c>
      <c r="F3274" s="767">
        <v>-72260.61</v>
      </c>
      <c r="G3274" s="767">
        <v>0</v>
      </c>
      <c r="H3274" s="767">
        <v>-72260.61</v>
      </c>
      <c r="I3274" s="768" t="s">
        <v>1851</v>
      </c>
    </row>
    <row r="3275" spans="1:9" x14ac:dyDescent="0.25">
      <c r="A3275" s="753"/>
      <c r="C3275" s="131" t="s">
        <v>1161</v>
      </c>
      <c r="D3275" s="131">
        <v>16</v>
      </c>
      <c r="E3275" s="131" t="s">
        <v>1161</v>
      </c>
      <c r="F3275" s="767">
        <v>225357.57</v>
      </c>
      <c r="G3275" s="767">
        <v>0</v>
      </c>
      <c r="H3275" s="767">
        <v>225357.57</v>
      </c>
      <c r="I3275" s="768" t="s">
        <v>1852</v>
      </c>
    </row>
    <row r="3276" spans="1:9" x14ac:dyDescent="0.25">
      <c r="A3276" s="753"/>
      <c r="C3276" s="131" t="s">
        <v>1161</v>
      </c>
      <c r="D3276" s="131">
        <v>16</v>
      </c>
      <c r="E3276" s="131" t="s">
        <v>1140</v>
      </c>
      <c r="F3276" s="767">
        <v>65199.61</v>
      </c>
      <c r="G3276" s="767">
        <v>0</v>
      </c>
      <c r="H3276" s="767">
        <v>65199.61</v>
      </c>
      <c r="I3276" s="768" t="s">
        <v>1853</v>
      </c>
    </row>
    <row r="3277" spans="1:9" x14ac:dyDescent="0.25">
      <c r="A3277" s="753"/>
      <c r="C3277" s="131" t="s">
        <v>416</v>
      </c>
      <c r="D3277" s="131">
        <v>16</v>
      </c>
      <c r="E3277" s="131" t="s">
        <v>416</v>
      </c>
      <c r="F3277" s="767">
        <v>-97623.5</v>
      </c>
      <c r="G3277" s="767">
        <v>0</v>
      </c>
      <c r="H3277" s="767">
        <v>-97623.5</v>
      </c>
      <c r="I3277" s="768" t="s">
        <v>1854</v>
      </c>
    </row>
    <row r="3278" spans="1:9" x14ac:dyDescent="0.25">
      <c r="A3278" s="753"/>
      <c r="C3278" s="131" t="s">
        <v>1163</v>
      </c>
      <c r="D3278" s="131">
        <v>16</v>
      </c>
      <c r="E3278" s="131" t="s">
        <v>1163</v>
      </c>
      <c r="F3278" s="767">
        <v>90757.33</v>
      </c>
      <c r="G3278" s="767">
        <v>0</v>
      </c>
      <c r="H3278" s="767">
        <v>90757.33</v>
      </c>
      <c r="I3278" s="768" t="s">
        <v>1854</v>
      </c>
    </row>
    <row r="3279" spans="1:9" x14ac:dyDescent="0.25">
      <c r="A3279" s="753"/>
      <c r="C3279" s="131" t="s">
        <v>256</v>
      </c>
      <c r="D3279" s="131">
        <v>16</v>
      </c>
      <c r="E3279" s="131" t="s">
        <v>256</v>
      </c>
      <c r="F3279" s="767">
        <v>-121994.74</v>
      </c>
      <c r="G3279" s="767">
        <v>0</v>
      </c>
      <c r="H3279" s="767">
        <v>-121994.74</v>
      </c>
      <c r="I3279" s="768" t="s">
        <v>1856</v>
      </c>
    </row>
    <row r="3280" spans="1:9" x14ac:dyDescent="0.25">
      <c r="A3280" s="753"/>
      <c r="C3280" s="131" t="s">
        <v>1165</v>
      </c>
      <c r="D3280" s="131">
        <v>16</v>
      </c>
      <c r="E3280" s="131" t="s">
        <v>1165</v>
      </c>
      <c r="F3280" s="767">
        <v>116172.84</v>
      </c>
      <c r="G3280" s="767">
        <v>0</v>
      </c>
      <c r="H3280" s="767">
        <v>116172.84</v>
      </c>
      <c r="I3280" s="768" t="s">
        <v>1857</v>
      </c>
    </row>
    <row r="3281" spans="1:9" x14ac:dyDescent="0.25">
      <c r="A3281" s="753"/>
      <c r="C3281" s="131" t="s">
        <v>366</v>
      </c>
      <c r="D3281" s="131">
        <v>16</v>
      </c>
      <c r="E3281" s="131" t="s">
        <v>366</v>
      </c>
      <c r="F3281" s="767">
        <v>-133336.91</v>
      </c>
      <c r="G3281" s="767">
        <v>0</v>
      </c>
      <c r="H3281" s="767">
        <v>-133336.91</v>
      </c>
      <c r="I3281" s="768" t="s">
        <v>1859</v>
      </c>
    </row>
    <row r="3282" spans="1:9" x14ac:dyDescent="0.25">
      <c r="A3282" s="753"/>
      <c r="C3282" s="131" t="s">
        <v>1155</v>
      </c>
      <c r="D3282" s="131">
        <v>16</v>
      </c>
      <c r="E3282" s="131" t="s">
        <v>1155</v>
      </c>
      <c r="F3282" s="767">
        <v>124643.41</v>
      </c>
      <c r="G3282" s="767">
        <v>0</v>
      </c>
      <c r="H3282" s="767">
        <v>124643.41</v>
      </c>
      <c r="I3282" s="768" t="s">
        <v>1860</v>
      </c>
    </row>
    <row r="3283" spans="1:9" x14ac:dyDescent="0.25">
      <c r="A3283" s="753">
        <v>503028</v>
      </c>
      <c r="B3283" s="130">
        <v>5083</v>
      </c>
      <c r="E3283" s="131"/>
    </row>
    <row r="3284" spans="1:9" x14ac:dyDescent="0.25">
      <c r="A3284" s="753">
        <v>503112</v>
      </c>
      <c r="B3284" s="130">
        <v>0</v>
      </c>
      <c r="E3284" s="131"/>
    </row>
    <row r="3285" spans="1:9" x14ac:dyDescent="0.25">
      <c r="A3285" s="753">
        <v>503114</v>
      </c>
      <c r="B3285" s="130">
        <v>0</v>
      </c>
      <c r="E3285" s="131"/>
    </row>
    <row r="3286" spans="1:9" x14ac:dyDescent="0.25">
      <c r="A3286" s="753">
        <v>503116</v>
      </c>
      <c r="B3286" s="130">
        <v>0</v>
      </c>
      <c r="E3286" s="131"/>
    </row>
    <row r="3287" spans="1:9" x14ac:dyDescent="0.25">
      <c r="A3287" s="753">
        <v>503118</v>
      </c>
      <c r="B3287" s="130">
        <v>0</v>
      </c>
      <c r="E3287" s="131"/>
    </row>
    <row r="3288" spans="1:9" x14ac:dyDescent="0.25">
      <c r="A3288" s="753">
        <v>503122</v>
      </c>
      <c r="B3288" s="130">
        <v>0</v>
      </c>
      <c r="E3288" s="131"/>
    </row>
    <row r="3289" spans="1:9" x14ac:dyDescent="0.25">
      <c r="A3289" s="753">
        <v>503124</v>
      </c>
      <c r="B3289" s="130">
        <v>0</v>
      </c>
      <c r="E3289" s="131"/>
    </row>
    <row r="3290" spans="1:9" x14ac:dyDescent="0.25">
      <c r="A3290" s="753">
        <v>503126</v>
      </c>
      <c r="B3290" s="130">
        <v>0</v>
      </c>
      <c r="E3290" s="131"/>
    </row>
    <row r="3291" spans="1:9" x14ac:dyDescent="0.25">
      <c r="A3291" s="753">
        <v>503128</v>
      </c>
      <c r="B3291" s="130">
        <v>0</v>
      </c>
      <c r="E3291" s="131"/>
    </row>
    <row r="3292" spans="1:9" x14ac:dyDescent="0.25">
      <c r="A3292" s="753">
        <v>503212</v>
      </c>
      <c r="B3292" s="130">
        <v>0</v>
      </c>
      <c r="E3292" s="131"/>
    </row>
    <row r="3293" spans="1:9" x14ac:dyDescent="0.25">
      <c r="A3293" s="753">
        <v>503214</v>
      </c>
      <c r="B3293" s="130">
        <v>0</v>
      </c>
      <c r="E3293" s="131"/>
    </row>
    <row r="3294" spans="1:9" x14ac:dyDescent="0.25">
      <c r="A3294" s="753">
        <v>503216</v>
      </c>
      <c r="B3294" s="130">
        <v>0</v>
      </c>
      <c r="E3294" s="131"/>
    </row>
    <row r="3295" spans="1:9" x14ac:dyDescent="0.25">
      <c r="A3295" s="753">
        <v>503218</v>
      </c>
      <c r="B3295" s="130">
        <v>0</v>
      </c>
      <c r="E3295" s="131"/>
    </row>
    <row r="3296" spans="1:9" x14ac:dyDescent="0.25">
      <c r="A3296" s="753">
        <v>503222</v>
      </c>
      <c r="B3296" s="130">
        <v>0</v>
      </c>
      <c r="E3296" s="131"/>
    </row>
    <row r="3297" spans="1:5" x14ac:dyDescent="0.25">
      <c r="A3297" s="753">
        <v>503224</v>
      </c>
      <c r="B3297" s="130">
        <v>0</v>
      </c>
      <c r="E3297" s="131"/>
    </row>
    <row r="3298" spans="1:5" x14ac:dyDescent="0.25">
      <c r="A3298" s="753">
        <v>503226</v>
      </c>
      <c r="B3298" s="130">
        <v>0</v>
      </c>
      <c r="E3298" s="131"/>
    </row>
    <row r="3299" spans="1:5" x14ac:dyDescent="0.25">
      <c r="A3299" s="753">
        <v>503228</v>
      </c>
      <c r="B3299" s="130">
        <v>0</v>
      </c>
      <c r="E3299" s="131"/>
    </row>
    <row r="3300" spans="1:5" x14ac:dyDescent="0.25">
      <c r="A3300" s="753">
        <v>503312</v>
      </c>
      <c r="B3300" s="130">
        <v>0</v>
      </c>
      <c r="E3300" s="131"/>
    </row>
    <row r="3301" spans="1:5" x14ac:dyDescent="0.25">
      <c r="A3301" s="753">
        <v>503314</v>
      </c>
      <c r="B3301" s="130">
        <v>0</v>
      </c>
      <c r="E3301" s="131"/>
    </row>
    <row r="3302" spans="1:5" x14ac:dyDescent="0.25">
      <c r="A3302" s="753">
        <v>503316</v>
      </c>
      <c r="B3302" s="130">
        <v>0</v>
      </c>
      <c r="E3302" s="131"/>
    </row>
    <row r="3303" spans="1:5" x14ac:dyDescent="0.25">
      <c r="A3303" s="753">
        <v>503318</v>
      </c>
      <c r="B3303" s="130">
        <v>0</v>
      </c>
      <c r="E3303" s="131"/>
    </row>
    <row r="3304" spans="1:5" x14ac:dyDescent="0.25">
      <c r="A3304" s="753">
        <v>503322</v>
      </c>
      <c r="B3304" s="130">
        <v>0</v>
      </c>
      <c r="E3304" s="131"/>
    </row>
    <row r="3305" spans="1:5" x14ac:dyDescent="0.25">
      <c r="A3305" s="753">
        <v>503324</v>
      </c>
      <c r="B3305" s="130">
        <v>0</v>
      </c>
      <c r="E3305" s="131"/>
    </row>
    <row r="3306" spans="1:5" x14ac:dyDescent="0.25">
      <c r="A3306" s="753">
        <v>503326</v>
      </c>
      <c r="B3306" s="130">
        <v>0</v>
      </c>
      <c r="E3306" s="131"/>
    </row>
    <row r="3307" spans="1:5" x14ac:dyDescent="0.25">
      <c r="A3307" s="753">
        <v>503328</v>
      </c>
      <c r="B3307" s="130">
        <v>0</v>
      </c>
      <c r="E3307" s="131"/>
    </row>
    <row r="3308" spans="1:5" x14ac:dyDescent="0.25">
      <c r="A3308" s="753">
        <v>503412</v>
      </c>
      <c r="B3308" s="130">
        <v>0</v>
      </c>
      <c r="E3308" s="131"/>
    </row>
    <row r="3309" spans="1:5" x14ac:dyDescent="0.25">
      <c r="A3309" s="753">
        <v>503414</v>
      </c>
      <c r="B3309" s="130">
        <v>0</v>
      </c>
      <c r="E3309" s="131"/>
    </row>
    <row r="3310" spans="1:5" x14ac:dyDescent="0.25">
      <c r="A3310" s="753">
        <v>503416</v>
      </c>
      <c r="B3310" s="130">
        <v>0</v>
      </c>
      <c r="E3310" s="131"/>
    </row>
    <row r="3311" spans="1:5" x14ac:dyDescent="0.25">
      <c r="A3311" s="753">
        <v>503418</v>
      </c>
      <c r="B3311" s="130">
        <v>0</v>
      </c>
      <c r="E3311" s="131"/>
    </row>
    <row r="3312" spans="1:5" x14ac:dyDescent="0.25">
      <c r="A3312" s="753">
        <v>503422</v>
      </c>
      <c r="B3312" s="130">
        <v>0</v>
      </c>
      <c r="E3312" s="131"/>
    </row>
    <row r="3313" spans="1:9" x14ac:dyDescent="0.25">
      <c r="A3313" s="753">
        <v>503424</v>
      </c>
      <c r="B3313" s="130">
        <v>0</v>
      </c>
      <c r="E3313" s="131"/>
    </row>
    <row r="3314" spans="1:9" x14ac:dyDescent="0.25">
      <c r="A3314" s="753">
        <v>503426</v>
      </c>
      <c r="B3314" s="130">
        <v>0</v>
      </c>
      <c r="E3314" s="131"/>
    </row>
    <row r="3315" spans="1:9" x14ac:dyDescent="0.25">
      <c r="A3315" s="753">
        <v>503428</v>
      </c>
      <c r="B3315" s="130">
        <v>0</v>
      </c>
      <c r="E3315" s="131"/>
    </row>
    <row r="3316" spans="1:9" x14ac:dyDescent="0.25">
      <c r="A3316" s="753">
        <v>503512</v>
      </c>
      <c r="B3316" s="130">
        <v>0</v>
      </c>
      <c r="C3316" s="131" t="s">
        <v>1167</v>
      </c>
      <c r="D3316" s="131">
        <v>16</v>
      </c>
      <c r="E3316" s="131" t="s">
        <v>1167</v>
      </c>
      <c r="F3316" s="767">
        <v>-0.02</v>
      </c>
      <c r="G3316" s="767">
        <v>0</v>
      </c>
      <c r="H3316" s="767">
        <v>-0.02</v>
      </c>
      <c r="I3316" s="768" t="s">
        <v>1861</v>
      </c>
    </row>
    <row r="3317" spans="1:9" x14ac:dyDescent="0.25">
      <c r="A3317" s="753">
        <v>503514</v>
      </c>
      <c r="B3317" s="130">
        <v>0</v>
      </c>
      <c r="C3317" s="131" t="s">
        <v>391</v>
      </c>
      <c r="D3317" s="131">
        <v>16</v>
      </c>
      <c r="E3317" s="131" t="s">
        <v>391</v>
      </c>
      <c r="F3317" s="767">
        <v>-227978.65</v>
      </c>
      <c r="G3317" s="767">
        <v>0</v>
      </c>
      <c r="H3317" s="767">
        <v>-227978.65</v>
      </c>
      <c r="I3317" s="768" t="s">
        <v>1862</v>
      </c>
    </row>
    <row r="3318" spans="1:9" x14ac:dyDescent="0.25">
      <c r="A3318" s="753">
        <v>503516</v>
      </c>
      <c r="B3318" s="130">
        <v>0</v>
      </c>
      <c r="C3318" s="131" t="s">
        <v>391</v>
      </c>
      <c r="D3318" s="131">
        <v>16</v>
      </c>
      <c r="E3318" s="131" t="s">
        <v>391</v>
      </c>
      <c r="F3318" s="767">
        <v>-227978.65</v>
      </c>
      <c r="G3318" s="767">
        <v>0</v>
      </c>
      <c r="H3318" s="767">
        <v>-227978.65</v>
      </c>
      <c r="I3318" s="768" t="s">
        <v>1862</v>
      </c>
    </row>
    <row r="3319" spans="1:9" x14ac:dyDescent="0.25">
      <c r="A3319" s="753"/>
      <c r="C3319" s="131" t="s">
        <v>1168</v>
      </c>
      <c r="D3319" s="131">
        <v>16</v>
      </c>
      <c r="E3319" s="131" t="s">
        <v>1168</v>
      </c>
      <c r="F3319" s="767">
        <v>216450.03</v>
      </c>
      <c r="G3319" s="767">
        <v>0</v>
      </c>
      <c r="H3319" s="767">
        <v>216450.03</v>
      </c>
      <c r="I3319" s="768" t="s">
        <v>1863</v>
      </c>
    </row>
    <row r="3320" spans="1:9" x14ac:dyDescent="0.25">
      <c r="A3320" s="753">
        <v>503518</v>
      </c>
      <c r="B3320" s="130">
        <v>0</v>
      </c>
      <c r="E3320" s="131"/>
    </row>
    <row r="3321" spans="1:9" x14ac:dyDescent="0.25">
      <c r="A3321" s="753">
        <v>503522</v>
      </c>
      <c r="B3321" s="130">
        <v>2</v>
      </c>
      <c r="C3321" s="131" t="s">
        <v>1167</v>
      </c>
      <c r="D3321" s="131">
        <v>16</v>
      </c>
      <c r="E3321" s="131" t="s">
        <v>1167</v>
      </c>
      <c r="F3321" s="767">
        <v>-0.02</v>
      </c>
      <c r="G3321" s="767">
        <v>0</v>
      </c>
      <c r="H3321" s="767">
        <v>-0.02</v>
      </c>
      <c r="I3321" s="768" t="s">
        <v>1861</v>
      </c>
    </row>
    <row r="3322" spans="1:9" x14ac:dyDescent="0.25">
      <c r="A3322" s="753">
        <v>503524</v>
      </c>
      <c r="B3322" s="130">
        <v>227979</v>
      </c>
      <c r="C3322" s="131" t="s">
        <v>391</v>
      </c>
      <c r="D3322" s="131">
        <v>16</v>
      </c>
      <c r="E3322" s="131" t="s">
        <v>391</v>
      </c>
      <c r="F3322" s="767">
        <v>-227978.65</v>
      </c>
      <c r="G3322" s="767">
        <v>0</v>
      </c>
      <c r="H3322" s="767">
        <v>-227978.65</v>
      </c>
      <c r="I3322" s="768" t="s">
        <v>1862</v>
      </c>
    </row>
    <row r="3323" spans="1:9" x14ac:dyDescent="0.25">
      <c r="A3323" s="753">
        <v>503526</v>
      </c>
      <c r="B3323" s="130">
        <v>11529</v>
      </c>
      <c r="C3323" s="131" t="s">
        <v>391</v>
      </c>
      <c r="D3323" s="131">
        <v>16</v>
      </c>
      <c r="E3323" s="131" t="s">
        <v>391</v>
      </c>
      <c r="F3323" s="767">
        <v>-227978.65</v>
      </c>
      <c r="G3323" s="767">
        <v>0</v>
      </c>
      <c r="H3323" s="767">
        <v>-227978.65</v>
      </c>
      <c r="I3323" s="768" t="s">
        <v>1862</v>
      </c>
    </row>
    <row r="3324" spans="1:9" x14ac:dyDescent="0.25">
      <c r="A3324" s="753"/>
      <c r="C3324" s="131" t="s">
        <v>1168</v>
      </c>
      <c r="D3324" s="131">
        <v>16</v>
      </c>
      <c r="E3324" s="131" t="s">
        <v>1168</v>
      </c>
      <c r="F3324" s="767">
        <v>216450.03</v>
      </c>
      <c r="G3324" s="767">
        <v>0</v>
      </c>
      <c r="H3324" s="767">
        <v>216450.03</v>
      </c>
      <c r="I3324" s="768" t="s">
        <v>1863</v>
      </c>
    </row>
    <row r="3325" spans="1:9" x14ac:dyDescent="0.25">
      <c r="A3325" s="753">
        <v>503528</v>
      </c>
      <c r="B3325" s="130">
        <v>5765</v>
      </c>
      <c r="E3325" s="131"/>
    </row>
    <row r="3326" spans="1:9" x14ac:dyDescent="0.25">
      <c r="A3326" s="753">
        <v>503612</v>
      </c>
      <c r="B3326" s="130">
        <v>0</v>
      </c>
      <c r="E3326" s="131"/>
    </row>
    <row r="3327" spans="1:9" x14ac:dyDescent="0.25">
      <c r="A3327" s="753">
        <v>503614</v>
      </c>
      <c r="B3327" s="130">
        <v>0</v>
      </c>
      <c r="E3327" s="131"/>
    </row>
    <row r="3328" spans="1:9" x14ac:dyDescent="0.25">
      <c r="A3328" s="753">
        <v>503616</v>
      </c>
      <c r="B3328" s="130">
        <v>0</v>
      </c>
      <c r="E3328" s="131"/>
    </row>
    <row r="3329" spans="1:9" x14ac:dyDescent="0.25">
      <c r="A3329" s="753">
        <v>503618</v>
      </c>
      <c r="B3329" s="130">
        <v>0</v>
      </c>
      <c r="E3329" s="131"/>
    </row>
    <row r="3330" spans="1:9" x14ac:dyDescent="0.25">
      <c r="A3330" s="753">
        <v>503622</v>
      </c>
      <c r="B3330" s="130">
        <v>0</v>
      </c>
      <c r="E3330" s="131"/>
    </row>
    <row r="3331" spans="1:9" x14ac:dyDescent="0.25">
      <c r="A3331" s="753">
        <v>503624</v>
      </c>
      <c r="B3331" s="130">
        <v>0</v>
      </c>
      <c r="E3331" s="131"/>
    </row>
    <row r="3332" spans="1:9" x14ac:dyDescent="0.25">
      <c r="A3332" s="753">
        <v>503626</v>
      </c>
      <c r="B3332" s="130">
        <v>0</v>
      </c>
      <c r="E3332" s="131"/>
    </row>
    <row r="3333" spans="1:9" x14ac:dyDescent="0.25">
      <c r="A3333" s="753">
        <v>503628</v>
      </c>
      <c r="B3333" s="130">
        <v>0</v>
      </c>
      <c r="E3333" s="131"/>
    </row>
    <row r="3334" spans="1:9" x14ac:dyDescent="0.25">
      <c r="A3334" s="753">
        <v>503712</v>
      </c>
      <c r="B3334" s="130">
        <v>0</v>
      </c>
      <c r="E3334" s="131"/>
    </row>
    <row r="3335" spans="1:9" x14ac:dyDescent="0.25">
      <c r="A3335" s="753">
        <v>503714</v>
      </c>
      <c r="B3335" s="130">
        <v>0</v>
      </c>
      <c r="E3335" s="131"/>
    </row>
    <row r="3336" spans="1:9" x14ac:dyDescent="0.25">
      <c r="A3336" s="753">
        <v>503716</v>
      </c>
      <c r="B3336" s="130">
        <v>0</v>
      </c>
      <c r="C3336" s="131" t="s">
        <v>391</v>
      </c>
      <c r="D3336" s="131">
        <v>16</v>
      </c>
      <c r="E3336" s="131" t="s">
        <v>391</v>
      </c>
      <c r="F3336" s="767">
        <v>-227978.65</v>
      </c>
      <c r="G3336" s="767">
        <v>0</v>
      </c>
      <c r="H3336" s="767">
        <v>-227978.65</v>
      </c>
      <c r="I3336" s="768" t="s">
        <v>1862</v>
      </c>
    </row>
    <row r="3337" spans="1:9" x14ac:dyDescent="0.25">
      <c r="A3337" s="753"/>
      <c r="C3337" s="131" t="s">
        <v>1168</v>
      </c>
      <c r="D3337" s="131">
        <v>16</v>
      </c>
      <c r="E3337" s="131" t="s">
        <v>1168</v>
      </c>
      <c r="F3337" s="767">
        <v>216450.03</v>
      </c>
      <c r="G3337" s="767">
        <v>0</v>
      </c>
      <c r="H3337" s="767">
        <v>216450.03</v>
      </c>
      <c r="I3337" s="768" t="s">
        <v>1863</v>
      </c>
    </row>
    <row r="3338" spans="1:9" x14ac:dyDescent="0.25">
      <c r="A3338" s="753">
        <v>503718</v>
      </c>
      <c r="B3338" s="130">
        <v>0</v>
      </c>
      <c r="E3338" s="131"/>
    </row>
    <row r="3339" spans="1:9" x14ac:dyDescent="0.25">
      <c r="A3339" s="753">
        <v>503722</v>
      </c>
      <c r="B3339" s="130">
        <v>2</v>
      </c>
      <c r="E3339" s="131"/>
    </row>
    <row r="3340" spans="1:9" x14ac:dyDescent="0.25">
      <c r="A3340" s="753">
        <v>503724</v>
      </c>
      <c r="B3340" s="130">
        <v>227979</v>
      </c>
      <c r="E3340" s="131"/>
    </row>
    <row r="3341" spans="1:9" x14ac:dyDescent="0.25">
      <c r="A3341" s="753">
        <v>503726</v>
      </c>
      <c r="B3341" s="130">
        <v>11529</v>
      </c>
      <c r="C3341" s="131" t="s">
        <v>391</v>
      </c>
      <c r="D3341" s="131">
        <v>16</v>
      </c>
      <c r="E3341" s="131" t="s">
        <v>391</v>
      </c>
      <c r="F3341" s="767">
        <v>-227978.65</v>
      </c>
      <c r="G3341" s="767">
        <v>0</v>
      </c>
      <c r="H3341" s="767">
        <v>-227978.65</v>
      </c>
      <c r="I3341" s="768" t="s">
        <v>1862</v>
      </c>
    </row>
    <row r="3342" spans="1:9" x14ac:dyDescent="0.25">
      <c r="A3342" s="753"/>
      <c r="C3342" s="131" t="s">
        <v>1168</v>
      </c>
      <c r="D3342" s="131">
        <v>16</v>
      </c>
      <c r="E3342" s="131" t="s">
        <v>1168</v>
      </c>
      <c r="F3342" s="767">
        <v>216450.03</v>
      </c>
      <c r="G3342" s="767">
        <v>0</v>
      </c>
      <c r="H3342" s="767">
        <v>216450.03</v>
      </c>
      <c r="I3342" s="768" t="s">
        <v>1863</v>
      </c>
    </row>
    <row r="3343" spans="1:9" x14ac:dyDescent="0.25">
      <c r="A3343" s="753">
        <v>503728</v>
      </c>
      <c r="B3343" s="130">
        <v>5765</v>
      </c>
      <c r="E3343" s="131"/>
    </row>
    <row r="3344" spans="1:9" x14ac:dyDescent="0.25">
      <c r="A3344" s="753">
        <v>503812</v>
      </c>
      <c r="B3344" s="130">
        <v>1</v>
      </c>
      <c r="C3344" s="131" t="s">
        <v>2304</v>
      </c>
      <c r="D3344" s="131">
        <v>16</v>
      </c>
      <c r="E3344" s="131" t="s">
        <v>2304</v>
      </c>
      <c r="F3344" s="767">
        <v>0</v>
      </c>
      <c r="G3344" s="767">
        <v>-0.01</v>
      </c>
      <c r="H3344" s="767">
        <v>-0.01</v>
      </c>
      <c r="I3344" s="768" t="s">
        <v>2305</v>
      </c>
    </row>
    <row r="3345" spans="1:9" x14ac:dyDescent="0.25">
      <c r="A3345" s="753">
        <v>503814</v>
      </c>
      <c r="B3345" s="130">
        <v>140923</v>
      </c>
      <c r="C3345" s="131">
        <v>415</v>
      </c>
      <c r="D3345" s="131">
        <v>16</v>
      </c>
      <c r="E3345" s="131">
        <v>415</v>
      </c>
      <c r="F3345" s="767">
        <v>0</v>
      </c>
      <c r="G3345" s="767">
        <v>-140922.95000000001</v>
      </c>
      <c r="H3345" s="767">
        <v>-140922.95000000001</v>
      </c>
      <c r="I3345" s="768" t="s">
        <v>2306</v>
      </c>
    </row>
    <row r="3346" spans="1:9" x14ac:dyDescent="0.25">
      <c r="A3346" s="753">
        <v>503816</v>
      </c>
      <c r="B3346" s="130">
        <v>5911</v>
      </c>
      <c r="C3346" s="131">
        <v>415</v>
      </c>
      <c r="D3346" s="131">
        <v>16</v>
      </c>
      <c r="E3346" s="131">
        <v>415</v>
      </c>
      <c r="F3346" s="767">
        <v>0</v>
      </c>
      <c r="G3346" s="767">
        <v>-140922.95000000001</v>
      </c>
      <c r="H3346" s="767">
        <v>-140922.95000000001</v>
      </c>
      <c r="I3346" s="768" t="s">
        <v>2306</v>
      </c>
    </row>
    <row r="3347" spans="1:9" x14ac:dyDescent="0.25">
      <c r="A3347" s="753"/>
      <c r="C3347" s="131">
        <v>615</v>
      </c>
      <c r="D3347" s="131">
        <v>16</v>
      </c>
      <c r="E3347" s="131">
        <v>615</v>
      </c>
      <c r="F3347" s="767">
        <v>0</v>
      </c>
      <c r="G3347" s="767">
        <v>135011.85</v>
      </c>
      <c r="H3347" s="767">
        <v>135011.85</v>
      </c>
      <c r="I3347" s="768" t="s">
        <v>2307</v>
      </c>
    </row>
    <row r="3348" spans="1:9" x14ac:dyDescent="0.25">
      <c r="A3348" s="753">
        <v>503818</v>
      </c>
      <c r="B3348" s="130">
        <v>5911</v>
      </c>
      <c r="E3348" s="131"/>
    </row>
    <row r="3349" spans="1:9" x14ac:dyDescent="0.25">
      <c r="A3349" s="753">
        <v>503822</v>
      </c>
      <c r="B3349" s="130">
        <v>1</v>
      </c>
      <c r="C3349" s="131" t="s">
        <v>2304</v>
      </c>
      <c r="D3349" s="131">
        <v>16</v>
      </c>
      <c r="E3349" s="131" t="s">
        <v>2304</v>
      </c>
      <c r="F3349" s="767">
        <v>0</v>
      </c>
      <c r="G3349" s="767">
        <v>-0.01</v>
      </c>
      <c r="H3349" s="767">
        <v>-0.01</v>
      </c>
      <c r="I3349" s="768" t="s">
        <v>2305</v>
      </c>
    </row>
    <row r="3350" spans="1:9" x14ac:dyDescent="0.25">
      <c r="A3350" s="753">
        <v>503824</v>
      </c>
      <c r="B3350" s="130">
        <v>140923</v>
      </c>
      <c r="C3350" s="131">
        <v>415</v>
      </c>
      <c r="D3350" s="131">
        <v>16</v>
      </c>
      <c r="E3350" s="131">
        <v>415</v>
      </c>
      <c r="F3350" s="767">
        <v>0</v>
      </c>
      <c r="G3350" s="767">
        <v>-140922.95000000001</v>
      </c>
      <c r="H3350" s="767">
        <v>-140922.95000000001</v>
      </c>
      <c r="I3350" s="768" t="s">
        <v>2306</v>
      </c>
    </row>
    <row r="3351" spans="1:9" x14ac:dyDescent="0.25">
      <c r="A3351" s="753">
        <v>503826</v>
      </c>
      <c r="B3351" s="130">
        <v>5911</v>
      </c>
      <c r="C3351" s="131">
        <v>415</v>
      </c>
      <c r="D3351" s="131">
        <v>16</v>
      </c>
      <c r="E3351" s="131">
        <v>415</v>
      </c>
      <c r="F3351" s="767">
        <v>0</v>
      </c>
      <c r="G3351" s="767">
        <v>-140922.95000000001</v>
      </c>
      <c r="H3351" s="767">
        <v>-140922.95000000001</v>
      </c>
      <c r="I3351" s="768" t="s">
        <v>2306</v>
      </c>
    </row>
    <row r="3352" spans="1:9" x14ac:dyDescent="0.25">
      <c r="A3352" s="753"/>
      <c r="C3352" s="131">
        <v>615</v>
      </c>
      <c r="D3352" s="131">
        <v>16</v>
      </c>
      <c r="E3352" s="131">
        <v>615</v>
      </c>
      <c r="F3352" s="767">
        <v>0</v>
      </c>
      <c r="G3352" s="767">
        <v>135011.85</v>
      </c>
      <c r="H3352" s="767">
        <v>135011.85</v>
      </c>
      <c r="I3352" s="768" t="s">
        <v>2307</v>
      </c>
    </row>
    <row r="3353" spans="1:9" x14ac:dyDescent="0.25">
      <c r="A3353" s="753">
        <v>503828</v>
      </c>
      <c r="B3353" s="130">
        <v>5911</v>
      </c>
      <c r="E3353" s="131"/>
    </row>
    <row r="3354" spans="1:9" x14ac:dyDescent="0.25">
      <c r="A3354" s="753">
        <v>503912</v>
      </c>
      <c r="B3354" s="130">
        <v>0</v>
      </c>
      <c r="C3354" s="131" t="s">
        <v>1171</v>
      </c>
      <c r="D3354" s="131">
        <v>16</v>
      </c>
      <c r="E3354" s="131" t="s">
        <v>1171</v>
      </c>
      <c r="F3354" s="767">
        <v>-0.01</v>
      </c>
      <c r="G3354" s="767">
        <v>0</v>
      </c>
      <c r="H3354" s="767">
        <v>-0.01</v>
      </c>
      <c r="I3354" s="768" t="s">
        <v>1864</v>
      </c>
    </row>
    <row r="3355" spans="1:9" x14ac:dyDescent="0.25">
      <c r="A3355" s="753">
        <v>503914</v>
      </c>
      <c r="B3355" s="130">
        <v>0</v>
      </c>
      <c r="C3355" s="131" t="s">
        <v>394</v>
      </c>
      <c r="D3355" s="131">
        <v>16</v>
      </c>
      <c r="E3355" s="131" t="s">
        <v>394</v>
      </c>
      <c r="F3355" s="767">
        <v>-118545.13</v>
      </c>
      <c r="G3355" s="767">
        <v>0</v>
      </c>
      <c r="H3355" s="767">
        <v>-118545.13</v>
      </c>
      <c r="I3355" s="768" t="s">
        <v>1865</v>
      </c>
    </row>
    <row r="3356" spans="1:9" x14ac:dyDescent="0.25">
      <c r="A3356" s="753">
        <v>503916</v>
      </c>
      <c r="B3356" s="130">
        <v>0</v>
      </c>
      <c r="C3356" s="131" t="s">
        <v>394</v>
      </c>
      <c r="D3356" s="131">
        <v>16</v>
      </c>
      <c r="E3356" s="131" t="s">
        <v>394</v>
      </c>
      <c r="F3356" s="767">
        <v>-118545.13</v>
      </c>
      <c r="G3356" s="767">
        <v>0</v>
      </c>
      <c r="H3356" s="767">
        <v>-118545.13</v>
      </c>
      <c r="I3356" s="768" t="s">
        <v>1865</v>
      </c>
    </row>
    <row r="3357" spans="1:9" x14ac:dyDescent="0.25">
      <c r="A3357" s="753"/>
      <c r="C3357" s="131" t="s">
        <v>1122</v>
      </c>
      <c r="D3357" s="131">
        <v>16</v>
      </c>
      <c r="E3357" s="131" t="s">
        <v>1122</v>
      </c>
      <c r="F3357" s="767">
        <v>118545.13</v>
      </c>
      <c r="G3357" s="767">
        <v>0</v>
      </c>
      <c r="H3357" s="767">
        <v>118545.13</v>
      </c>
      <c r="I3357" s="768" t="s">
        <v>1866</v>
      </c>
    </row>
    <row r="3358" spans="1:9" x14ac:dyDescent="0.25">
      <c r="A3358" s="753">
        <v>503918</v>
      </c>
      <c r="B3358" s="130">
        <v>0</v>
      </c>
      <c r="E3358" s="131"/>
    </row>
    <row r="3359" spans="1:9" x14ac:dyDescent="0.25">
      <c r="A3359" s="753">
        <v>503922</v>
      </c>
      <c r="B3359" s="130">
        <v>1</v>
      </c>
      <c r="C3359" s="131" t="s">
        <v>1171</v>
      </c>
      <c r="D3359" s="131">
        <v>16</v>
      </c>
      <c r="E3359" s="131" t="s">
        <v>1171</v>
      </c>
      <c r="F3359" s="767">
        <v>-0.01</v>
      </c>
      <c r="G3359" s="767">
        <v>0</v>
      </c>
      <c r="H3359" s="767">
        <v>-0.01</v>
      </c>
      <c r="I3359" s="768" t="s">
        <v>1864</v>
      </c>
    </row>
    <row r="3360" spans="1:9" x14ac:dyDescent="0.25">
      <c r="A3360" s="753">
        <v>503924</v>
      </c>
      <c r="B3360" s="130">
        <v>118545</v>
      </c>
      <c r="C3360" s="131" t="s">
        <v>394</v>
      </c>
      <c r="D3360" s="131">
        <v>16</v>
      </c>
      <c r="E3360" s="131" t="s">
        <v>394</v>
      </c>
      <c r="F3360" s="767">
        <v>-118545.13</v>
      </c>
      <c r="G3360" s="767">
        <v>0</v>
      </c>
      <c r="H3360" s="767">
        <v>-118545.13</v>
      </c>
      <c r="I3360" s="768" t="s">
        <v>1865</v>
      </c>
    </row>
    <row r="3361" spans="1:9" x14ac:dyDescent="0.25">
      <c r="A3361" s="753">
        <v>503926</v>
      </c>
      <c r="B3361" s="130">
        <v>0</v>
      </c>
      <c r="C3361" s="131" t="s">
        <v>394</v>
      </c>
      <c r="D3361" s="131">
        <v>16</v>
      </c>
      <c r="E3361" s="131" t="s">
        <v>394</v>
      </c>
      <c r="F3361" s="767">
        <v>-118545.13</v>
      </c>
      <c r="G3361" s="767">
        <v>0</v>
      </c>
      <c r="H3361" s="767">
        <v>-118545.13</v>
      </c>
      <c r="I3361" s="768" t="s">
        <v>1865</v>
      </c>
    </row>
    <row r="3362" spans="1:9" x14ac:dyDescent="0.25">
      <c r="A3362" s="753"/>
      <c r="C3362" s="131" t="s">
        <v>1122</v>
      </c>
      <c r="D3362" s="131">
        <v>16</v>
      </c>
      <c r="E3362" s="131" t="s">
        <v>1122</v>
      </c>
      <c r="F3362" s="767">
        <v>118545.13</v>
      </c>
      <c r="G3362" s="767">
        <v>0</v>
      </c>
      <c r="H3362" s="767">
        <v>118545.13</v>
      </c>
      <c r="I3362" s="768" t="s">
        <v>1866</v>
      </c>
    </row>
    <row r="3363" spans="1:9" x14ac:dyDescent="0.25">
      <c r="A3363" s="753">
        <v>503928</v>
      </c>
      <c r="B3363" s="130">
        <v>0</v>
      </c>
      <c r="E3363" s="131"/>
    </row>
    <row r="3364" spans="1:9" x14ac:dyDescent="0.25">
      <c r="A3364" s="753">
        <v>504012</v>
      </c>
      <c r="B3364" s="130">
        <v>0</v>
      </c>
      <c r="E3364" s="131"/>
    </row>
    <row r="3365" spans="1:9" x14ac:dyDescent="0.25">
      <c r="A3365" s="753">
        <v>504014</v>
      </c>
      <c r="B3365" s="130">
        <v>0</v>
      </c>
      <c r="E3365" s="131"/>
    </row>
    <row r="3366" spans="1:9" x14ac:dyDescent="0.25">
      <c r="A3366" s="753">
        <v>504016</v>
      </c>
      <c r="B3366" s="130">
        <v>0</v>
      </c>
      <c r="E3366" s="131"/>
    </row>
    <row r="3367" spans="1:9" x14ac:dyDescent="0.25">
      <c r="A3367" s="753">
        <v>504018</v>
      </c>
      <c r="B3367" s="130">
        <v>0</v>
      </c>
      <c r="E3367" s="131"/>
    </row>
    <row r="3368" spans="1:9" x14ac:dyDescent="0.25">
      <c r="A3368" s="753">
        <v>504022</v>
      </c>
      <c r="B3368" s="130">
        <v>0</v>
      </c>
      <c r="E3368" s="131"/>
    </row>
    <row r="3369" spans="1:9" x14ac:dyDescent="0.25">
      <c r="A3369" s="753">
        <v>504024</v>
      </c>
      <c r="B3369" s="130">
        <v>0</v>
      </c>
      <c r="E3369" s="131"/>
    </row>
    <row r="3370" spans="1:9" x14ac:dyDescent="0.25">
      <c r="A3370" s="753">
        <v>504026</v>
      </c>
      <c r="B3370" s="130">
        <v>0</v>
      </c>
      <c r="E3370" s="131"/>
    </row>
    <row r="3371" spans="1:9" x14ac:dyDescent="0.25">
      <c r="A3371" s="753">
        <v>504028</v>
      </c>
      <c r="B3371" s="130">
        <v>0</v>
      </c>
      <c r="E3371" s="131"/>
    </row>
    <row r="3372" spans="1:9" x14ac:dyDescent="0.25">
      <c r="A3372" s="753">
        <v>504112</v>
      </c>
      <c r="B3372" s="130">
        <v>0</v>
      </c>
      <c r="E3372" s="131"/>
    </row>
    <row r="3373" spans="1:9" x14ac:dyDescent="0.25">
      <c r="A3373" s="753">
        <v>504114</v>
      </c>
      <c r="B3373" s="130">
        <v>0</v>
      </c>
      <c r="E3373" s="131"/>
    </row>
    <row r="3374" spans="1:9" x14ac:dyDescent="0.25">
      <c r="A3374" s="753">
        <v>504116</v>
      </c>
      <c r="B3374" s="130">
        <v>0</v>
      </c>
      <c r="E3374" s="131"/>
    </row>
    <row r="3375" spans="1:9" x14ac:dyDescent="0.25">
      <c r="A3375" s="753">
        <v>504118</v>
      </c>
      <c r="B3375" s="130">
        <v>0</v>
      </c>
      <c r="E3375" s="131"/>
    </row>
    <row r="3376" spans="1:9" x14ac:dyDescent="0.25">
      <c r="A3376" s="753">
        <v>504122</v>
      </c>
      <c r="B3376" s="130">
        <v>0</v>
      </c>
      <c r="E3376" s="131"/>
    </row>
    <row r="3377" spans="1:9" x14ac:dyDescent="0.25">
      <c r="A3377" s="753">
        <v>504124</v>
      </c>
      <c r="B3377" s="130">
        <v>0</v>
      </c>
      <c r="E3377" s="131"/>
    </row>
    <row r="3378" spans="1:9" x14ac:dyDescent="0.25">
      <c r="A3378" s="753">
        <v>504126</v>
      </c>
      <c r="B3378" s="130">
        <v>0</v>
      </c>
      <c r="E3378" s="131"/>
    </row>
    <row r="3379" spans="1:9" x14ac:dyDescent="0.25">
      <c r="A3379" s="753">
        <v>504128</v>
      </c>
      <c r="B3379" s="130">
        <v>0</v>
      </c>
      <c r="E3379" s="131"/>
    </row>
    <row r="3380" spans="1:9" x14ac:dyDescent="0.25">
      <c r="A3380" s="753">
        <v>504212</v>
      </c>
      <c r="B3380" s="130">
        <v>1</v>
      </c>
      <c r="E3380" s="131"/>
    </row>
    <row r="3381" spans="1:9" x14ac:dyDescent="0.25">
      <c r="A3381" s="753">
        <v>504214</v>
      </c>
      <c r="B3381" s="130">
        <v>140923</v>
      </c>
      <c r="E3381" s="131"/>
    </row>
    <row r="3382" spans="1:9" x14ac:dyDescent="0.25">
      <c r="A3382" s="753">
        <v>504216</v>
      </c>
      <c r="B3382" s="130">
        <v>5911</v>
      </c>
      <c r="C3382" s="131">
        <v>415</v>
      </c>
      <c r="D3382" s="131">
        <v>16</v>
      </c>
      <c r="E3382" s="131">
        <v>415</v>
      </c>
      <c r="F3382" s="767">
        <v>0</v>
      </c>
      <c r="G3382" s="767">
        <v>-140922.95000000001</v>
      </c>
      <c r="H3382" s="767">
        <v>-140922.95000000001</v>
      </c>
      <c r="I3382" s="768" t="s">
        <v>2306</v>
      </c>
    </row>
    <row r="3383" spans="1:9" x14ac:dyDescent="0.25">
      <c r="A3383" s="753"/>
      <c r="C3383" s="131">
        <v>615</v>
      </c>
      <c r="D3383" s="131">
        <v>16</v>
      </c>
      <c r="E3383" s="131">
        <v>615</v>
      </c>
      <c r="F3383" s="767">
        <v>0</v>
      </c>
      <c r="G3383" s="767">
        <v>135011.85</v>
      </c>
      <c r="H3383" s="767">
        <v>135011.85</v>
      </c>
      <c r="I3383" s="768" t="s">
        <v>2307</v>
      </c>
    </row>
    <row r="3384" spans="1:9" x14ac:dyDescent="0.25">
      <c r="A3384" s="753"/>
      <c r="C3384" s="131" t="s">
        <v>394</v>
      </c>
      <c r="D3384" s="131">
        <v>16</v>
      </c>
      <c r="E3384" s="131" t="s">
        <v>394</v>
      </c>
      <c r="F3384" s="767">
        <v>-118545.13</v>
      </c>
      <c r="G3384" s="767">
        <v>0</v>
      </c>
      <c r="H3384" s="767">
        <v>-118545.13</v>
      </c>
      <c r="I3384" s="768" t="s">
        <v>1865</v>
      </c>
    </row>
    <row r="3385" spans="1:9" x14ac:dyDescent="0.25">
      <c r="A3385" s="753"/>
      <c r="C3385" s="131" t="s">
        <v>1122</v>
      </c>
      <c r="D3385" s="131">
        <v>16</v>
      </c>
      <c r="E3385" s="131" t="s">
        <v>1122</v>
      </c>
      <c r="F3385" s="767">
        <v>118545.13</v>
      </c>
      <c r="G3385" s="767">
        <v>0</v>
      </c>
      <c r="H3385" s="767">
        <v>118545.13</v>
      </c>
      <c r="I3385" s="768" t="s">
        <v>1866</v>
      </c>
    </row>
    <row r="3386" spans="1:9" x14ac:dyDescent="0.25">
      <c r="A3386" s="753">
        <v>504218</v>
      </c>
      <c r="B3386" s="130">
        <v>5911</v>
      </c>
      <c r="E3386" s="131"/>
    </row>
    <row r="3387" spans="1:9" x14ac:dyDescent="0.25">
      <c r="A3387" s="753">
        <v>504222</v>
      </c>
      <c r="B3387" s="130">
        <v>2</v>
      </c>
      <c r="E3387" s="131"/>
    </row>
    <row r="3388" spans="1:9" x14ac:dyDescent="0.25">
      <c r="A3388" s="753">
        <v>504224</v>
      </c>
      <c r="B3388" s="130">
        <v>259468</v>
      </c>
      <c r="E3388" s="131"/>
    </row>
    <row r="3389" spans="1:9" x14ac:dyDescent="0.25">
      <c r="A3389" s="753">
        <v>504226</v>
      </c>
      <c r="B3389" s="130">
        <v>5911</v>
      </c>
      <c r="C3389" s="131">
        <v>415</v>
      </c>
      <c r="D3389" s="131">
        <v>16</v>
      </c>
      <c r="E3389" s="131">
        <v>415</v>
      </c>
      <c r="F3389" s="767">
        <v>0</v>
      </c>
      <c r="G3389" s="767">
        <v>-140922.95000000001</v>
      </c>
      <c r="H3389" s="767">
        <v>-140922.95000000001</v>
      </c>
      <c r="I3389" s="768" t="s">
        <v>2306</v>
      </c>
    </row>
    <row r="3390" spans="1:9" x14ac:dyDescent="0.25">
      <c r="A3390" s="753"/>
      <c r="C3390" s="131">
        <v>615</v>
      </c>
      <c r="D3390" s="131">
        <v>16</v>
      </c>
      <c r="E3390" s="131">
        <v>615</v>
      </c>
      <c r="F3390" s="767">
        <v>0</v>
      </c>
      <c r="G3390" s="767">
        <v>135011.85</v>
      </c>
      <c r="H3390" s="767">
        <v>135011.85</v>
      </c>
      <c r="I3390" s="768" t="s">
        <v>2307</v>
      </c>
    </row>
    <row r="3391" spans="1:9" x14ac:dyDescent="0.25">
      <c r="A3391" s="753"/>
      <c r="C3391" s="131" t="s">
        <v>394</v>
      </c>
      <c r="D3391" s="131">
        <v>16</v>
      </c>
      <c r="E3391" s="131" t="s">
        <v>394</v>
      </c>
      <c r="F3391" s="767">
        <v>-118545.13</v>
      </c>
      <c r="G3391" s="767">
        <v>0</v>
      </c>
      <c r="H3391" s="767">
        <v>-118545.13</v>
      </c>
      <c r="I3391" s="768" t="s">
        <v>1865</v>
      </c>
    </row>
    <row r="3392" spans="1:9" x14ac:dyDescent="0.25">
      <c r="A3392" s="753"/>
      <c r="C3392" s="131" t="s">
        <v>1122</v>
      </c>
      <c r="D3392" s="131">
        <v>16</v>
      </c>
      <c r="E3392" s="131" t="s">
        <v>1122</v>
      </c>
      <c r="F3392" s="767">
        <v>118545.13</v>
      </c>
      <c r="G3392" s="767">
        <v>0</v>
      </c>
      <c r="H3392" s="767">
        <v>118545.13</v>
      </c>
      <c r="I3392" s="768" t="s">
        <v>1866</v>
      </c>
    </row>
    <row r="3393" spans="1:5" x14ac:dyDescent="0.25">
      <c r="A3393" s="753">
        <v>504228</v>
      </c>
      <c r="B3393" s="130">
        <v>2956</v>
      </c>
      <c r="E3393" s="131"/>
    </row>
    <row r="3394" spans="1:5" x14ac:dyDescent="0.25">
      <c r="A3394" s="753">
        <v>504312</v>
      </c>
      <c r="B3394" s="130">
        <v>0</v>
      </c>
      <c r="E3394" s="131"/>
    </row>
    <row r="3395" spans="1:5" x14ac:dyDescent="0.25">
      <c r="A3395" s="753">
        <v>504314</v>
      </c>
      <c r="B3395" s="130">
        <v>0</v>
      </c>
      <c r="E3395" s="131"/>
    </row>
    <row r="3396" spans="1:5" x14ac:dyDescent="0.25">
      <c r="A3396" s="753">
        <v>504316</v>
      </c>
      <c r="B3396" s="130">
        <v>0</v>
      </c>
      <c r="E3396" s="131"/>
    </row>
    <row r="3397" spans="1:5" x14ac:dyDescent="0.25">
      <c r="A3397" s="753">
        <v>504318</v>
      </c>
      <c r="B3397" s="130">
        <v>0</v>
      </c>
      <c r="E3397" s="131"/>
    </row>
    <row r="3398" spans="1:5" x14ac:dyDescent="0.25">
      <c r="A3398" s="753">
        <v>504322</v>
      </c>
      <c r="B3398" s="130">
        <v>0</v>
      </c>
      <c r="E3398" s="131"/>
    </row>
    <row r="3399" spans="1:5" x14ac:dyDescent="0.25">
      <c r="A3399" s="753">
        <v>504324</v>
      </c>
      <c r="B3399" s="130">
        <v>0</v>
      </c>
      <c r="E3399" s="131"/>
    </row>
    <row r="3400" spans="1:5" x14ac:dyDescent="0.25">
      <c r="A3400" s="753">
        <v>504326</v>
      </c>
      <c r="B3400" s="130">
        <v>0</v>
      </c>
      <c r="E3400" s="131"/>
    </row>
    <row r="3401" spans="1:5" x14ac:dyDescent="0.25">
      <c r="A3401" s="753">
        <v>504328</v>
      </c>
      <c r="B3401" s="130">
        <v>0</v>
      </c>
      <c r="E3401" s="131"/>
    </row>
    <row r="3402" spans="1:5" x14ac:dyDescent="0.25">
      <c r="A3402" s="753">
        <v>504412</v>
      </c>
      <c r="B3402" s="130">
        <v>0</v>
      </c>
      <c r="E3402" s="131"/>
    </row>
    <row r="3403" spans="1:5" x14ac:dyDescent="0.25">
      <c r="A3403" s="753">
        <v>504414</v>
      </c>
      <c r="B3403" s="130">
        <v>0</v>
      </c>
      <c r="E3403" s="131"/>
    </row>
    <row r="3404" spans="1:5" x14ac:dyDescent="0.25">
      <c r="A3404" s="753">
        <v>504416</v>
      </c>
      <c r="B3404" s="130">
        <v>0</v>
      </c>
      <c r="E3404" s="131"/>
    </row>
    <row r="3405" spans="1:5" x14ac:dyDescent="0.25">
      <c r="A3405" s="753">
        <v>504418</v>
      </c>
      <c r="B3405" s="130">
        <v>0</v>
      </c>
      <c r="E3405" s="131"/>
    </row>
    <row r="3406" spans="1:5" x14ac:dyDescent="0.25">
      <c r="A3406" s="753">
        <v>504422</v>
      </c>
      <c r="B3406" s="130">
        <v>0</v>
      </c>
      <c r="E3406" s="131"/>
    </row>
    <row r="3407" spans="1:5" x14ac:dyDescent="0.25">
      <c r="A3407" s="753">
        <v>504424</v>
      </c>
      <c r="B3407" s="130">
        <v>0</v>
      </c>
      <c r="E3407" s="131"/>
    </row>
    <row r="3408" spans="1:5" x14ac:dyDescent="0.25">
      <c r="A3408" s="753">
        <v>504426</v>
      </c>
      <c r="B3408" s="130">
        <v>0</v>
      </c>
      <c r="E3408" s="131"/>
    </row>
    <row r="3409" spans="1:9" x14ac:dyDescent="0.25">
      <c r="A3409" s="753">
        <v>504428</v>
      </c>
      <c r="B3409" s="130">
        <v>0</v>
      </c>
      <c r="E3409" s="131"/>
    </row>
    <row r="3410" spans="1:9" x14ac:dyDescent="0.25">
      <c r="A3410" s="753">
        <v>504512</v>
      </c>
      <c r="B3410" s="130">
        <v>0</v>
      </c>
      <c r="C3410" s="131" t="s">
        <v>1173</v>
      </c>
      <c r="D3410" s="131">
        <v>16</v>
      </c>
      <c r="E3410" s="131" t="s">
        <v>1079</v>
      </c>
      <c r="F3410" s="767">
        <v>-0.01</v>
      </c>
      <c r="G3410" s="767">
        <v>0</v>
      </c>
      <c r="H3410" s="767">
        <v>-0.01</v>
      </c>
      <c r="I3410" s="768" t="s">
        <v>1867</v>
      </c>
    </row>
    <row r="3411" spans="1:9" x14ac:dyDescent="0.25">
      <c r="A3411" s="753">
        <v>504514</v>
      </c>
      <c r="B3411" s="130">
        <v>0</v>
      </c>
      <c r="C3411" s="131" t="s">
        <v>292</v>
      </c>
      <c r="D3411" s="131">
        <v>16</v>
      </c>
      <c r="E3411" s="131" t="s">
        <v>1080</v>
      </c>
      <c r="F3411" s="767">
        <v>-128273.5</v>
      </c>
      <c r="G3411" s="767">
        <v>0</v>
      </c>
      <c r="H3411" s="767">
        <v>-128273.5</v>
      </c>
      <c r="I3411" s="768" t="s">
        <v>1868</v>
      </c>
    </row>
    <row r="3412" spans="1:9" x14ac:dyDescent="0.25">
      <c r="A3412" s="753">
        <v>504516</v>
      </c>
      <c r="B3412" s="130">
        <v>0</v>
      </c>
      <c r="C3412" s="131" t="s">
        <v>292</v>
      </c>
      <c r="D3412" s="131">
        <v>16</v>
      </c>
      <c r="E3412" s="131" t="s">
        <v>1080</v>
      </c>
      <c r="F3412" s="767">
        <v>-128273.5</v>
      </c>
      <c r="G3412" s="767">
        <v>0</v>
      </c>
      <c r="H3412" s="767">
        <v>-128273.5</v>
      </c>
      <c r="I3412" s="768" t="s">
        <v>1868</v>
      </c>
    </row>
    <row r="3413" spans="1:9" x14ac:dyDescent="0.25">
      <c r="A3413" s="753"/>
      <c r="C3413" s="131" t="s">
        <v>1174</v>
      </c>
      <c r="D3413" s="131">
        <v>16</v>
      </c>
      <c r="E3413" s="131" t="s">
        <v>1081</v>
      </c>
      <c r="F3413" s="767">
        <v>115038.03</v>
      </c>
      <c r="G3413" s="767">
        <v>0</v>
      </c>
      <c r="H3413" s="767">
        <v>115038.03</v>
      </c>
      <c r="I3413" s="768" t="s">
        <v>1869</v>
      </c>
    </row>
    <row r="3414" spans="1:9" x14ac:dyDescent="0.25">
      <c r="A3414" s="753">
        <v>504518</v>
      </c>
      <c r="B3414" s="130">
        <v>0</v>
      </c>
      <c r="E3414" s="131"/>
    </row>
    <row r="3415" spans="1:9" x14ac:dyDescent="0.25">
      <c r="A3415" s="753">
        <v>504522</v>
      </c>
      <c r="B3415" s="130">
        <v>1</v>
      </c>
      <c r="C3415" s="131" t="s">
        <v>1173</v>
      </c>
      <c r="D3415" s="131">
        <v>16</v>
      </c>
      <c r="E3415" s="131" t="s">
        <v>1079</v>
      </c>
      <c r="F3415" s="767">
        <v>-0.01</v>
      </c>
      <c r="G3415" s="767">
        <v>0</v>
      </c>
      <c r="H3415" s="767">
        <v>-0.01</v>
      </c>
      <c r="I3415" s="768" t="s">
        <v>1867</v>
      </c>
    </row>
    <row r="3416" spans="1:9" x14ac:dyDescent="0.25">
      <c r="A3416" s="753">
        <v>504524</v>
      </c>
      <c r="B3416" s="130">
        <v>128274</v>
      </c>
      <c r="C3416" s="131" t="s">
        <v>292</v>
      </c>
      <c r="D3416" s="131">
        <v>16</v>
      </c>
      <c r="E3416" s="131" t="s">
        <v>1080</v>
      </c>
      <c r="F3416" s="767">
        <v>-128273.5</v>
      </c>
      <c r="G3416" s="767">
        <v>0</v>
      </c>
      <c r="H3416" s="767">
        <v>-128273.5</v>
      </c>
      <c r="I3416" s="768" t="s">
        <v>1868</v>
      </c>
    </row>
    <row r="3417" spans="1:9" x14ac:dyDescent="0.25">
      <c r="A3417" s="753">
        <v>504526</v>
      </c>
      <c r="B3417" s="130">
        <v>13236</v>
      </c>
      <c r="C3417" s="131" t="s">
        <v>292</v>
      </c>
      <c r="D3417" s="131">
        <v>16</v>
      </c>
      <c r="E3417" s="131" t="s">
        <v>1080</v>
      </c>
      <c r="F3417" s="767">
        <v>-128273.5</v>
      </c>
      <c r="G3417" s="767">
        <v>0</v>
      </c>
      <c r="H3417" s="767">
        <v>-128273.5</v>
      </c>
      <c r="I3417" s="768" t="s">
        <v>1868</v>
      </c>
    </row>
    <row r="3418" spans="1:9" x14ac:dyDescent="0.25">
      <c r="A3418" s="753"/>
      <c r="C3418" s="131" t="s">
        <v>1174</v>
      </c>
      <c r="D3418" s="131">
        <v>16</v>
      </c>
      <c r="E3418" s="131" t="s">
        <v>1081</v>
      </c>
      <c r="F3418" s="767">
        <v>115038.03</v>
      </c>
      <c r="G3418" s="767">
        <v>0</v>
      </c>
      <c r="H3418" s="767">
        <v>115038.03</v>
      </c>
      <c r="I3418" s="768" t="s">
        <v>1869</v>
      </c>
    </row>
    <row r="3419" spans="1:9" x14ac:dyDescent="0.25">
      <c r="A3419" s="753">
        <v>504528</v>
      </c>
      <c r="B3419" s="130">
        <v>13236</v>
      </c>
      <c r="E3419" s="131"/>
    </row>
    <row r="3420" spans="1:9" x14ac:dyDescent="0.25">
      <c r="A3420" s="753">
        <v>504612</v>
      </c>
      <c r="B3420" s="130">
        <v>0</v>
      </c>
      <c r="E3420" s="131"/>
    </row>
    <row r="3421" spans="1:9" x14ac:dyDescent="0.25">
      <c r="A3421" s="753">
        <v>504614</v>
      </c>
      <c r="B3421" s="130">
        <v>0</v>
      </c>
      <c r="E3421" s="131"/>
    </row>
    <row r="3422" spans="1:9" x14ac:dyDescent="0.25">
      <c r="A3422" s="753">
        <v>504616</v>
      </c>
      <c r="B3422" s="130">
        <v>0</v>
      </c>
      <c r="E3422" s="131"/>
    </row>
    <row r="3423" spans="1:9" x14ac:dyDescent="0.25">
      <c r="A3423" s="753">
        <v>504618</v>
      </c>
      <c r="B3423" s="130">
        <v>0</v>
      </c>
      <c r="E3423" s="131"/>
    </row>
    <row r="3424" spans="1:9" x14ac:dyDescent="0.25">
      <c r="A3424" s="753">
        <v>504622</v>
      </c>
      <c r="B3424" s="130">
        <v>0</v>
      </c>
      <c r="E3424" s="131"/>
    </row>
    <row r="3425" spans="1:5" x14ac:dyDescent="0.25">
      <c r="A3425" s="753">
        <v>504624</v>
      </c>
      <c r="B3425" s="130">
        <v>0</v>
      </c>
      <c r="E3425" s="131"/>
    </row>
    <row r="3426" spans="1:5" x14ac:dyDescent="0.25">
      <c r="A3426" s="753">
        <v>504626</v>
      </c>
      <c r="B3426" s="130">
        <v>0</v>
      </c>
      <c r="E3426" s="131"/>
    </row>
    <row r="3427" spans="1:5" x14ac:dyDescent="0.25">
      <c r="A3427" s="753">
        <v>504628</v>
      </c>
      <c r="B3427" s="130">
        <v>0</v>
      </c>
      <c r="E3427" s="131"/>
    </row>
    <row r="3428" spans="1:5" x14ac:dyDescent="0.25">
      <c r="A3428" s="753">
        <v>504712</v>
      </c>
      <c r="B3428" s="130">
        <v>0</v>
      </c>
      <c r="E3428" s="131"/>
    </row>
    <row r="3429" spans="1:5" x14ac:dyDescent="0.25">
      <c r="A3429" s="753">
        <v>504714</v>
      </c>
      <c r="B3429" s="130">
        <v>0</v>
      </c>
      <c r="E3429" s="131"/>
    </row>
    <row r="3430" spans="1:5" x14ac:dyDescent="0.25">
      <c r="A3430" s="753">
        <v>504716</v>
      </c>
      <c r="B3430" s="130">
        <v>0</v>
      </c>
      <c r="E3430" s="131"/>
    </row>
    <row r="3431" spans="1:5" x14ac:dyDescent="0.25">
      <c r="A3431" s="753">
        <v>504718</v>
      </c>
      <c r="B3431" s="130">
        <v>0</v>
      </c>
      <c r="E3431" s="131"/>
    </row>
    <row r="3432" spans="1:5" x14ac:dyDescent="0.25">
      <c r="A3432" s="753">
        <v>504722</v>
      </c>
      <c r="B3432" s="130">
        <v>0</v>
      </c>
      <c r="E3432" s="131"/>
    </row>
    <row r="3433" spans="1:5" x14ac:dyDescent="0.25">
      <c r="A3433" s="753">
        <v>504724</v>
      </c>
      <c r="B3433" s="130">
        <v>0</v>
      </c>
      <c r="E3433" s="131"/>
    </row>
    <row r="3434" spans="1:5" x14ac:dyDescent="0.25">
      <c r="A3434" s="753">
        <v>504726</v>
      </c>
      <c r="B3434" s="130">
        <v>0</v>
      </c>
      <c r="E3434" s="131"/>
    </row>
    <row r="3435" spans="1:5" x14ac:dyDescent="0.25">
      <c r="A3435" s="753">
        <v>504728</v>
      </c>
      <c r="B3435" s="130">
        <v>0</v>
      </c>
      <c r="E3435" s="131"/>
    </row>
    <row r="3436" spans="1:5" x14ac:dyDescent="0.25">
      <c r="A3436" s="753">
        <v>504812</v>
      </c>
      <c r="B3436" s="130">
        <v>0</v>
      </c>
      <c r="E3436" s="131"/>
    </row>
    <row r="3437" spans="1:5" x14ac:dyDescent="0.25">
      <c r="A3437" s="753">
        <v>504814</v>
      </c>
      <c r="B3437" s="130">
        <v>0</v>
      </c>
      <c r="E3437" s="131"/>
    </row>
    <row r="3438" spans="1:5" x14ac:dyDescent="0.25">
      <c r="A3438" s="753">
        <v>504816</v>
      </c>
      <c r="B3438" s="130">
        <v>0</v>
      </c>
      <c r="E3438" s="131"/>
    </row>
    <row r="3439" spans="1:5" x14ac:dyDescent="0.25">
      <c r="A3439" s="753">
        <v>504818</v>
      </c>
      <c r="B3439" s="130">
        <v>0</v>
      </c>
      <c r="E3439" s="131"/>
    </row>
    <row r="3440" spans="1:5" x14ac:dyDescent="0.25">
      <c r="A3440" s="753">
        <v>504822</v>
      </c>
      <c r="B3440" s="130">
        <v>0</v>
      </c>
      <c r="E3440" s="131"/>
    </row>
    <row r="3441" spans="1:9" x14ac:dyDescent="0.25">
      <c r="A3441" s="753">
        <v>504824</v>
      </c>
      <c r="B3441" s="130">
        <v>0</v>
      </c>
      <c r="E3441" s="131"/>
    </row>
    <row r="3442" spans="1:9" x14ac:dyDescent="0.25">
      <c r="A3442" s="753">
        <v>504826</v>
      </c>
      <c r="B3442" s="130">
        <v>0</v>
      </c>
      <c r="E3442" s="131"/>
    </row>
    <row r="3443" spans="1:9" x14ac:dyDescent="0.25">
      <c r="A3443" s="753">
        <v>504828</v>
      </c>
      <c r="B3443" s="130">
        <v>0</v>
      </c>
      <c r="E3443" s="131"/>
    </row>
    <row r="3444" spans="1:9" x14ac:dyDescent="0.25">
      <c r="A3444" s="753">
        <v>504912</v>
      </c>
      <c r="B3444" s="130">
        <v>0</v>
      </c>
      <c r="E3444" s="131"/>
    </row>
    <row r="3445" spans="1:9" x14ac:dyDescent="0.25">
      <c r="A3445" s="753">
        <v>504914</v>
      </c>
      <c r="B3445" s="130">
        <v>0</v>
      </c>
      <c r="E3445" s="131"/>
    </row>
    <row r="3446" spans="1:9" x14ac:dyDescent="0.25">
      <c r="A3446" s="753">
        <v>504916</v>
      </c>
      <c r="B3446" s="130">
        <v>0</v>
      </c>
      <c r="E3446" s="131"/>
    </row>
    <row r="3447" spans="1:9" x14ac:dyDescent="0.25">
      <c r="A3447" s="753">
        <v>504918</v>
      </c>
      <c r="B3447" s="130">
        <v>0</v>
      </c>
      <c r="E3447" s="131"/>
    </row>
    <row r="3448" spans="1:9" x14ac:dyDescent="0.25">
      <c r="A3448" s="753">
        <v>504922</v>
      </c>
      <c r="B3448" s="130">
        <v>0</v>
      </c>
      <c r="E3448" s="131"/>
    </row>
    <row r="3449" spans="1:9" x14ac:dyDescent="0.25">
      <c r="A3449" s="753">
        <v>504924</v>
      </c>
      <c r="B3449" s="130">
        <v>0</v>
      </c>
      <c r="E3449" s="131"/>
    </row>
    <row r="3450" spans="1:9" x14ac:dyDescent="0.25">
      <c r="A3450" s="753">
        <v>504926</v>
      </c>
      <c r="B3450" s="130">
        <v>0</v>
      </c>
      <c r="E3450" s="131"/>
    </row>
    <row r="3451" spans="1:9" x14ac:dyDescent="0.25">
      <c r="A3451" s="753">
        <v>504928</v>
      </c>
      <c r="B3451" s="130">
        <v>0</v>
      </c>
      <c r="E3451" s="131"/>
    </row>
    <row r="3452" spans="1:9" x14ac:dyDescent="0.25">
      <c r="A3452" s="753">
        <v>505012</v>
      </c>
      <c r="B3452" s="130">
        <v>0</v>
      </c>
      <c r="E3452" s="131"/>
    </row>
    <row r="3453" spans="1:9" x14ac:dyDescent="0.25">
      <c r="A3453" s="753">
        <v>505014</v>
      </c>
      <c r="B3453" s="130">
        <v>0</v>
      </c>
      <c r="E3453" s="131"/>
    </row>
    <row r="3454" spans="1:9" x14ac:dyDescent="0.25">
      <c r="A3454" s="753">
        <v>505016</v>
      </c>
      <c r="B3454" s="130">
        <v>0</v>
      </c>
      <c r="C3454" s="131" t="s">
        <v>292</v>
      </c>
      <c r="D3454" s="131">
        <v>16</v>
      </c>
      <c r="E3454" s="131" t="s">
        <v>1080</v>
      </c>
      <c r="F3454" s="767">
        <v>-128273.5</v>
      </c>
      <c r="G3454" s="767">
        <v>0</v>
      </c>
      <c r="H3454" s="767">
        <v>-128273.5</v>
      </c>
      <c r="I3454" s="768" t="s">
        <v>1868</v>
      </c>
    </row>
    <row r="3455" spans="1:9" x14ac:dyDescent="0.25">
      <c r="A3455" s="753"/>
      <c r="C3455" s="131" t="s">
        <v>1174</v>
      </c>
      <c r="D3455" s="131">
        <v>16</v>
      </c>
      <c r="E3455" s="131" t="s">
        <v>1081</v>
      </c>
      <c r="F3455" s="767">
        <v>115038.03</v>
      </c>
      <c r="G3455" s="767">
        <v>0</v>
      </c>
      <c r="H3455" s="767">
        <v>115038.03</v>
      </c>
      <c r="I3455" s="768" t="s">
        <v>1869</v>
      </c>
    </row>
    <row r="3456" spans="1:9" x14ac:dyDescent="0.25">
      <c r="A3456" s="753">
        <v>505018</v>
      </c>
      <c r="B3456" s="130">
        <v>0</v>
      </c>
      <c r="E3456" s="131"/>
    </row>
    <row r="3457" spans="1:9" x14ac:dyDescent="0.25">
      <c r="A3457" s="753">
        <v>505022</v>
      </c>
      <c r="B3457" s="130">
        <v>1</v>
      </c>
      <c r="E3457" s="131"/>
    </row>
    <row r="3458" spans="1:9" x14ac:dyDescent="0.25">
      <c r="A3458" s="753">
        <v>505024</v>
      </c>
      <c r="B3458" s="130">
        <v>128274</v>
      </c>
      <c r="E3458" s="131"/>
    </row>
    <row r="3459" spans="1:9" x14ac:dyDescent="0.25">
      <c r="A3459" s="753">
        <v>505026</v>
      </c>
      <c r="B3459" s="130">
        <v>13236</v>
      </c>
      <c r="C3459" s="131" t="s">
        <v>292</v>
      </c>
      <c r="D3459" s="131">
        <v>16</v>
      </c>
      <c r="E3459" s="131" t="s">
        <v>1080</v>
      </c>
      <c r="F3459" s="767">
        <v>-128273.5</v>
      </c>
      <c r="G3459" s="767">
        <v>0</v>
      </c>
      <c r="H3459" s="767">
        <v>-128273.5</v>
      </c>
      <c r="I3459" s="768" t="s">
        <v>1868</v>
      </c>
    </row>
    <row r="3460" spans="1:9" x14ac:dyDescent="0.25">
      <c r="A3460" s="753"/>
      <c r="C3460" s="131" t="s">
        <v>1174</v>
      </c>
      <c r="D3460" s="131">
        <v>16</v>
      </c>
      <c r="E3460" s="131" t="s">
        <v>1081</v>
      </c>
      <c r="F3460" s="767">
        <v>115038.03</v>
      </c>
      <c r="G3460" s="767">
        <v>0</v>
      </c>
      <c r="H3460" s="767">
        <v>115038.03</v>
      </c>
      <c r="I3460" s="768" t="s">
        <v>1869</v>
      </c>
    </row>
    <row r="3461" spans="1:9" x14ac:dyDescent="0.25">
      <c r="A3461" s="753">
        <v>505028</v>
      </c>
      <c r="B3461" s="130">
        <v>13236</v>
      </c>
      <c r="E3461" s="131"/>
    </row>
    <row r="3462" spans="1:9" x14ac:dyDescent="0.25">
      <c r="A3462" s="753">
        <v>505112</v>
      </c>
      <c r="B3462" s="130">
        <v>0</v>
      </c>
      <c r="C3462" s="131" t="s">
        <v>1178</v>
      </c>
      <c r="D3462" s="131">
        <v>16</v>
      </c>
      <c r="E3462" s="131" t="s">
        <v>1178</v>
      </c>
      <c r="F3462" s="767">
        <v>-0.02</v>
      </c>
      <c r="G3462" s="767">
        <v>0</v>
      </c>
      <c r="H3462" s="767">
        <v>-0.02</v>
      </c>
      <c r="I3462" s="768" t="s">
        <v>1870</v>
      </c>
    </row>
    <row r="3463" spans="1:9" x14ac:dyDescent="0.25">
      <c r="A3463" s="753">
        <v>505114</v>
      </c>
      <c r="B3463" s="130">
        <v>0</v>
      </c>
      <c r="C3463" s="131" t="s">
        <v>297</v>
      </c>
      <c r="D3463" s="131">
        <v>16</v>
      </c>
      <c r="E3463" s="131" t="s">
        <v>297</v>
      </c>
      <c r="F3463" s="767">
        <v>-156342</v>
      </c>
      <c r="G3463" s="767">
        <v>0</v>
      </c>
      <c r="H3463" s="767">
        <v>-156342</v>
      </c>
      <c r="I3463" s="768" t="s">
        <v>1871</v>
      </c>
    </row>
    <row r="3464" spans="1:9" x14ac:dyDescent="0.25">
      <c r="A3464" s="753">
        <v>505116</v>
      </c>
      <c r="B3464" s="130">
        <v>0</v>
      </c>
      <c r="C3464" s="131" t="s">
        <v>297</v>
      </c>
      <c r="D3464" s="131">
        <v>16</v>
      </c>
      <c r="E3464" s="131" t="s">
        <v>297</v>
      </c>
      <c r="F3464" s="767">
        <v>-156342</v>
      </c>
      <c r="G3464" s="767">
        <v>0</v>
      </c>
      <c r="H3464" s="767">
        <v>-156342</v>
      </c>
      <c r="I3464" s="768" t="s">
        <v>1871</v>
      </c>
    </row>
    <row r="3465" spans="1:9" x14ac:dyDescent="0.25">
      <c r="A3465" s="753"/>
      <c r="C3465" s="131" t="s">
        <v>1083</v>
      </c>
      <c r="D3465" s="131">
        <v>16</v>
      </c>
      <c r="E3465" s="131" t="s">
        <v>1083</v>
      </c>
      <c r="F3465" s="767">
        <v>147709.57999999999</v>
      </c>
      <c r="G3465" s="767">
        <v>0</v>
      </c>
      <c r="H3465" s="767">
        <v>147709.57999999999</v>
      </c>
      <c r="I3465" s="768" t="s">
        <v>1872</v>
      </c>
    </row>
    <row r="3466" spans="1:9" x14ac:dyDescent="0.25">
      <c r="A3466" s="753">
        <v>505118</v>
      </c>
      <c r="B3466" s="130">
        <v>0</v>
      </c>
      <c r="E3466" s="131"/>
    </row>
    <row r="3467" spans="1:9" x14ac:dyDescent="0.25">
      <c r="A3467" s="753">
        <v>505122</v>
      </c>
      <c r="B3467" s="130">
        <v>2</v>
      </c>
      <c r="C3467" s="131" t="s">
        <v>1178</v>
      </c>
      <c r="D3467" s="131">
        <v>16</v>
      </c>
      <c r="E3467" s="131" t="s">
        <v>1178</v>
      </c>
      <c r="F3467" s="767">
        <v>-0.02</v>
      </c>
      <c r="G3467" s="767">
        <v>0</v>
      </c>
      <c r="H3467" s="767">
        <v>-0.02</v>
      </c>
      <c r="I3467" s="768" t="s">
        <v>1870</v>
      </c>
    </row>
    <row r="3468" spans="1:9" x14ac:dyDescent="0.25">
      <c r="A3468" s="753">
        <v>505124</v>
      </c>
      <c r="B3468" s="130">
        <v>156342</v>
      </c>
      <c r="C3468" s="131" t="s">
        <v>297</v>
      </c>
      <c r="D3468" s="131">
        <v>16</v>
      </c>
      <c r="E3468" s="131" t="s">
        <v>297</v>
      </c>
      <c r="F3468" s="767">
        <v>-156342</v>
      </c>
      <c r="G3468" s="767">
        <v>0</v>
      </c>
      <c r="H3468" s="767">
        <v>-156342</v>
      </c>
      <c r="I3468" s="768" t="s">
        <v>1871</v>
      </c>
    </row>
    <row r="3469" spans="1:9" x14ac:dyDescent="0.25">
      <c r="A3469" s="753">
        <v>505126</v>
      </c>
      <c r="B3469" s="130">
        <v>8632</v>
      </c>
      <c r="C3469" s="131" t="s">
        <v>297</v>
      </c>
      <c r="D3469" s="131">
        <v>16</v>
      </c>
      <c r="E3469" s="131" t="s">
        <v>297</v>
      </c>
      <c r="F3469" s="767">
        <v>-156342</v>
      </c>
      <c r="G3469" s="767">
        <v>0</v>
      </c>
      <c r="H3469" s="767">
        <v>-156342</v>
      </c>
      <c r="I3469" s="768" t="s">
        <v>1871</v>
      </c>
    </row>
    <row r="3470" spans="1:9" x14ac:dyDescent="0.25">
      <c r="A3470" s="753"/>
      <c r="C3470" s="131" t="s">
        <v>1083</v>
      </c>
      <c r="D3470" s="131">
        <v>16</v>
      </c>
      <c r="E3470" s="131" t="s">
        <v>1083</v>
      </c>
      <c r="F3470" s="767">
        <v>147709.57999999999</v>
      </c>
      <c r="G3470" s="767">
        <v>0</v>
      </c>
      <c r="H3470" s="767">
        <v>147709.57999999999</v>
      </c>
      <c r="I3470" s="768" t="s">
        <v>1872</v>
      </c>
    </row>
    <row r="3471" spans="1:9" x14ac:dyDescent="0.25">
      <c r="A3471" s="753">
        <v>505128</v>
      </c>
      <c r="B3471" s="130">
        <v>4316</v>
      </c>
      <c r="E3471" s="131"/>
    </row>
    <row r="3472" spans="1:9" x14ac:dyDescent="0.25">
      <c r="A3472" s="753">
        <v>505212</v>
      </c>
      <c r="B3472" s="130">
        <v>0</v>
      </c>
      <c r="C3472" s="131" t="s">
        <v>1179</v>
      </c>
      <c r="D3472" s="131">
        <v>16</v>
      </c>
      <c r="E3472" s="131" t="s">
        <v>1179</v>
      </c>
      <c r="F3472" s="767">
        <v>-0.04</v>
      </c>
      <c r="G3472" s="767">
        <v>0</v>
      </c>
      <c r="H3472" s="767">
        <v>-0.04</v>
      </c>
      <c r="I3472" s="768" t="s">
        <v>1873</v>
      </c>
    </row>
    <row r="3473" spans="1:9" x14ac:dyDescent="0.25">
      <c r="A3473" s="753">
        <v>505214</v>
      </c>
      <c r="B3473" s="130">
        <v>0</v>
      </c>
      <c r="C3473" s="131" t="s">
        <v>299</v>
      </c>
      <c r="D3473" s="131">
        <v>16</v>
      </c>
      <c r="E3473" s="131" t="s">
        <v>299</v>
      </c>
      <c r="F3473" s="767">
        <v>-363200</v>
      </c>
      <c r="G3473" s="767">
        <v>0</v>
      </c>
      <c r="H3473" s="767">
        <v>-363200</v>
      </c>
      <c r="I3473" s="768" t="s">
        <v>1874</v>
      </c>
    </row>
    <row r="3474" spans="1:9" x14ac:dyDescent="0.25">
      <c r="A3474" s="753">
        <v>505216</v>
      </c>
      <c r="B3474" s="130">
        <v>0</v>
      </c>
      <c r="C3474" s="131" t="s">
        <v>299</v>
      </c>
      <c r="D3474" s="131">
        <v>16</v>
      </c>
      <c r="E3474" s="131" t="s">
        <v>299</v>
      </c>
      <c r="F3474" s="767">
        <v>-363200</v>
      </c>
      <c r="G3474" s="767">
        <v>0</v>
      </c>
      <c r="H3474" s="767">
        <v>-363200</v>
      </c>
      <c r="I3474" s="768" t="s">
        <v>1874</v>
      </c>
    </row>
    <row r="3475" spans="1:9" x14ac:dyDescent="0.25">
      <c r="A3475" s="753"/>
      <c r="C3475" s="131" t="s">
        <v>1180</v>
      </c>
      <c r="D3475" s="131">
        <v>16</v>
      </c>
      <c r="E3475" s="131" t="s">
        <v>1180</v>
      </c>
      <c r="F3475" s="767">
        <v>343503.43</v>
      </c>
      <c r="G3475" s="767">
        <v>0</v>
      </c>
      <c r="H3475" s="767">
        <v>343503.43</v>
      </c>
      <c r="I3475" s="768" t="s">
        <v>1875</v>
      </c>
    </row>
    <row r="3476" spans="1:9" x14ac:dyDescent="0.25">
      <c r="A3476" s="753">
        <v>505218</v>
      </c>
      <c r="B3476" s="130">
        <v>0</v>
      </c>
      <c r="E3476" s="131"/>
    </row>
    <row r="3477" spans="1:9" x14ac:dyDescent="0.25">
      <c r="A3477" s="753">
        <v>505222</v>
      </c>
      <c r="B3477" s="130">
        <v>4</v>
      </c>
      <c r="C3477" s="131" t="s">
        <v>1179</v>
      </c>
      <c r="D3477" s="131">
        <v>16</v>
      </c>
      <c r="E3477" s="131" t="s">
        <v>1179</v>
      </c>
      <c r="F3477" s="767">
        <v>-0.04</v>
      </c>
      <c r="G3477" s="767">
        <v>0</v>
      </c>
      <c r="H3477" s="767">
        <v>-0.04</v>
      </c>
      <c r="I3477" s="768" t="s">
        <v>1873</v>
      </c>
    </row>
    <row r="3478" spans="1:9" x14ac:dyDescent="0.25">
      <c r="A3478" s="753">
        <v>505224</v>
      </c>
      <c r="B3478" s="130">
        <v>363200</v>
      </c>
      <c r="C3478" s="131" t="s">
        <v>299</v>
      </c>
      <c r="D3478" s="131">
        <v>16</v>
      </c>
      <c r="E3478" s="131" t="s">
        <v>299</v>
      </c>
      <c r="F3478" s="767">
        <v>-363200</v>
      </c>
      <c r="G3478" s="767">
        <v>0</v>
      </c>
      <c r="H3478" s="767">
        <v>-363200</v>
      </c>
      <c r="I3478" s="768" t="s">
        <v>1874</v>
      </c>
    </row>
    <row r="3479" spans="1:9" x14ac:dyDescent="0.25">
      <c r="A3479" s="753">
        <v>505226</v>
      </c>
      <c r="B3479" s="130">
        <v>19697</v>
      </c>
      <c r="C3479" s="131" t="s">
        <v>299</v>
      </c>
      <c r="D3479" s="131">
        <v>16</v>
      </c>
      <c r="E3479" s="131" t="s">
        <v>299</v>
      </c>
      <c r="F3479" s="767">
        <v>-363200</v>
      </c>
      <c r="G3479" s="767">
        <v>0</v>
      </c>
      <c r="H3479" s="767">
        <v>-363200</v>
      </c>
      <c r="I3479" s="768" t="s">
        <v>1874</v>
      </c>
    </row>
    <row r="3480" spans="1:9" x14ac:dyDescent="0.25">
      <c r="A3480" s="753"/>
      <c r="C3480" s="131" t="s">
        <v>1180</v>
      </c>
      <c r="D3480" s="131">
        <v>16</v>
      </c>
      <c r="E3480" s="131" t="s">
        <v>1180</v>
      </c>
      <c r="F3480" s="767">
        <v>343503.43</v>
      </c>
      <c r="G3480" s="767">
        <v>0</v>
      </c>
      <c r="H3480" s="767">
        <v>343503.43</v>
      </c>
      <c r="I3480" s="768" t="s">
        <v>1875</v>
      </c>
    </row>
    <row r="3481" spans="1:9" x14ac:dyDescent="0.25">
      <c r="A3481" s="753">
        <v>505228</v>
      </c>
      <c r="B3481" s="130">
        <v>4924</v>
      </c>
      <c r="E3481" s="131"/>
    </row>
    <row r="3482" spans="1:9" x14ac:dyDescent="0.25">
      <c r="A3482" s="753">
        <v>505312</v>
      </c>
      <c r="B3482" s="130">
        <v>0</v>
      </c>
      <c r="E3482" s="131"/>
    </row>
    <row r="3483" spans="1:9" x14ac:dyDescent="0.25">
      <c r="A3483" s="753">
        <v>505314</v>
      </c>
      <c r="B3483" s="130">
        <v>0</v>
      </c>
      <c r="E3483" s="131"/>
    </row>
    <row r="3484" spans="1:9" x14ac:dyDescent="0.25">
      <c r="A3484" s="753">
        <v>505316</v>
      </c>
      <c r="B3484" s="130">
        <v>0</v>
      </c>
      <c r="C3484" s="131" t="s">
        <v>297</v>
      </c>
      <c r="D3484" s="131">
        <v>16</v>
      </c>
      <c r="E3484" s="131" t="s">
        <v>297</v>
      </c>
      <c r="F3484" s="767">
        <v>-156342</v>
      </c>
      <c r="G3484" s="767">
        <v>0</v>
      </c>
      <c r="H3484" s="767">
        <v>-156342</v>
      </c>
      <c r="I3484" s="768" t="s">
        <v>1871</v>
      </c>
    </row>
    <row r="3485" spans="1:9" x14ac:dyDescent="0.25">
      <c r="A3485" s="753"/>
      <c r="C3485" s="131" t="s">
        <v>1083</v>
      </c>
      <c r="D3485" s="131">
        <v>16</v>
      </c>
      <c r="E3485" s="131" t="s">
        <v>1083</v>
      </c>
      <c r="F3485" s="767">
        <v>147709.57999999999</v>
      </c>
      <c r="G3485" s="767">
        <v>0</v>
      </c>
      <c r="H3485" s="767">
        <v>147709.57999999999</v>
      </c>
      <c r="I3485" s="768" t="s">
        <v>1872</v>
      </c>
    </row>
    <row r="3486" spans="1:9" x14ac:dyDescent="0.25">
      <c r="A3486" s="753"/>
      <c r="C3486" s="131" t="s">
        <v>299</v>
      </c>
      <c r="D3486" s="131">
        <v>16</v>
      </c>
      <c r="E3486" s="131" t="s">
        <v>299</v>
      </c>
      <c r="F3486" s="767">
        <v>-363200</v>
      </c>
      <c r="G3486" s="767">
        <v>0</v>
      </c>
      <c r="H3486" s="767">
        <v>-363200</v>
      </c>
      <c r="I3486" s="768" t="s">
        <v>1874</v>
      </c>
    </row>
    <row r="3487" spans="1:9" x14ac:dyDescent="0.25">
      <c r="A3487" s="753"/>
      <c r="C3487" s="131" t="s">
        <v>1180</v>
      </c>
      <c r="D3487" s="131">
        <v>16</v>
      </c>
      <c r="E3487" s="131" t="s">
        <v>1180</v>
      </c>
      <c r="F3487" s="767">
        <v>343503.43</v>
      </c>
      <c r="G3487" s="767">
        <v>0</v>
      </c>
      <c r="H3487" s="767">
        <v>343503.43</v>
      </c>
      <c r="I3487" s="768" t="s">
        <v>1875</v>
      </c>
    </row>
    <row r="3488" spans="1:9" x14ac:dyDescent="0.25">
      <c r="A3488" s="753">
        <v>505318</v>
      </c>
      <c r="B3488" s="130">
        <v>0</v>
      </c>
      <c r="E3488" s="131"/>
    </row>
    <row r="3489" spans="1:9" x14ac:dyDescent="0.25">
      <c r="A3489" s="753">
        <v>505322</v>
      </c>
      <c r="B3489" s="130">
        <v>6</v>
      </c>
      <c r="E3489" s="131"/>
    </row>
    <row r="3490" spans="1:9" x14ac:dyDescent="0.25">
      <c r="A3490" s="753">
        <v>505324</v>
      </c>
      <c r="B3490" s="130">
        <v>519542</v>
      </c>
      <c r="E3490" s="131"/>
    </row>
    <row r="3491" spans="1:9" x14ac:dyDescent="0.25">
      <c r="A3491" s="753">
        <v>505326</v>
      </c>
      <c r="B3491" s="130">
        <v>28329</v>
      </c>
      <c r="C3491" s="131" t="s">
        <v>297</v>
      </c>
      <c r="D3491" s="131">
        <v>16</v>
      </c>
      <c r="E3491" s="131" t="s">
        <v>297</v>
      </c>
      <c r="F3491" s="767">
        <v>-156342</v>
      </c>
      <c r="G3491" s="767">
        <v>0</v>
      </c>
      <c r="H3491" s="767">
        <v>-156342</v>
      </c>
      <c r="I3491" s="768" t="s">
        <v>1871</v>
      </c>
    </row>
    <row r="3492" spans="1:9" x14ac:dyDescent="0.25">
      <c r="A3492" s="753"/>
      <c r="C3492" s="131" t="s">
        <v>1083</v>
      </c>
      <c r="D3492" s="131">
        <v>16</v>
      </c>
      <c r="E3492" s="131" t="s">
        <v>1083</v>
      </c>
      <c r="F3492" s="767">
        <v>147709.57999999999</v>
      </c>
      <c r="G3492" s="767">
        <v>0</v>
      </c>
      <c r="H3492" s="767">
        <v>147709.57999999999</v>
      </c>
      <c r="I3492" s="768" t="s">
        <v>1872</v>
      </c>
    </row>
    <row r="3493" spans="1:9" x14ac:dyDescent="0.25">
      <c r="A3493" s="753"/>
      <c r="C3493" s="131" t="s">
        <v>299</v>
      </c>
      <c r="D3493" s="131">
        <v>16</v>
      </c>
      <c r="E3493" s="131" t="s">
        <v>299</v>
      </c>
      <c r="F3493" s="767">
        <v>-363200</v>
      </c>
      <c r="G3493" s="767">
        <v>0</v>
      </c>
      <c r="H3493" s="767">
        <v>-363200</v>
      </c>
      <c r="I3493" s="768" t="s">
        <v>1874</v>
      </c>
    </row>
    <row r="3494" spans="1:9" x14ac:dyDescent="0.25">
      <c r="A3494" s="753"/>
      <c r="C3494" s="131" t="s">
        <v>1180</v>
      </c>
      <c r="D3494" s="131">
        <v>16</v>
      </c>
      <c r="E3494" s="131" t="s">
        <v>1180</v>
      </c>
      <c r="F3494" s="767">
        <v>343503.43</v>
      </c>
      <c r="G3494" s="767">
        <v>0</v>
      </c>
      <c r="H3494" s="767">
        <v>343503.43</v>
      </c>
      <c r="I3494" s="768" t="s">
        <v>1875</v>
      </c>
    </row>
    <row r="3495" spans="1:9" x14ac:dyDescent="0.25">
      <c r="A3495" s="753">
        <v>505328</v>
      </c>
      <c r="B3495" s="130">
        <v>4722</v>
      </c>
      <c r="E3495" s="131"/>
    </row>
    <row r="3496" spans="1:9" x14ac:dyDescent="0.25">
      <c r="A3496" s="753">
        <v>400404</v>
      </c>
      <c r="B3496" s="130">
        <v>4720</v>
      </c>
      <c r="C3496" s="131" t="s">
        <v>1181</v>
      </c>
      <c r="D3496" s="131">
        <v>16</v>
      </c>
      <c r="E3496" s="131" t="s">
        <v>1181</v>
      </c>
      <c r="F3496" s="767">
        <v>51277.21</v>
      </c>
      <c r="G3496" s="767">
        <v>4720.4399999999996</v>
      </c>
      <c r="H3496" s="767">
        <v>55997.65</v>
      </c>
      <c r="I3496" s="768" t="s">
        <v>1876</v>
      </c>
    </row>
    <row r="3497" spans="1:9" x14ac:dyDescent="0.25">
      <c r="A3497" s="753">
        <v>400406</v>
      </c>
      <c r="B3497" s="130">
        <v>55998</v>
      </c>
      <c r="C3497" s="131" t="s">
        <v>1181</v>
      </c>
      <c r="D3497" s="131">
        <v>16</v>
      </c>
      <c r="E3497" s="131" t="s">
        <v>1181</v>
      </c>
      <c r="F3497" s="767">
        <v>51277.21</v>
      </c>
      <c r="G3497" s="767">
        <v>4720.4399999999996</v>
      </c>
      <c r="H3497" s="767">
        <v>55997.65</v>
      </c>
      <c r="I3497" s="768" t="s">
        <v>1876</v>
      </c>
    </row>
    <row r="3498" spans="1:9" x14ac:dyDescent="0.25">
      <c r="A3498" s="753">
        <v>400408</v>
      </c>
      <c r="B3498" s="130">
        <v>8007</v>
      </c>
      <c r="C3498" s="131" t="s">
        <v>1182</v>
      </c>
      <c r="D3498" s="131">
        <v>16</v>
      </c>
      <c r="E3498" s="131" t="s">
        <v>1182</v>
      </c>
      <c r="F3498" s="767">
        <v>25844.67</v>
      </c>
      <c r="G3498" s="767">
        <v>8006.57</v>
      </c>
      <c r="H3498" s="767">
        <v>33851.24</v>
      </c>
      <c r="I3498" s="768" t="s">
        <v>1877</v>
      </c>
    </row>
    <row r="3499" spans="1:9" x14ac:dyDescent="0.25">
      <c r="A3499" s="753">
        <v>400410</v>
      </c>
      <c r="B3499" s="130">
        <v>33851</v>
      </c>
      <c r="C3499" s="131" t="s">
        <v>1182</v>
      </c>
      <c r="D3499" s="131">
        <v>16</v>
      </c>
      <c r="E3499" s="131" t="s">
        <v>1182</v>
      </c>
      <c r="F3499" s="767">
        <v>25844.67</v>
      </c>
      <c r="G3499" s="767">
        <v>8006.57</v>
      </c>
      <c r="H3499" s="767">
        <v>33851.24</v>
      </c>
      <c r="I3499" s="768" t="s">
        <v>1877</v>
      </c>
    </row>
    <row r="3500" spans="1:9" x14ac:dyDescent="0.25">
      <c r="A3500" s="753">
        <v>400412</v>
      </c>
      <c r="B3500" s="130">
        <v>7</v>
      </c>
      <c r="C3500" s="131" t="s">
        <v>1183</v>
      </c>
      <c r="D3500" s="131">
        <v>16</v>
      </c>
      <c r="E3500" s="131" t="s">
        <v>1183</v>
      </c>
      <c r="F3500" s="767">
        <v>104.97</v>
      </c>
      <c r="G3500" s="767">
        <v>6.5</v>
      </c>
      <c r="H3500" s="767">
        <v>111.47</v>
      </c>
      <c r="I3500" s="768" t="s">
        <v>1878</v>
      </c>
    </row>
    <row r="3501" spans="1:9" x14ac:dyDescent="0.25">
      <c r="A3501" s="753">
        <v>400414</v>
      </c>
      <c r="B3501" s="130">
        <v>111</v>
      </c>
      <c r="C3501" s="131" t="s">
        <v>1183</v>
      </c>
      <c r="D3501" s="131">
        <v>16</v>
      </c>
      <c r="E3501" s="131" t="s">
        <v>1183</v>
      </c>
      <c r="F3501" s="767">
        <v>104.97</v>
      </c>
      <c r="G3501" s="767">
        <v>6.5</v>
      </c>
      <c r="H3501" s="767">
        <v>111.47</v>
      </c>
      <c r="I3501" s="768" t="s">
        <v>1878</v>
      </c>
    </row>
    <row r="3502" spans="1:9" x14ac:dyDescent="0.25">
      <c r="A3502" s="753">
        <v>400416</v>
      </c>
      <c r="B3502" s="130">
        <v>0</v>
      </c>
      <c r="E3502" s="131"/>
    </row>
    <row r="3503" spans="1:9" x14ac:dyDescent="0.25">
      <c r="A3503" s="753">
        <v>400418</v>
      </c>
      <c r="B3503" s="130">
        <v>0</v>
      </c>
      <c r="E3503" s="131"/>
    </row>
    <row r="3504" spans="1:9" x14ac:dyDescent="0.25">
      <c r="A3504" s="753">
        <v>400420</v>
      </c>
      <c r="B3504" s="130">
        <v>0</v>
      </c>
      <c r="E3504" s="131"/>
    </row>
    <row r="3505" spans="1:5" x14ac:dyDescent="0.25">
      <c r="A3505" s="753">
        <v>400422</v>
      </c>
      <c r="B3505" s="130">
        <v>0</v>
      </c>
      <c r="E3505" s="131"/>
    </row>
    <row r="3506" spans="1:5" x14ac:dyDescent="0.25">
      <c r="A3506" s="753">
        <v>400504</v>
      </c>
      <c r="B3506" s="130">
        <v>0</v>
      </c>
      <c r="E3506" s="131"/>
    </row>
    <row r="3507" spans="1:5" x14ac:dyDescent="0.25">
      <c r="A3507" s="753">
        <v>400506</v>
      </c>
      <c r="B3507" s="130">
        <v>0</v>
      </c>
      <c r="E3507" s="131"/>
    </row>
    <row r="3508" spans="1:5" x14ac:dyDescent="0.25">
      <c r="A3508" s="753">
        <v>400508</v>
      </c>
      <c r="B3508" s="130">
        <v>0</v>
      </c>
      <c r="E3508" s="131"/>
    </row>
    <row r="3509" spans="1:5" x14ac:dyDescent="0.25">
      <c r="A3509" s="753">
        <v>400510</v>
      </c>
      <c r="B3509" s="130">
        <v>0</v>
      </c>
      <c r="E3509" s="131"/>
    </row>
    <row r="3510" spans="1:5" x14ac:dyDescent="0.25">
      <c r="A3510" s="753">
        <v>400512</v>
      </c>
      <c r="B3510" s="130">
        <v>0</v>
      </c>
      <c r="E3510" s="131"/>
    </row>
    <row r="3511" spans="1:5" x14ac:dyDescent="0.25">
      <c r="A3511" s="753">
        <v>400514</v>
      </c>
      <c r="B3511" s="130">
        <v>0</v>
      </c>
      <c r="E3511" s="131"/>
    </row>
    <row r="3512" spans="1:5" x14ac:dyDescent="0.25">
      <c r="A3512" s="753">
        <v>400516</v>
      </c>
      <c r="B3512" s="130">
        <v>0</v>
      </c>
      <c r="E3512" s="131"/>
    </row>
    <row r="3513" spans="1:5" x14ac:dyDescent="0.25">
      <c r="A3513" s="753">
        <v>400518</v>
      </c>
      <c r="B3513" s="130">
        <v>0</v>
      </c>
      <c r="E3513" s="131"/>
    </row>
    <row r="3514" spans="1:5" x14ac:dyDescent="0.25">
      <c r="A3514" s="753">
        <v>400520</v>
      </c>
      <c r="B3514" s="130">
        <v>0</v>
      </c>
      <c r="E3514" s="131"/>
    </row>
    <row r="3515" spans="1:5" x14ac:dyDescent="0.25">
      <c r="A3515" s="753">
        <v>400522</v>
      </c>
      <c r="B3515" s="130">
        <v>0</v>
      </c>
      <c r="E3515" s="131"/>
    </row>
    <row r="3516" spans="1:5" x14ac:dyDescent="0.25">
      <c r="A3516" s="753">
        <v>400604</v>
      </c>
      <c r="B3516" s="130">
        <v>4720</v>
      </c>
      <c r="E3516" s="131"/>
    </row>
    <row r="3517" spans="1:5" x14ac:dyDescent="0.25">
      <c r="A3517" s="753">
        <v>400606</v>
      </c>
      <c r="B3517" s="130">
        <v>55998</v>
      </c>
      <c r="E3517" s="131"/>
    </row>
    <row r="3518" spans="1:5" x14ac:dyDescent="0.25">
      <c r="A3518" s="753">
        <v>400608</v>
      </c>
      <c r="B3518" s="130">
        <v>8007</v>
      </c>
      <c r="E3518" s="131"/>
    </row>
    <row r="3519" spans="1:5" x14ac:dyDescent="0.25">
      <c r="A3519" s="753">
        <v>400610</v>
      </c>
      <c r="B3519" s="130">
        <v>33851</v>
      </c>
      <c r="E3519" s="131"/>
    </row>
    <row r="3520" spans="1:5" x14ac:dyDescent="0.25">
      <c r="A3520" s="753">
        <v>400612</v>
      </c>
      <c r="B3520" s="130">
        <v>7</v>
      </c>
      <c r="E3520" s="131"/>
    </row>
    <row r="3521" spans="1:9" x14ac:dyDescent="0.25">
      <c r="A3521" s="753">
        <v>400614</v>
      </c>
      <c r="B3521" s="130">
        <v>111</v>
      </c>
      <c r="E3521" s="131"/>
    </row>
    <row r="3522" spans="1:9" x14ac:dyDescent="0.25">
      <c r="A3522" s="753">
        <v>400616</v>
      </c>
      <c r="B3522" s="130">
        <v>0</v>
      </c>
      <c r="E3522" s="131"/>
    </row>
    <row r="3523" spans="1:9" x14ac:dyDescent="0.25">
      <c r="A3523" s="753">
        <v>400618</v>
      </c>
      <c r="B3523" s="130">
        <v>0</v>
      </c>
      <c r="E3523" s="131"/>
    </row>
    <row r="3524" spans="1:9" x14ac:dyDescent="0.25">
      <c r="A3524" s="753">
        <v>400620</v>
      </c>
      <c r="B3524" s="130">
        <v>0</v>
      </c>
      <c r="E3524" s="131"/>
    </row>
    <row r="3525" spans="1:9" x14ac:dyDescent="0.25">
      <c r="A3525" s="753">
        <v>400622</v>
      </c>
      <c r="B3525" s="130">
        <v>0</v>
      </c>
      <c r="E3525" s="131"/>
    </row>
    <row r="3526" spans="1:9" x14ac:dyDescent="0.25">
      <c r="A3526" s="753">
        <v>400704</v>
      </c>
      <c r="B3526" s="130">
        <v>3515</v>
      </c>
      <c r="C3526" s="131" t="s">
        <v>1184</v>
      </c>
      <c r="D3526" s="131">
        <v>16</v>
      </c>
      <c r="E3526" s="131" t="s">
        <v>1184</v>
      </c>
      <c r="F3526" s="767">
        <v>26660.53</v>
      </c>
      <c r="G3526" s="767">
        <v>3514.7</v>
      </c>
      <c r="H3526" s="767">
        <v>30175.23</v>
      </c>
      <c r="I3526" s="768" t="s">
        <v>1879</v>
      </c>
    </row>
    <row r="3527" spans="1:9" x14ac:dyDescent="0.25">
      <c r="A3527" s="753">
        <v>400706</v>
      </c>
      <c r="B3527" s="130">
        <v>30175</v>
      </c>
      <c r="C3527" s="131" t="s">
        <v>1184</v>
      </c>
      <c r="D3527" s="131">
        <v>16</v>
      </c>
      <c r="E3527" s="131" t="s">
        <v>1184</v>
      </c>
      <c r="F3527" s="767">
        <v>26660.53</v>
      </c>
      <c r="G3527" s="767">
        <v>3514.7</v>
      </c>
      <c r="H3527" s="767">
        <v>30175.23</v>
      </c>
      <c r="I3527" s="768" t="s">
        <v>1879</v>
      </c>
    </row>
    <row r="3528" spans="1:9" x14ac:dyDescent="0.25">
      <c r="A3528" s="753">
        <v>400708</v>
      </c>
      <c r="B3528" s="130">
        <v>3124</v>
      </c>
      <c r="C3528" s="131" t="s">
        <v>1185</v>
      </c>
      <c r="D3528" s="131">
        <v>16</v>
      </c>
      <c r="E3528" s="131" t="s">
        <v>1185</v>
      </c>
      <c r="F3528" s="767">
        <v>23698.22</v>
      </c>
      <c r="G3528" s="767">
        <v>3124.17</v>
      </c>
      <c r="H3528" s="767">
        <v>26822.39</v>
      </c>
      <c r="I3528" s="768" t="s">
        <v>1880</v>
      </c>
    </row>
    <row r="3529" spans="1:9" x14ac:dyDescent="0.25">
      <c r="A3529" s="753">
        <v>400710</v>
      </c>
      <c r="B3529" s="130">
        <v>26822</v>
      </c>
      <c r="C3529" s="131" t="s">
        <v>1185</v>
      </c>
      <c r="D3529" s="131">
        <v>16</v>
      </c>
      <c r="E3529" s="131" t="s">
        <v>1185</v>
      </c>
      <c r="F3529" s="767">
        <v>23698.22</v>
      </c>
      <c r="G3529" s="767">
        <v>3124.17</v>
      </c>
      <c r="H3529" s="767">
        <v>26822.39</v>
      </c>
      <c r="I3529" s="768" t="s">
        <v>1880</v>
      </c>
    </row>
    <row r="3530" spans="1:9" x14ac:dyDescent="0.25">
      <c r="A3530" s="753">
        <v>400712</v>
      </c>
      <c r="B3530" s="130">
        <v>390</v>
      </c>
      <c r="C3530" s="131" t="s">
        <v>1186</v>
      </c>
      <c r="D3530" s="131">
        <v>16</v>
      </c>
      <c r="E3530" s="131" t="s">
        <v>1186</v>
      </c>
      <c r="F3530" s="767">
        <v>2962.19</v>
      </c>
      <c r="G3530" s="767">
        <v>390.49</v>
      </c>
      <c r="H3530" s="767">
        <v>3352.68</v>
      </c>
      <c r="I3530" s="768" t="s">
        <v>1881</v>
      </c>
    </row>
    <row r="3531" spans="1:9" x14ac:dyDescent="0.25">
      <c r="A3531" s="753">
        <v>400714</v>
      </c>
      <c r="B3531" s="130">
        <v>3353</v>
      </c>
      <c r="C3531" s="131" t="s">
        <v>1186</v>
      </c>
      <c r="D3531" s="131">
        <v>16</v>
      </c>
      <c r="E3531" s="131" t="s">
        <v>1186</v>
      </c>
      <c r="F3531" s="767">
        <v>2962.19</v>
      </c>
      <c r="G3531" s="767">
        <v>390.49</v>
      </c>
      <c r="H3531" s="767">
        <v>3352.68</v>
      </c>
      <c r="I3531" s="768" t="s">
        <v>1881</v>
      </c>
    </row>
    <row r="3532" spans="1:9" x14ac:dyDescent="0.25">
      <c r="A3532" s="753">
        <v>400716</v>
      </c>
      <c r="B3532" s="130">
        <v>0</v>
      </c>
      <c r="E3532" s="131"/>
    </row>
    <row r="3533" spans="1:9" x14ac:dyDescent="0.25">
      <c r="A3533" s="753">
        <v>400718</v>
      </c>
      <c r="B3533" s="130">
        <v>0</v>
      </c>
      <c r="E3533" s="131"/>
    </row>
    <row r="3534" spans="1:9" x14ac:dyDescent="0.25">
      <c r="A3534" s="753">
        <v>400720</v>
      </c>
      <c r="B3534" s="130">
        <v>0</v>
      </c>
      <c r="E3534" s="131"/>
    </row>
    <row r="3535" spans="1:9" x14ac:dyDescent="0.25">
      <c r="A3535" s="753">
        <v>400722</v>
      </c>
      <c r="B3535" s="130">
        <v>0</v>
      </c>
      <c r="E3535" s="131"/>
    </row>
    <row r="3536" spans="1:9" x14ac:dyDescent="0.25">
      <c r="A3536" s="753">
        <v>400804</v>
      </c>
      <c r="B3536" s="130">
        <v>13006</v>
      </c>
      <c r="C3536" s="131" t="s">
        <v>1187</v>
      </c>
      <c r="D3536" s="131">
        <v>16</v>
      </c>
      <c r="E3536" s="131" t="s">
        <v>1187</v>
      </c>
      <c r="F3536" s="767">
        <v>71905.490000000005</v>
      </c>
      <c r="G3536" s="767">
        <v>13005.57</v>
      </c>
      <c r="H3536" s="767">
        <v>84911.06</v>
      </c>
      <c r="I3536" s="768" t="s">
        <v>1882</v>
      </c>
    </row>
    <row r="3537" spans="1:9" x14ac:dyDescent="0.25">
      <c r="A3537" s="753">
        <v>400806</v>
      </c>
      <c r="B3537" s="130">
        <v>84911</v>
      </c>
      <c r="C3537" s="131" t="s">
        <v>1187</v>
      </c>
      <c r="D3537" s="131">
        <v>16</v>
      </c>
      <c r="E3537" s="131" t="s">
        <v>1187</v>
      </c>
      <c r="F3537" s="767">
        <v>71905.490000000005</v>
      </c>
      <c r="G3537" s="767">
        <v>13005.57</v>
      </c>
      <c r="H3537" s="767">
        <v>84911.06</v>
      </c>
      <c r="I3537" s="768" t="s">
        <v>1882</v>
      </c>
    </row>
    <row r="3538" spans="1:9" x14ac:dyDescent="0.25">
      <c r="A3538" s="753">
        <v>400808</v>
      </c>
      <c r="B3538" s="130">
        <v>2434</v>
      </c>
      <c r="C3538" s="131" t="s">
        <v>1188</v>
      </c>
      <c r="D3538" s="131">
        <v>16</v>
      </c>
      <c r="E3538" s="131" t="s">
        <v>1188</v>
      </c>
      <c r="F3538" s="767">
        <v>31612.98</v>
      </c>
      <c r="G3538" s="767">
        <v>2434.1999999999998</v>
      </c>
      <c r="H3538" s="767">
        <v>34047.18</v>
      </c>
      <c r="I3538" s="768" t="s">
        <v>1883</v>
      </c>
    </row>
    <row r="3539" spans="1:9" x14ac:dyDescent="0.25">
      <c r="A3539" s="753">
        <v>400810</v>
      </c>
      <c r="B3539" s="130">
        <v>34047</v>
      </c>
      <c r="C3539" s="131" t="s">
        <v>1188</v>
      </c>
      <c r="D3539" s="131">
        <v>16</v>
      </c>
      <c r="E3539" s="131" t="s">
        <v>1188</v>
      </c>
      <c r="F3539" s="767">
        <v>31612.98</v>
      </c>
      <c r="G3539" s="767">
        <v>2434.1999999999998</v>
      </c>
      <c r="H3539" s="767">
        <v>34047.18</v>
      </c>
      <c r="I3539" s="768" t="s">
        <v>1883</v>
      </c>
    </row>
    <row r="3540" spans="1:9" x14ac:dyDescent="0.25">
      <c r="A3540" s="753">
        <v>400812</v>
      </c>
      <c r="B3540" s="130">
        <v>304</v>
      </c>
      <c r="C3540" s="131" t="s">
        <v>1189</v>
      </c>
      <c r="D3540" s="131">
        <v>16</v>
      </c>
      <c r="E3540" s="131" t="s">
        <v>1189</v>
      </c>
      <c r="F3540" s="767">
        <v>2738.43</v>
      </c>
      <c r="G3540" s="767">
        <v>304.27</v>
      </c>
      <c r="H3540" s="767">
        <v>3042.7</v>
      </c>
      <c r="I3540" s="768" t="s">
        <v>1884</v>
      </c>
    </row>
    <row r="3541" spans="1:9" x14ac:dyDescent="0.25">
      <c r="A3541" s="753">
        <v>400814</v>
      </c>
      <c r="B3541" s="130">
        <v>3043</v>
      </c>
      <c r="C3541" s="131" t="s">
        <v>1189</v>
      </c>
      <c r="D3541" s="131">
        <v>16</v>
      </c>
      <c r="E3541" s="131" t="s">
        <v>1189</v>
      </c>
      <c r="F3541" s="767">
        <v>2738.43</v>
      </c>
      <c r="G3541" s="767">
        <v>304.27</v>
      </c>
      <c r="H3541" s="767">
        <v>3042.7</v>
      </c>
      <c r="I3541" s="768" t="s">
        <v>1884</v>
      </c>
    </row>
    <row r="3542" spans="1:9" x14ac:dyDescent="0.25">
      <c r="A3542" s="753">
        <v>400816</v>
      </c>
      <c r="B3542" s="130">
        <v>0</v>
      </c>
      <c r="E3542" s="131"/>
    </row>
    <row r="3543" spans="1:9" x14ac:dyDescent="0.25">
      <c r="A3543" s="753">
        <v>400818</v>
      </c>
      <c r="B3543" s="130">
        <v>0</v>
      </c>
      <c r="E3543" s="131"/>
    </row>
    <row r="3544" spans="1:9" x14ac:dyDescent="0.25">
      <c r="A3544" s="753">
        <v>400820</v>
      </c>
      <c r="B3544" s="130">
        <v>0</v>
      </c>
      <c r="E3544" s="131"/>
    </row>
    <row r="3545" spans="1:9" x14ac:dyDescent="0.25">
      <c r="A3545" s="753">
        <v>400822</v>
      </c>
      <c r="B3545" s="130">
        <v>0</v>
      </c>
      <c r="E3545" s="131"/>
    </row>
    <row r="3546" spans="1:9" x14ac:dyDescent="0.25">
      <c r="A3546" s="753">
        <v>400904</v>
      </c>
      <c r="B3546" s="130">
        <v>5059</v>
      </c>
      <c r="C3546" s="131" t="s">
        <v>1190</v>
      </c>
      <c r="D3546" s="131">
        <v>16</v>
      </c>
      <c r="E3546" s="131" t="s">
        <v>1190</v>
      </c>
      <c r="F3546" s="767">
        <v>42443.57</v>
      </c>
      <c r="G3546" s="767">
        <v>5058.6099999999997</v>
      </c>
      <c r="H3546" s="767">
        <v>47502.18</v>
      </c>
      <c r="I3546" s="768" t="s">
        <v>1885</v>
      </c>
    </row>
    <row r="3547" spans="1:9" x14ac:dyDescent="0.25">
      <c r="A3547" s="753">
        <v>400906</v>
      </c>
      <c r="B3547" s="130">
        <v>47502</v>
      </c>
      <c r="C3547" s="131" t="s">
        <v>1190</v>
      </c>
      <c r="D3547" s="131">
        <v>16</v>
      </c>
      <c r="E3547" s="131" t="s">
        <v>1190</v>
      </c>
      <c r="F3547" s="767">
        <v>42443.57</v>
      </c>
      <c r="G3547" s="767">
        <v>5058.6099999999997</v>
      </c>
      <c r="H3547" s="767">
        <v>47502.18</v>
      </c>
      <c r="I3547" s="768" t="s">
        <v>1885</v>
      </c>
    </row>
    <row r="3548" spans="1:9" x14ac:dyDescent="0.25">
      <c r="A3548" s="753">
        <v>400908</v>
      </c>
      <c r="B3548" s="130">
        <v>3028</v>
      </c>
      <c r="C3548" s="131" t="s">
        <v>1191</v>
      </c>
      <c r="D3548" s="131">
        <v>16</v>
      </c>
      <c r="E3548" s="131" t="s">
        <v>1191</v>
      </c>
      <c r="F3548" s="767">
        <v>23925.71</v>
      </c>
      <c r="G3548" s="767">
        <v>3027.72</v>
      </c>
      <c r="H3548" s="767">
        <v>26953.43</v>
      </c>
      <c r="I3548" s="768" t="s">
        <v>1886</v>
      </c>
    </row>
    <row r="3549" spans="1:9" x14ac:dyDescent="0.25">
      <c r="A3549" s="753">
        <v>400910</v>
      </c>
      <c r="B3549" s="130">
        <v>26953</v>
      </c>
      <c r="C3549" s="131" t="s">
        <v>1191</v>
      </c>
      <c r="D3549" s="131">
        <v>16</v>
      </c>
      <c r="E3549" s="131" t="s">
        <v>1191</v>
      </c>
      <c r="F3549" s="767">
        <v>23925.71</v>
      </c>
      <c r="G3549" s="767">
        <v>3027.72</v>
      </c>
      <c r="H3549" s="767">
        <v>26953.43</v>
      </c>
      <c r="I3549" s="768" t="s">
        <v>1886</v>
      </c>
    </row>
    <row r="3550" spans="1:9" x14ac:dyDescent="0.25">
      <c r="A3550" s="753">
        <v>400912</v>
      </c>
      <c r="B3550" s="130">
        <v>378</v>
      </c>
      <c r="C3550" s="131" t="s">
        <v>1192</v>
      </c>
      <c r="D3550" s="131">
        <v>16</v>
      </c>
      <c r="E3550" s="131" t="s">
        <v>1192</v>
      </c>
      <c r="F3550" s="767">
        <v>2990.56</v>
      </c>
      <c r="G3550" s="767">
        <v>378.45</v>
      </c>
      <c r="H3550" s="767">
        <v>3369.01</v>
      </c>
      <c r="I3550" s="768" t="s">
        <v>1887</v>
      </c>
    </row>
    <row r="3551" spans="1:9" x14ac:dyDescent="0.25">
      <c r="A3551" s="753">
        <v>400914</v>
      </c>
      <c r="B3551" s="130">
        <v>3369</v>
      </c>
      <c r="C3551" s="131" t="s">
        <v>1192</v>
      </c>
      <c r="D3551" s="131">
        <v>16</v>
      </c>
      <c r="E3551" s="131" t="s">
        <v>1192</v>
      </c>
      <c r="F3551" s="767">
        <v>2990.56</v>
      </c>
      <c r="G3551" s="767">
        <v>378.45</v>
      </c>
      <c r="H3551" s="767">
        <v>3369.01</v>
      </c>
      <c r="I3551" s="768" t="s">
        <v>1887</v>
      </c>
    </row>
    <row r="3552" spans="1:9" x14ac:dyDescent="0.25">
      <c r="A3552" s="753">
        <v>400916</v>
      </c>
      <c r="B3552" s="130">
        <v>0</v>
      </c>
      <c r="E3552" s="131"/>
    </row>
    <row r="3553" spans="1:9" x14ac:dyDescent="0.25">
      <c r="A3553" s="753">
        <v>400918</v>
      </c>
      <c r="B3553" s="130">
        <v>0</v>
      </c>
      <c r="E3553" s="131"/>
    </row>
    <row r="3554" spans="1:9" x14ac:dyDescent="0.25">
      <c r="A3554" s="753">
        <v>400920</v>
      </c>
      <c r="B3554" s="130">
        <v>0</v>
      </c>
      <c r="E3554" s="131"/>
    </row>
    <row r="3555" spans="1:9" x14ac:dyDescent="0.25">
      <c r="A3555" s="753">
        <v>400922</v>
      </c>
      <c r="B3555" s="130">
        <v>0</v>
      </c>
      <c r="E3555" s="131"/>
    </row>
    <row r="3556" spans="1:9" x14ac:dyDescent="0.25">
      <c r="A3556" s="753">
        <v>401004</v>
      </c>
      <c r="B3556" s="130">
        <v>15814</v>
      </c>
      <c r="C3556" s="131" t="s">
        <v>1193</v>
      </c>
      <c r="D3556" s="131">
        <v>16</v>
      </c>
      <c r="E3556" s="131" t="s">
        <v>1193</v>
      </c>
      <c r="F3556" s="767">
        <v>97577.33</v>
      </c>
      <c r="G3556" s="767">
        <v>15814.28</v>
      </c>
      <c r="H3556" s="767">
        <v>113391.61</v>
      </c>
      <c r="I3556" s="768" t="s">
        <v>1888</v>
      </c>
    </row>
    <row r="3557" spans="1:9" x14ac:dyDescent="0.25">
      <c r="A3557" s="753">
        <v>401006</v>
      </c>
      <c r="B3557" s="130">
        <v>113392</v>
      </c>
      <c r="C3557" s="131" t="s">
        <v>1193</v>
      </c>
      <c r="D3557" s="131">
        <v>16</v>
      </c>
      <c r="E3557" s="131" t="s">
        <v>1193</v>
      </c>
      <c r="F3557" s="767">
        <v>97577.33</v>
      </c>
      <c r="G3557" s="767">
        <v>15814.28</v>
      </c>
      <c r="H3557" s="767">
        <v>113391.61</v>
      </c>
      <c r="I3557" s="768" t="s">
        <v>1888</v>
      </c>
    </row>
    <row r="3558" spans="1:9" x14ac:dyDescent="0.25">
      <c r="A3558" s="753">
        <v>401008</v>
      </c>
      <c r="B3558" s="130">
        <v>0</v>
      </c>
      <c r="E3558" s="131"/>
    </row>
    <row r="3559" spans="1:9" x14ac:dyDescent="0.25">
      <c r="A3559" s="753">
        <v>401010</v>
      </c>
      <c r="B3559" s="130">
        <v>0</v>
      </c>
      <c r="E3559" s="131"/>
    </row>
    <row r="3560" spans="1:9" x14ac:dyDescent="0.25">
      <c r="A3560" s="753">
        <v>401012</v>
      </c>
      <c r="B3560" s="130">
        <v>0</v>
      </c>
      <c r="E3560" s="131"/>
    </row>
    <row r="3561" spans="1:9" x14ac:dyDescent="0.25">
      <c r="A3561" s="753">
        <v>401014</v>
      </c>
      <c r="B3561" s="130">
        <v>0</v>
      </c>
      <c r="E3561" s="131"/>
    </row>
    <row r="3562" spans="1:9" x14ac:dyDescent="0.25">
      <c r="A3562" s="753">
        <v>401016</v>
      </c>
      <c r="B3562" s="130">
        <v>0</v>
      </c>
      <c r="E3562" s="131"/>
    </row>
    <row r="3563" spans="1:9" x14ac:dyDescent="0.25">
      <c r="A3563" s="753">
        <v>401018</v>
      </c>
      <c r="B3563" s="130">
        <v>0</v>
      </c>
      <c r="E3563" s="131"/>
    </row>
    <row r="3564" spans="1:9" x14ac:dyDescent="0.25">
      <c r="A3564" s="753">
        <v>401020</v>
      </c>
      <c r="B3564" s="130">
        <v>0</v>
      </c>
      <c r="E3564" s="131"/>
    </row>
    <row r="3565" spans="1:9" x14ac:dyDescent="0.25">
      <c r="A3565" s="753">
        <v>401022</v>
      </c>
      <c r="B3565" s="130">
        <v>0</v>
      </c>
      <c r="E3565" s="131"/>
    </row>
    <row r="3566" spans="1:9" x14ac:dyDescent="0.25">
      <c r="A3566" s="753">
        <v>401104</v>
      </c>
      <c r="B3566" s="130">
        <v>9581</v>
      </c>
      <c r="C3566" s="131" t="s">
        <v>1194</v>
      </c>
      <c r="D3566" s="131">
        <v>16</v>
      </c>
      <c r="E3566" s="131" t="s">
        <v>1194</v>
      </c>
      <c r="F3566" s="767">
        <v>43459.37</v>
      </c>
      <c r="G3566" s="767">
        <v>9581.2000000000007</v>
      </c>
      <c r="H3566" s="767">
        <v>53040.57</v>
      </c>
      <c r="I3566" s="768" t="s">
        <v>1889</v>
      </c>
    </row>
    <row r="3567" spans="1:9" x14ac:dyDescent="0.25">
      <c r="A3567" s="753">
        <v>401106</v>
      </c>
      <c r="B3567" s="130">
        <v>53041</v>
      </c>
      <c r="C3567" s="131" t="s">
        <v>1194</v>
      </c>
      <c r="D3567" s="131">
        <v>16</v>
      </c>
      <c r="E3567" s="131" t="s">
        <v>1194</v>
      </c>
      <c r="F3567" s="767">
        <v>43459.37</v>
      </c>
      <c r="G3567" s="767">
        <v>9581.2000000000007</v>
      </c>
      <c r="H3567" s="767">
        <v>53040.57</v>
      </c>
      <c r="I3567" s="768" t="s">
        <v>1889</v>
      </c>
    </row>
    <row r="3568" spans="1:9" x14ac:dyDescent="0.25">
      <c r="A3568" s="753">
        <v>401108</v>
      </c>
      <c r="B3568" s="130">
        <v>15277</v>
      </c>
      <c r="C3568" s="131" t="s">
        <v>1195</v>
      </c>
      <c r="D3568" s="131">
        <v>16</v>
      </c>
      <c r="E3568" s="131" t="s">
        <v>1195</v>
      </c>
      <c r="F3568" s="767">
        <v>109459.3</v>
      </c>
      <c r="G3568" s="767">
        <v>15276.95</v>
      </c>
      <c r="H3568" s="767">
        <v>124736.25</v>
      </c>
      <c r="I3568" s="768" t="s">
        <v>1890</v>
      </c>
    </row>
    <row r="3569" spans="1:9" x14ac:dyDescent="0.25">
      <c r="A3569" s="753">
        <v>401110</v>
      </c>
      <c r="B3569" s="130">
        <v>124736</v>
      </c>
      <c r="C3569" s="131" t="s">
        <v>1195</v>
      </c>
      <c r="D3569" s="131">
        <v>16</v>
      </c>
      <c r="E3569" s="131" t="s">
        <v>1195</v>
      </c>
      <c r="F3569" s="767">
        <v>109459.3</v>
      </c>
      <c r="G3569" s="767">
        <v>15276.95</v>
      </c>
      <c r="H3569" s="767">
        <v>124736.25</v>
      </c>
      <c r="I3569" s="768" t="s">
        <v>1890</v>
      </c>
    </row>
    <row r="3570" spans="1:9" x14ac:dyDescent="0.25">
      <c r="A3570" s="753">
        <v>401112</v>
      </c>
      <c r="B3570" s="130">
        <v>19</v>
      </c>
      <c r="C3570" s="131" t="s">
        <v>1197</v>
      </c>
      <c r="D3570" s="131">
        <v>16</v>
      </c>
      <c r="E3570" s="131" t="s">
        <v>1197</v>
      </c>
      <c r="F3570" s="767">
        <v>171</v>
      </c>
      <c r="G3570" s="767">
        <v>19</v>
      </c>
      <c r="H3570" s="767">
        <v>190</v>
      </c>
      <c r="I3570" s="768" t="s">
        <v>1891</v>
      </c>
    </row>
    <row r="3571" spans="1:9" x14ac:dyDescent="0.25">
      <c r="A3571" s="753">
        <v>401114</v>
      </c>
      <c r="B3571" s="130">
        <v>190</v>
      </c>
      <c r="C3571" s="131" t="s">
        <v>1197</v>
      </c>
      <c r="D3571" s="131">
        <v>16</v>
      </c>
      <c r="E3571" s="131" t="s">
        <v>1197</v>
      </c>
      <c r="F3571" s="767">
        <v>171</v>
      </c>
      <c r="G3571" s="767">
        <v>19</v>
      </c>
      <c r="H3571" s="767">
        <v>190</v>
      </c>
      <c r="I3571" s="768" t="s">
        <v>1891</v>
      </c>
    </row>
    <row r="3572" spans="1:9" x14ac:dyDescent="0.25">
      <c r="A3572" s="753">
        <v>401116</v>
      </c>
      <c r="B3572" s="130">
        <v>0</v>
      </c>
      <c r="E3572" s="131"/>
    </row>
    <row r="3573" spans="1:9" x14ac:dyDescent="0.25">
      <c r="A3573" s="753">
        <v>401118</v>
      </c>
      <c r="B3573" s="130">
        <v>0</v>
      </c>
      <c r="E3573" s="131"/>
    </row>
    <row r="3574" spans="1:9" x14ac:dyDescent="0.25">
      <c r="A3574" s="753">
        <v>401120</v>
      </c>
      <c r="B3574" s="130">
        <v>0</v>
      </c>
      <c r="E3574" s="131"/>
    </row>
    <row r="3575" spans="1:9" x14ac:dyDescent="0.25">
      <c r="A3575" s="753">
        <v>401122</v>
      </c>
      <c r="B3575" s="130">
        <v>0</v>
      </c>
      <c r="E3575" s="131"/>
    </row>
    <row r="3576" spans="1:9" x14ac:dyDescent="0.25">
      <c r="A3576" s="753">
        <v>401204</v>
      </c>
      <c r="B3576" s="130">
        <v>8709</v>
      </c>
      <c r="C3576" s="131" t="s">
        <v>1198</v>
      </c>
      <c r="D3576" s="131">
        <v>16</v>
      </c>
      <c r="E3576" s="131" t="s">
        <v>1198</v>
      </c>
      <c r="F3576" s="767">
        <v>63410.54</v>
      </c>
      <c r="G3576" s="767">
        <v>8709.2900000000009</v>
      </c>
      <c r="H3576" s="767">
        <v>72119.83</v>
      </c>
      <c r="I3576" s="768" t="s">
        <v>1892</v>
      </c>
    </row>
    <row r="3577" spans="1:9" x14ac:dyDescent="0.25">
      <c r="A3577" s="753">
        <v>401206</v>
      </c>
      <c r="B3577" s="130">
        <v>72120</v>
      </c>
      <c r="C3577" s="131" t="s">
        <v>1198</v>
      </c>
      <c r="D3577" s="131">
        <v>16</v>
      </c>
      <c r="E3577" s="131" t="s">
        <v>1198</v>
      </c>
      <c r="F3577" s="767">
        <v>63410.54</v>
      </c>
      <c r="G3577" s="767">
        <v>8709.2900000000009</v>
      </c>
      <c r="H3577" s="767">
        <v>72119.83</v>
      </c>
      <c r="I3577" s="768" t="s">
        <v>1892</v>
      </c>
    </row>
    <row r="3578" spans="1:9" x14ac:dyDescent="0.25">
      <c r="A3578" s="753">
        <v>401208</v>
      </c>
      <c r="B3578" s="130">
        <v>1844</v>
      </c>
      <c r="C3578" s="131" t="s">
        <v>1196</v>
      </c>
      <c r="D3578" s="131">
        <v>16</v>
      </c>
      <c r="E3578" s="131" t="s">
        <v>1196</v>
      </c>
      <c r="F3578" s="767">
        <v>24423.85</v>
      </c>
      <c r="G3578" s="767">
        <v>1843.89</v>
      </c>
      <c r="H3578" s="767">
        <v>26267.74</v>
      </c>
      <c r="I3578" s="768" t="s">
        <v>1893</v>
      </c>
    </row>
    <row r="3579" spans="1:9" x14ac:dyDescent="0.25">
      <c r="A3579" s="753">
        <v>401210</v>
      </c>
      <c r="B3579" s="130">
        <v>26268</v>
      </c>
      <c r="C3579" s="131" t="s">
        <v>1196</v>
      </c>
      <c r="D3579" s="131">
        <v>16</v>
      </c>
      <c r="E3579" s="131" t="s">
        <v>1196</v>
      </c>
      <c r="F3579" s="767">
        <v>24423.85</v>
      </c>
      <c r="G3579" s="767">
        <v>1843.89</v>
      </c>
      <c r="H3579" s="767">
        <v>26267.74</v>
      </c>
      <c r="I3579" s="768" t="s">
        <v>1893</v>
      </c>
    </row>
    <row r="3580" spans="1:9" x14ac:dyDescent="0.25">
      <c r="A3580" s="753">
        <v>401212</v>
      </c>
      <c r="B3580" s="130">
        <v>51</v>
      </c>
      <c r="C3580" s="131" t="s">
        <v>1200</v>
      </c>
      <c r="D3580" s="131">
        <v>16</v>
      </c>
      <c r="E3580" s="131" t="s">
        <v>1200</v>
      </c>
      <c r="F3580" s="767">
        <v>910.36</v>
      </c>
      <c r="G3580" s="767">
        <v>51.12</v>
      </c>
      <c r="H3580" s="767">
        <v>961.48</v>
      </c>
      <c r="I3580" s="768" t="s">
        <v>1894</v>
      </c>
    </row>
    <row r="3581" spans="1:9" x14ac:dyDescent="0.25">
      <c r="A3581" s="753">
        <v>401214</v>
      </c>
      <c r="B3581" s="130">
        <v>961</v>
      </c>
      <c r="C3581" s="131" t="s">
        <v>1200</v>
      </c>
      <c r="D3581" s="131">
        <v>16</v>
      </c>
      <c r="E3581" s="131" t="s">
        <v>1200</v>
      </c>
      <c r="F3581" s="767">
        <v>910.36</v>
      </c>
      <c r="G3581" s="767">
        <v>51.12</v>
      </c>
      <c r="H3581" s="767">
        <v>961.48</v>
      </c>
      <c r="I3581" s="768" t="s">
        <v>1894</v>
      </c>
    </row>
    <row r="3582" spans="1:9" x14ac:dyDescent="0.25">
      <c r="A3582" s="753">
        <v>401216</v>
      </c>
      <c r="B3582" s="130">
        <v>0</v>
      </c>
      <c r="E3582" s="131"/>
    </row>
    <row r="3583" spans="1:9" x14ac:dyDescent="0.25">
      <c r="A3583" s="753">
        <v>401218</v>
      </c>
      <c r="B3583" s="130">
        <v>0</v>
      </c>
      <c r="E3583" s="131"/>
    </row>
    <row r="3584" spans="1:9" x14ac:dyDescent="0.25">
      <c r="A3584" s="753">
        <v>401220</v>
      </c>
      <c r="B3584" s="130">
        <v>0</v>
      </c>
      <c r="E3584" s="131"/>
    </row>
    <row r="3585" spans="1:9" x14ac:dyDescent="0.25">
      <c r="A3585" s="753">
        <v>401222</v>
      </c>
      <c r="B3585" s="130">
        <v>0</v>
      </c>
      <c r="E3585" s="131"/>
    </row>
    <row r="3586" spans="1:9" x14ac:dyDescent="0.25">
      <c r="A3586" s="753">
        <v>401304</v>
      </c>
      <c r="B3586" s="130">
        <v>12169</v>
      </c>
      <c r="C3586" s="131" t="s">
        <v>1201</v>
      </c>
      <c r="D3586" s="131">
        <v>16</v>
      </c>
      <c r="E3586" s="131" t="s">
        <v>1201</v>
      </c>
      <c r="F3586" s="767">
        <v>86054.8</v>
      </c>
      <c r="G3586" s="767">
        <v>12168.59</v>
      </c>
      <c r="H3586" s="767">
        <v>98223.39</v>
      </c>
      <c r="I3586" s="768" t="s">
        <v>1895</v>
      </c>
    </row>
    <row r="3587" spans="1:9" x14ac:dyDescent="0.25">
      <c r="A3587" s="753">
        <v>401306</v>
      </c>
      <c r="B3587" s="130">
        <v>98223</v>
      </c>
      <c r="C3587" s="131" t="s">
        <v>1201</v>
      </c>
      <c r="D3587" s="131">
        <v>16</v>
      </c>
      <c r="E3587" s="131" t="s">
        <v>1201</v>
      </c>
      <c r="F3587" s="767">
        <v>86054.8</v>
      </c>
      <c r="G3587" s="767">
        <v>12168.59</v>
      </c>
      <c r="H3587" s="767">
        <v>98223.39</v>
      </c>
      <c r="I3587" s="768" t="s">
        <v>1895</v>
      </c>
    </row>
    <row r="3588" spans="1:9" x14ac:dyDescent="0.25">
      <c r="A3588" s="753">
        <v>401308</v>
      </c>
      <c r="B3588" s="130">
        <v>3046</v>
      </c>
      <c r="C3588" s="131" t="s">
        <v>1202</v>
      </c>
      <c r="D3588" s="131">
        <v>16</v>
      </c>
      <c r="E3588" s="131" t="s">
        <v>1202</v>
      </c>
      <c r="F3588" s="767">
        <v>31589.17</v>
      </c>
      <c r="G3588" s="767">
        <v>3045.94</v>
      </c>
      <c r="H3588" s="767">
        <v>34635.11</v>
      </c>
      <c r="I3588" s="768" t="s">
        <v>1896</v>
      </c>
    </row>
    <row r="3589" spans="1:9" x14ac:dyDescent="0.25">
      <c r="A3589" s="753">
        <v>401310</v>
      </c>
      <c r="B3589" s="130">
        <v>34635</v>
      </c>
      <c r="C3589" s="131" t="s">
        <v>1202</v>
      </c>
      <c r="D3589" s="131">
        <v>16</v>
      </c>
      <c r="E3589" s="131" t="s">
        <v>1202</v>
      </c>
      <c r="F3589" s="767">
        <v>31589.17</v>
      </c>
      <c r="G3589" s="767">
        <v>3045.94</v>
      </c>
      <c r="H3589" s="767">
        <v>34635.11</v>
      </c>
      <c r="I3589" s="768" t="s">
        <v>1896</v>
      </c>
    </row>
    <row r="3590" spans="1:9" x14ac:dyDescent="0.25">
      <c r="A3590" s="753">
        <v>401312</v>
      </c>
      <c r="B3590" s="130">
        <v>219</v>
      </c>
      <c r="C3590" s="131" t="s">
        <v>1203</v>
      </c>
      <c r="D3590" s="131">
        <v>16</v>
      </c>
      <c r="E3590" s="131" t="s">
        <v>1203</v>
      </c>
      <c r="F3590" s="767">
        <v>2609.04</v>
      </c>
      <c r="G3590" s="767">
        <v>219.11</v>
      </c>
      <c r="H3590" s="767">
        <v>2828.15</v>
      </c>
      <c r="I3590" s="768" t="s">
        <v>1897</v>
      </c>
    </row>
    <row r="3591" spans="1:9" x14ac:dyDescent="0.25">
      <c r="A3591" s="753">
        <v>401314</v>
      </c>
      <c r="B3591" s="130">
        <v>2828</v>
      </c>
      <c r="C3591" s="131" t="s">
        <v>1203</v>
      </c>
      <c r="D3591" s="131">
        <v>16</v>
      </c>
      <c r="E3591" s="131" t="s">
        <v>1203</v>
      </c>
      <c r="F3591" s="767">
        <v>2609.04</v>
      </c>
      <c r="G3591" s="767">
        <v>219.11</v>
      </c>
      <c r="H3591" s="767">
        <v>2828.15</v>
      </c>
      <c r="I3591" s="768" t="s">
        <v>1897</v>
      </c>
    </row>
    <row r="3592" spans="1:9" x14ac:dyDescent="0.25">
      <c r="A3592" s="753">
        <v>401316</v>
      </c>
      <c r="B3592" s="130">
        <v>0</v>
      </c>
      <c r="E3592" s="131"/>
    </row>
    <row r="3593" spans="1:9" x14ac:dyDescent="0.25">
      <c r="A3593" s="753">
        <v>401318</v>
      </c>
      <c r="B3593" s="130">
        <v>0</v>
      </c>
      <c r="E3593" s="131"/>
    </row>
    <row r="3594" spans="1:9" x14ac:dyDescent="0.25">
      <c r="A3594" s="753">
        <v>401320</v>
      </c>
      <c r="B3594" s="130">
        <v>0</v>
      </c>
      <c r="E3594" s="131"/>
    </row>
    <row r="3595" spans="1:9" x14ac:dyDescent="0.25">
      <c r="A3595" s="753">
        <v>401322</v>
      </c>
      <c r="B3595" s="130">
        <v>0</v>
      </c>
      <c r="E3595" s="131"/>
    </row>
    <row r="3596" spans="1:9" x14ac:dyDescent="0.25">
      <c r="A3596" s="753">
        <v>401404</v>
      </c>
      <c r="B3596" s="130">
        <v>4870</v>
      </c>
      <c r="C3596" s="131" t="s">
        <v>1204</v>
      </c>
      <c r="D3596" s="131">
        <v>16</v>
      </c>
      <c r="E3596" s="131" t="s">
        <v>1204</v>
      </c>
      <c r="F3596" s="767">
        <v>39028.18</v>
      </c>
      <c r="G3596" s="767">
        <v>4869.6099999999997</v>
      </c>
      <c r="H3596" s="767">
        <v>43897.79</v>
      </c>
      <c r="I3596" s="768" t="s">
        <v>1898</v>
      </c>
    </row>
    <row r="3597" spans="1:9" x14ac:dyDescent="0.25">
      <c r="A3597" s="753">
        <v>401406</v>
      </c>
      <c r="B3597" s="130">
        <v>43898</v>
      </c>
      <c r="C3597" s="131" t="s">
        <v>1204</v>
      </c>
      <c r="D3597" s="131">
        <v>16</v>
      </c>
      <c r="E3597" s="131" t="s">
        <v>1204</v>
      </c>
      <c r="F3597" s="767">
        <v>39028.18</v>
      </c>
      <c r="G3597" s="767">
        <v>4869.6099999999997</v>
      </c>
      <c r="H3597" s="767">
        <v>43897.79</v>
      </c>
      <c r="I3597" s="768" t="s">
        <v>1898</v>
      </c>
    </row>
    <row r="3598" spans="1:9" x14ac:dyDescent="0.25">
      <c r="A3598" s="753">
        <v>401408</v>
      </c>
      <c r="B3598" s="130">
        <v>1782</v>
      </c>
      <c r="C3598" s="131" t="s">
        <v>1205</v>
      </c>
      <c r="D3598" s="131">
        <v>16</v>
      </c>
      <c r="E3598" s="131" t="s">
        <v>1205</v>
      </c>
      <c r="F3598" s="767">
        <v>15981.72</v>
      </c>
      <c r="G3598" s="767">
        <v>1781.51</v>
      </c>
      <c r="H3598" s="767">
        <v>17763.23</v>
      </c>
      <c r="I3598" s="768" t="s">
        <v>1899</v>
      </c>
    </row>
    <row r="3599" spans="1:9" x14ac:dyDescent="0.25">
      <c r="A3599" s="753">
        <v>401410</v>
      </c>
      <c r="B3599" s="130">
        <v>17763</v>
      </c>
      <c r="C3599" s="131" t="s">
        <v>1205</v>
      </c>
      <c r="D3599" s="131">
        <v>16</v>
      </c>
      <c r="E3599" s="131" t="s">
        <v>1205</v>
      </c>
      <c r="F3599" s="767">
        <v>15981.72</v>
      </c>
      <c r="G3599" s="767">
        <v>1781.51</v>
      </c>
      <c r="H3599" s="767">
        <v>17763.23</v>
      </c>
      <c r="I3599" s="768" t="s">
        <v>1899</v>
      </c>
    </row>
    <row r="3600" spans="1:9" x14ac:dyDescent="0.25">
      <c r="A3600" s="753">
        <v>401412</v>
      </c>
      <c r="B3600" s="130">
        <v>48</v>
      </c>
      <c r="C3600" s="131" t="s">
        <v>1206</v>
      </c>
      <c r="D3600" s="131">
        <v>16</v>
      </c>
      <c r="E3600" s="131" t="s">
        <v>1206</v>
      </c>
      <c r="F3600" s="767">
        <v>438.5</v>
      </c>
      <c r="G3600" s="767">
        <v>48.07</v>
      </c>
      <c r="H3600" s="767">
        <v>486.57</v>
      </c>
      <c r="I3600" s="768" t="s">
        <v>1900</v>
      </c>
    </row>
    <row r="3601" spans="1:9" x14ac:dyDescent="0.25">
      <c r="A3601" s="753">
        <v>401414</v>
      </c>
      <c r="B3601" s="130">
        <v>487</v>
      </c>
      <c r="C3601" s="131" t="s">
        <v>1206</v>
      </c>
      <c r="D3601" s="131">
        <v>16</v>
      </c>
      <c r="E3601" s="131" t="s">
        <v>1206</v>
      </c>
      <c r="F3601" s="767">
        <v>438.5</v>
      </c>
      <c r="G3601" s="767">
        <v>48.07</v>
      </c>
      <c r="H3601" s="767">
        <v>486.57</v>
      </c>
      <c r="I3601" s="768" t="s">
        <v>1900</v>
      </c>
    </row>
    <row r="3602" spans="1:9" x14ac:dyDescent="0.25">
      <c r="A3602" s="753">
        <v>401416</v>
      </c>
      <c r="B3602" s="130">
        <v>0</v>
      </c>
      <c r="E3602" s="131"/>
    </row>
    <row r="3603" spans="1:9" x14ac:dyDescent="0.25">
      <c r="A3603" s="753">
        <v>401418</v>
      </c>
      <c r="B3603" s="130">
        <v>0</v>
      </c>
      <c r="E3603" s="131"/>
    </row>
    <row r="3604" spans="1:9" x14ac:dyDescent="0.25">
      <c r="A3604" s="753">
        <v>401420</v>
      </c>
      <c r="B3604" s="130">
        <v>0</v>
      </c>
      <c r="E3604" s="131"/>
    </row>
    <row r="3605" spans="1:9" x14ac:dyDescent="0.25">
      <c r="A3605" s="753">
        <v>401422</v>
      </c>
      <c r="B3605" s="130">
        <v>0</v>
      </c>
      <c r="E3605" s="131"/>
    </row>
    <row r="3606" spans="1:9" x14ac:dyDescent="0.25">
      <c r="A3606" s="753">
        <v>401504</v>
      </c>
      <c r="B3606" s="130">
        <v>1647</v>
      </c>
      <c r="C3606" s="131" t="s">
        <v>1207</v>
      </c>
      <c r="D3606" s="131">
        <v>16</v>
      </c>
      <c r="E3606" s="131" t="s">
        <v>1207</v>
      </c>
      <c r="F3606" s="767">
        <v>10199.549999999999</v>
      </c>
      <c r="G3606" s="767">
        <v>1646.95</v>
      </c>
      <c r="H3606" s="767">
        <v>11846.5</v>
      </c>
      <c r="I3606" s="768" t="s">
        <v>1901</v>
      </c>
    </row>
    <row r="3607" spans="1:9" x14ac:dyDescent="0.25">
      <c r="A3607" s="753">
        <v>401506</v>
      </c>
      <c r="B3607" s="130">
        <v>11847</v>
      </c>
      <c r="C3607" s="131" t="s">
        <v>1207</v>
      </c>
      <c r="D3607" s="131">
        <v>16</v>
      </c>
      <c r="E3607" s="131" t="s">
        <v>1207</v>
      </c>
      <c r="F3607" s="767">
        <v>10199.549999999999</v>
      </c>
      <c r="G3607" s="767">
        <v>1646.95</v>
      </c>
      <c r="H3607" s="767">
        <v>11846.5</v>
      </c>
      <c r="I3607" s="768" t="s">
        <v>1901</v>
      </c>
    </row>
    <row r="3608" spans="1:9" x14ac:dyDescent="0.25">
      <c r="A3608" s="753">
        <v>401508</v>
      </c>
      <c r="B3608" s="130">
        <v>280</v>
      </c>
      <c r="C3608" s="131" t="s">
        <v>1208</v>
      </c>
      <c r="D3608" s="131">
        <v>16</v>
      </c>
      <c r="E3608" s="131" t="s">
        <v>1208</v>
      </c>
      <c r="F3608" s="767">
        <v>2656.98</v>
      </c>
      <c r="G3608" s="767">
        <v>280.26</v>
      </c>
      <c r="H3608" s="767">
        <v>2937.24</v>
      </c>
      <c r="I3608" s="768" t="s">
        <v>1902</v>
      </c>
    </row>
    <row r="3609" spans="1:9" x14ac:dyDescent="0.25">
      <c r="A3609" s="753">
        <v>401510</v>
      </c>
      <c r="B3609" s="130">
        <v>2937</v>
      </c>
      <c r="C3609" s="131" t="s">
        <v>1208</v>
      </c>
      <c r="D3609" s="131">
        <v>16</v>
      </c>
      <c r="E3609" s="131" t="s">
        <v>1208</v>
      </c>
      <c r="F3609" s="767">
        <v>2656.98</v>
      </c>
      <c r="G3609" s="767">
        <v>280.26</v>
      </c>
      <c r="H3609" s="767">
        <v>2937.24</v>
      </c>
      <c r="I3609" s="768" t="s">
        <v>1902</v>
      </c>
    </row>
    <row r="3610" spans="1:9" x14ac:dyDescent="0.25">
      <c r="A3610" s="753">
        <v>401512</v>
      </c>
      <c r="B3610" s="130">
        <v>5</v>
      </c>
      <c r="C3610" s="131" t="s">
        <v>1209</v>
      </c>
      <c r="D3610" s="131">
        <v>16</v>
      </c>
      <c r="E3610" s="131" t="s">
        <v>1209</v>
      </c>
      <c r="F3610" s="767">
        <v>42.17</v>
      </c>
      <c r="G3610" s="767">
        <v>4.8899999999999997</v>
      </c>
      <c r="H3610" s="767">
        <v>47.06</v>
      </c>
      <c r="I3610" s="768" t="s">
        <v>1903</v>
      </c>
    </row>
    <row r="3611" spans="1:9" x14ac:dyDescent="0.25">
      <c r="A3611" s="753">
        <v>401514</v>
      </c>
      <c r="B3611" s="130">
        <v>47</v>
      </c>
      <c r="C3611" s="131" t="s">
        <v>1209</v>
      </c>
      <c r="D3611" s="131">
        <v>16</v>
      </c>
      <c r="E3611" s="131" t="s">
        <v>1209</v>
      </c>
      <c r="F3611" s="767">
        <v>42.17</v>
      </c>
      <c r="G3611" s="767">
        <v>4.8899999999999997</v>
      </c>
      <c r="H3611" s="767">
        <v>47.06</v>
      </c>
      <c r="I3611" s="768" t="s">
        <v>1903</v>
      </c>
    </row>
    <row r="3612" spans="1:9" x14ac:dyDescent="0.25">
      <c r="A3612" s="753">
        <v>401516</v>
      </c>
      <c r="B3612" s="130">
        <v>0</v>
      </c>
      <c r="E3612" s="131"/>
    </row>
    <row r="3613" spans="1:9" x14ac:dyDescent="0.25">
      <c r="A3613" s="753">
        <v>401518</v>
      </c>
      <c r="B3613" s="130">
        <v>0</v>
      </c>
      <c r="E3613" s="131"/>
    </row>
    <row r="3614" spans="1:9" x14ac:dyDescent="0.25">
      <c r="A3614" s="753">
        <v>401520</v>
      </c>
      <c r="B3614" s="130">
        <v>0</v>
      </c>
      <c r="E3614" s="131"/>
    </row>
    <row r="3615" spans="1:9" x14ac:dyDescent="0.25">
      <c r="A3615" s="753">
        <v>401522</v>
      </c>
      <c r="B3615" s="130">
        <v>0</v>
      </c>
      <c r="E3615" s="131"/>
    </row>
    <row r="3616" spans="1:9" x14ac:dyDescent="0.25">
      <c r="A3616" s="753">
        <v>401604</v>
      </c>
      <c r="B3616" s="130">
        <v>0</v>
      </c>
      <c r="E3616" s="131"/>
    </row>
    <row r="3617" spans="1:5" x14ac:dyDescent="0.25">
      <c r="A3617" s="753">
        <v>401606</v>
      </c>
      <c r="B3617" s="130">
        <v>0</v>
      </c>
      <c r="E3617" s="131"/>
    </row>
    <row r="3618" spans="1:5" x14ac:dyDescent="0.25">
      <c r="A3618" s="753">
        <v>401608</v>
      </c>
      <c r="B3618" s="130">
        <v>0</v>
      </c>
      <c r="E3618" s="131"/>
    </row>
    <row r="3619" spans="1:5" x14ac:dyDescent="0.25">
      <c r="A3619" s="753">
        <v>401610</v>
      </c>
      <c r="B3619" s="130">
        <v>0</v>
      </c>
      <c r="E3619" s="131"/>
    </row>
    <row r="3620" spans="1:5" x14ac:dyDescent="0.25">
      <c r="A3620" s="753">
        <v>401612</v>
      </c>
      <c r="B3620" s="130">
        <v>0</v>
      </c>
      <c r="E3620" s="131"/>
    </row>
    <row r="3621" spans="1:5" x14ac:dyDescent="0.25">
      <c r="A3621" s="753">
        <v>401614</v>
      </c>
      <c r="B3621" s="130">
        <v>0</v>
      </c>
      <c r="E3621" s="131"/>
    </row>
    <row r="3622" spans="1:5" x14ac:dyDescent="0.25">
      <c r="A3622" s="753">
        <v>401616</v>
      </c>
      <c r="B3622" s="130">
        <v>0</v>
      </c>
      <c r="E3622" s="131"/>
    </row>
    <row r="3623" spans="1:5" x14ac:dyDescent="0.25">
      <c r="A3623" s="753">
        <v>401618</v>
      </c>
      <c r="B3623" s="130">
        <v>0</v>
      </c>
      <c r="E3623" s="131"/>
    </row>
    <row r="3624" spans="1:5" x14ac:dyDescent="0.25">
      <c r="A3624" s="753">
        <v>401620</v>
      </c>
      <c r="B3624" s="130">
        <v>0</v>
      </c>
      <c r="E3624" s="131"/>
    </row>
    <row r="3625" spans="1:5" x14ac:dyDescent="0.25">
      <c r="A3625" s="753">
        <v>401622</v>
      </c>
      <c r="B3625" s="130">
        <v>0</v>
      </c>
      <c r="E3625" s="131"/>
    </row>
    <row r="3626" spans="1:5" x14ac:dyDescent="0.25">
      <c r="A3626" s="753">
        <v>401704</v>
      </c>
      <c r="B3626" s="130">
        <v>74370</v>
      </c>
      <c r="E3626" s="131"/>
    </row>
    <row r="3627" spans="1:5" x14ac:dyDescent="0.25">
      <c r="A3627" s="753">
        <v>401706</v>
      </c>
      <c r="B3627" s="130">
        <v>555109</v>
      </c>
      <c r="E3627" s="131"/>
    </row>
    <row r="3628" spans="1:5" x14ac:dyDescent="0.25">
      <c r="A3628" s="753">
        <v>401708</v>
      </c>
      <c r="B3628" s="130">
        <v>30815</v>
      </c>
      <c r="E3628" s="131"/>
    </row>
    <row r="3629" spans="1:5" x14ac:dyDescent="0.25">
      <c r="A3629" s="753">
        <v>401710</v>
      </c>
      <c r="B3629" s="130">
        <v>294161</v>
      </c>
      <c r="E3629" s="131"/>
    </row>
    <row r="3630" spans="1:5" x14ac:dyDescent="0.25">
      <c r="A3630" s="753">
        <v>401712</v>
      </c>
      <c r="B3630" s="130">
        <v>1414</v>
      </c>
      <c r="E3630" s="131"/>
    </row>
    <row r="3631" spans="1:5" x14ac:dyDescent="0.25">
      <c r="A3631" s="753">
        <v>401714</v>
      </c>
      <c r="B3631" s="130">
        <v>14278</v>
      </c>
      <c r="E3631" s="131"/>
    </row>
    <row r="3632" spans="1:5" x14ac:dyDescent="0.25">
      <c r="A3632" s="753">
        <v>401716</v>
      </c>
      <c r="B3632" s="130">
        <v>0</v>
      </c>
      <c r="E3632" s="131"/>
    </row>
    <row r="3633" spans="1:9" x14ac:dyDescent="0.25">
      <c r="A3633" s="753">
        <v>401718</v>
      </c>
      <c r="B3633" s="130">
        <v>0</v>
      </c>
      <c r="E3633" s="131"/>
    </row>
    <row r="3634" spans="1:9" x14ac:dyDescent="0.25">
      <c r="A3634" s="753">
        <v>401720</v>
      </c>
      <c r="B3634" s="130">
        <v>0</v>
      </c>
      <c r="E3634" s="131"/>
    </row>
    <row r="3635" spans="1:9" x14ac:dyDescent="0.25">
      <c r="A3635" s="753">
        <v>401722</v>
      </c>
      <c r="B3635" s="130">
        <v>0</v>
      </c>
      <c r="E3635" s="131"/>
    </row>
    <row r="3636" spans="1:9" x14ac:dyDescent="0.25">
      <c r="A3636" s="753">
        <v>401804</v>
      </c>
      <c r="B3636" s="130">
        <v>740</v>
      </c>
      <c r="C3636" s="131" t="s">
        <v>1210</v>
      </c>
      <c r="D3636" s="131">
        <v>16</v>
      </c>
      <c r="E3636" s="131" t="s">
        <v>1210</v>
      </c>
      <c r="F3636" s="767">
        <v>9534.67</v>
      </c>
      <c r="G3636" s="767">
        <v>739.84</v>
      </c>
      <c r="H3636" s="767">
        <v>10274.51</v>
      </c>
      <c r="I3636" s="768" t="s">
        <v>1904</v>
      </c>
    </row>
    <row r="3637" spans="1:9" x14ac:dyDescent="0.25">
      <c r="A3637" s="753">
        <v>401806</v>
      </c>
      <c r="B3637" s="130">
        <v>10275</v>
      </c>
      <c r="C3637" s="131" t="s">
        <v>1210</v>
      </c>
      <c r="D3637" s="131">
        <v>16</v>
      </c>
      <c r="E3637" s="131" t="s">
        <v>1210</v>
      </c>
      <c r="F3637" s="767">
        <v>9534.67</v>
      </c>
      <c r="G3637" s="767">
        <v>739.84</v>
      </c>
      <c r="H3637" s="767">
        <v>10274.51</v>
      </c>
      <c r="I3637" s="768" t="s">
        <v>1904</v>
      </c>
    </row>
    <row r="3638" spans="1:9" x14ac:dyDescent="0.25">
      <c r="A3638" s="753">
        <v>401808</v>
      </c>
      <c r="B3638" s="130">
        <v>0</v>
      </c>
      <c r="C3638" s="131" t="s">
        <v>1211</v>
      </c>
      <c r="D3638" s="131">
        <v>16</v>
      </c>
      <c r="E3638" s="131" t="s">
        <v>1211</v>
      </c>
      <c r="F3638" s="767">
        <v>184.7</v>
      </c>
      <c r="G3638" s="767">
        <v>0</v>
      </c>
      <c r="H3638" s="767">
        <v>184.7</v>
      </c>
      <c r="I3638" s="768" t="s">
        <v>1905</v>
      </c>
    </row>
    <row r="3639" spans="1:9" x14ac:dyDescent="0.25">
      <c r="A3639" s="753">
        <v>401810</v>
      </c>
      <c r="B3639" s="130">
        <v>185</v>
      </c>
      <c r="C3639" s="131" t="s">
        <v>1211</v>
      </c>
      <c r="D3639" s="131">
        <v>16</v>
      </c>
      <c r="E3639" s="131" t="s">
        <v>1211</v>
      </c>
      <c r="F3639" s="767">
        <v>184.7</v>
      </c>
      <c r="G3639" s="767">
        <v>0</v>
      </c>
      <c r="H3639" s="767">
        <v>184.7</v>
      </c>
      <c r="I3639" s="768" t="s">
        <v>1905</v>
      </c>
    </row>
    <row r="3640" spans="1:9" x14ac:dyDescent="0.25">
      <c r="A3640" s="753">
        <v>401812</v>
      </c>
      <c r="B3640" s="130">
        <v>0</v>
      </c>
      <c r="C3640" s="131" t="s">
        <v>1212</v>
      </c>
      <c r="D3640" s="131">
        <v>16</v>
      </c>
      <c r="E3640" s="131" t="s">
        <v>1212</v>
      </c>
      <c r="F3640" s="767">
        <v>23.08</v>
      </c>
      <c r="G3640" s="767">
        <v>0</v>
      </c>
      <c r="H3640" s="767">
        <v>23.08</v>
      </c>
      <c r="I3640" s="768" t="s">
        <v>1906</v>
      </c>
    </row>
    <row r="3641" spans="1:9" x14ac:dyDescent="0.25">
      <c r="A3641" s="753">
        <v>401814</v>
      </c>
      <c r="B3641" s="130">
        <v>23</v>
      </c>
      <c r="C3641" s="131" t="s">
        <v>1212</v>
      </c>
      <c r="D3641" s="131">
        <v>16</v>
      </c>
      <c r="E3641" s="131" t="s">
        <v>1212</v>
      </c>
      <c r="F3641" s="767">
        <v>23.08</v>
      </c>
      <c r="G3641" s="767">
        <v>0</v>
      </c>
      <c r="H3641" s="767">
        <v>23.08</v>
      </c>
      <c r="I3641" s="768" t="s">
        <v>1906</v>
      </c>
    </row>
    <row r="3642" spans="1:9" x14ac:dyDescent="0.25">
      <c r="A3642" s="753">
        <v>401816</v>
      </c>
      <c r="B3642" s="130">
        <v>0</v>
      </c>
      <c r="E3642" s="131"/>
    </row>
    <row r="3643" spans="1:9" x14ac:dyDescent="0.25">
      <c r="A3643" s="753">
        <v>401818</v>
      </c>
      <c r="B3643" s="130">
        <v>0</v>
      </c>
      <c r="E3643" s="131"/>
    </row>
    <row r="3644" spans="1:9" x14ac:dyDescent="0.25">
      <c r="A3644" s="753">
        <v>401820</v>
      </c>
      <c r="B3644" s="130">
        <v>0</v>
      </c>
      <c r="E3644" s="131"/>
    </row>
    <row r="3645" spans="1:9" x14ac:dyDescent="0.25">
      <c r="A3645" s="753">
        <v>401822</v>
      </c>
      <c r="B3645" s="130">
        <v>0</v>
      </c>
      <c r="E3645" s="131"/>
    </row>
    <row r="3646" spans="1:9" x14ac:dyDescent="0.25">
      <c r="A3646" s="753">
        <v>401904</v>
      </c>
      <c r="B3646" s="130">
        <v>2037</v>
      </c>
      <c r="C3646" s="131" t="s">
        <v>1213</v>
      </c>
      <c r="D3646" s="131">
        <v>16</v>
      </c>
      <c r="E3646" s="131" t="s">
        <v>1213</v>
      </c>
      <c r="F3646" s="767">
        <v>15671.08</v>
      </c>
      <c r="G3646" s="767">
        <v>2036.69</v>
      </c>
      <c r="H3646" s="767">
        <v>17707.77</v>
      </c>
      <c r="I3646" s="768" t="s">
        <v>1907</v>
      </c>
    </row>
    <row r="3647" spans="1:9" x14ac:dyDescent="0.25">
      <c r="A3647" s="753">
        <v>401906</v>
      </c>
      <c r="B3647" s="130">
        <v>17708</v>
      </c>
      <c r="C3647" s="131" t="s">
        <v>1213</v>
      </c>
      <c r="D3647" s="131">
        <v>16</v>
      </c>
      <c r="E3647" s="131" t="s">
        <v>1213</v>
      </c>
      <c r="F3647" s="767">
        <v>15671.08</v>
      </c>
      <c r="G3647" s="767">
        <v>2036.69</v>
      </c>
      <c r="H3647" s="767">
        <v>17707.77</v>
      </c>
      <c r="I3647" s="768" t="s">
        <v>1907</v>
      </c>
    </row>
    <row r="3648" spans="1:9" x14ac:dyDescent="0.25">
      <c r="A3648" s="753">
        <v>401908</v>
      </c>
      <c r="B3648" s="130">
        <v>1370</v>
      </c>
      <c r="C3648" s="131" t="s">
        <v>1214</v>
      </c>
      <c r="D3648" s="131">
        <v>16</v>
      </c>
      <c r="E3648" s="131" t="s">
        <v>1214</v>
      </c>
      <c r="F3648" s="767">
        <v>10847.37</v>
      </c>
      <c r="G3648" s="767">
        <v>1370.04</v>
      </c>
      <c r="H3648" s="767">
        <v>12217.41</v>
      </c>
      <c r="I3648" s="768" t="s">
        <v>1908</v>
      </c>
    </row>
    <row r="3649" spans="1:9" x14ac:dyDescent="0.25">
      <c r="A3649" s="753">
        <v>401910</v>
      </c>
      <c r="B3649" s="130">
        <v>12217</v>
      </c>
      <c r="C3649" s="131" t="s">
        <v>1214</v>
      </c>
      <c r="D3649" s="131">
        <v>16</v>
      </c>
      <c r="E3649" s="131" t="s">
        <v>1214</v>
      </c>
      <c r="F3649" s="767">
        <v>10847.37</v>
      </c>
      <c r="G3649" s="767">
        <v>1370.04</v>
      </c>
      <c r="H3649" s="767">
        <v>12217.41</v>
      </c>
      <c r="I3649" s="768" t="s">
        <v>1908</v>
      </c>
    </row>
    <row r="3650" spans="1:9" x14ac:dyDescent="0.25">
      <c r="A3650" s="753">
        <v>401912</v>
      </c>
      <c r="B3650" s="130">
        <v>171</v>
      </c>
      <c r="C3650" s="131" t="s">
        <v>1215</v>
      </c>
      <c r="D3650" s="131">
        <v>16</v>
      </c>
      <c r="E3650" s="131" t="s">
        <v>1215</v>
      </c>
      <c r="F3650" s="767">
        <v>1355.79</v>
      </c>
      <c r="G3650" s="767">
        <v>171.24</v>
      </c>
      <c r="H3650" s="767">
        <v>1527.03</v>
      </c>
      <c r="I3650" s="768" t="s">
        <v>1909</v>
      </c>
    </row>
    <row r="3651" spans="1:9" x14ac:dyDescent="0.25">
      <c r="A3651" s="753">
        <v>401914</v>
      </c>
      <c r="B3651" s="130">
        <v>1527</v>
      </c>
      <c r="C3651" s="131" t="s">
        <v>1215</v>
      </c>
      <c r="D3651" s="131">
        <v>16</v>
      </c>
      <c r="E3651" s="131" t="s">
        <v>1215</v>
      </c>
      <c r="F3651" s="767">
        <v>1355.79</v>
      </c>
      <c r="G3651" s="767">
        <v>171.24</v>
      </c>
      <c r="H3651" s="767">
        <v>1527.03</v>
      </c>
      <c r="I3651" s="768" t="s">
        <v>1909</v>
      </c>
    </row>
    <row r="3652" spans="1:9" x14ac:dyDescent="0.25">
      <c r="A3652" s="753">
        <v>401916</v>
      </c>
      <c r="B3652" s="130">
        <v>0</v>
      </c>
      <c r="E3652" s="131"/>
    </row>
    <row r="3653" spans="1:9" x14ac:dyDescent="0.25">
      <c r="A3653" s="753">
        <v>401918</v>
      </c>
      <c r="B3653" s="130">
        <v>0</v>
      </c>
      <c r="E3653" s="131"/>
    </row>
    <row r="3654" spans="1:9" x14ac:dyDescent="0.25">
      <c r="A3654" s="753">
        <v>401920</v>
      </c>
      <c r="B3654" s="130">
        <v>0</v>
      </c>
      <c r="E3654" s="131"/>
    </row>
    <row r="3655" spans="1:9" x14ac:dyDescent="0.25">
      <c r="A3655" s="753">
        <v>401922</v>
      </c>
      <c r="B3655" s="130">
        <v>0</v>
      </c>
      <c r="E3655" s="131"/>
    </row>
    <row r="3656" spans="1:9" x14ac:dyDescent="0.25">
      <c r="A3656" s="753">
        <v>402004</v>
      </c>
      <c r="B3656" s="130">
        <v>428</v>
      </c>
      <c r="C3656" s="131" t="s">
        <v>1216</v>
      </c>
      <c r="D3656" s="131">
        <v>16</v>
      </c>
      <c r="E3656" s="131" t="s">
        <v>1216</v>
      </c>
      <c r="F3656" s="767">
        <v>3168.24</v>
      </c>
      <c r="G3656" s="767">
        <v>428.36</v>
      </c>
      <c r="H3656" s="767">
        <v>3596.6</v>
      </c>
      <c r="I3656" s="768" t="s">
        <v>1910</v>
      </c>
    </row>
    <row r="3657" spans="1:9" x14ac:dyDescent="0.25">
      <c r="A3657" s="753">
        <v>402006</v>
      </c>
      <c r="B3657" s="130">
        <v>3597</v>
      </c>
      <c r="C3657" s="131" t="s">
        <v>1216</v>
      </c>
      <c r="D3657" s="131">
        <v>16</v>
      </c>
      <c r="E3657" s="131" t="s">
        <v>1216</v>
      </c>
      <c r="F3657" s="767">
        <v>3168.24</v>
      </c>
      <c r="G3657" s="767">
        <v>428.36</v>
      </c>
      <c r="H3657" s="767">
        <v>3596.6</v>
      </c>
      <c r="I3657" s="768" t="s">
        <v>1910</v>
      </c>
    </row>
    <row r="3658" spans="1:9" x14ac:dyDescent="0.25">
      <c r="A3658" s="753">
        <v>402008</v>
      </c>
      <c r="B3658" s="130">
        <v>381</v>
      </c>
      <c r="C3658" s="131" t="s">
        <v>1217</v>
      </c>
      <c r="D3658" s="131">
        <v>16</v>
      </c>
      <c r="E3658" s="131" t="s">
        <v>1217</v>
      </c>
      <c r="F3658" s="767">
        <v>2712.48</v>
      </c>
      <c r="G3658" s="767">
        <v>380.76</v>
      </c>
      <c r="H3658" s="767">
        <v>3093.24</v>
      </c>
      <c r="I3658" s="768" t="s">
        <v>1911</v>
      </c>
    </row>
    <row r="3659" spans="1:9" x14ac:dyDescent="0.25">
      <c r="A3659" s="753">
        <v>402010</v>
      </c>
      <c r="B3659" s="130">
        <v>3093</v>
      </c>
      <c r="C3659" s="131" t="s">
        <v>1217</v>
      </c>
      <c r="D3659" s="131">
        <v>16</v>
      </c>
      <c r="E3659" s="131" t="s">
        <v>1217</v>
      </c>
      <c r="F3659" s="767">
        <v>2712.48</v>
      </c>
      <c r="G3659" s="767">
        <v>380.76</v>
      </c>
      <c r="H3659" s="767">
        <v>3093.24</v>
      </c>
      <c r="I3659" s="768" t="s">
        <v>1911</v>
      </c>
    </row>
    <row r="3660" spans="1:9" x14ac:dyDescent="0.25">
      <c r="A3660" s="753">
        <v>402012</v>
      </c>
      <c r="B3660" s="130">
        <v>48</v>
      </c>
      <c r="C3660" s="131" t="s">
        <v>1218</v>
      </c>
      <c r="D3660" s="131">
        <v>16</v>
      </c>
      <c r="E3660" s="131" t="s">
        <v>1218</v>
      </c>
      <c r="F3660" s="767">
        <v>252.82</v>
      </c>
      <c r="G3660" s="767">
        <v>47.61</v>
      </c>
      <c r="H3660" s="767">
        <v>300.43</v>
      </c>
      <c r="I3660" s="768" t="s">
        <v>1912</v>
      </c>
    </row>
    <row r="3661" spans="1:9" x14ac:dyDescent="0.25">
      <c r="A3661" s="753">
        <v>402014</v>
      </c>
      <c r="B3661" s="130">
        <v>300</v>
      </c>
      <c r="C3661" s="131" t="s">
        <v>1218</v>
      </c>
      <c r="D3661" s="131">
        <v>16</v>
      </c>
      <c r="E3661" s="131" t="s">
        <v>1218</v>
      </c>
      <c r="F3661" s="767">
        <v>252.82</v>
      </c>
      <c r="G3661" s="767">
        <v>47.61</v>
      </c>
      <c r="H3661" s="767">
        <v>300.43</v>
      </c>
      <c r="I3661" s="768" t="s">
        <v>1912</v>
      </c>
    </row>
    <row r="3662" spans="1:9" x14ac:dyDescent="0.25">
      <c r="A3662" s="753">
        <v>402016</v>
      </c>
      <c r="B3662" s="130">
        <v>0</v>
      </c>
      <c r="E3662" s="131"/>
    </row>
    <row r="3663" spans="1:9" x14ac:dyDescent="0.25">
      <c r="A3663" s="753">
        <v>402018</v>
      </c>
      <c r="B3663" s="130">
        <v>0</v>
      </c>
      <c r="E3663" s="131"/>
    </row>
    <row r="3664" spans="1:9" x14ac:dyDescent="0.25">
      <c r="A3664" s="753">
        <v>402020</v>
      </c>
      <c r="B3664" s="130">
        <v>0</v>
      </c>
      <c r="E3664" s="131"/>
    </row>
    <row r="3665" spans="1:9" x14ac:dyDescent="0.25">
      <c r="A3665" s="753">
        <v>402022</v>
      </c>
      <c r="B3665" s="130">
        <v>0</v>
      </c>
      <c r="E3665" s="131"/>
    </row>
    <row r="3666" spans="1:9" x14ac:dyDescent="0.25">
      <c r="A3666" s="753">
        <v>402104</v>
      </c>
      <c r="B3666" s="130">
        <v>2212</v>
      </c>
      <c r="C3666" s="131" t="s">
        <v>1219</v>
      </c>
      <c r="D3666" s="131">
        <v>16</v>
      </c>
      <c r="E3666" s="131" t="s">
        <v>1219</v>
      </c>
      <c r="F3666" s="767">
        <v>8739.2900000000009</v>
      </c>
      <c r="G3666" s="767">
        <v>2212.33</v>
      </c>
      <c r="H3666" s="767">
        <v>10951.62</v>
      </c>
      <c r="I3666" s="768" t="s">
        <v>1913</v>
      </c>
    </row>
    <row r="3667" spans="1:9" x14ac:dyDescent="0.25">
      <c r="A3667" s="753">
        <v>402106</v>
      </c>
      <c r="B3667" s="130">
        <v>10952</v>
      </c>
      <c r="C3667" s="131" t="s">
        <v>1219</v>
      </c>
      <c r="D3667" s="131">
        <v>16</v>
      </c>
      <c r="E3667" s="131" t="s">
        <v>1219</v>
      </c>
      <c r="F3667" s="767">
        <v>8739.2900000000009</v>
      </c>
      <c r="G3667" s="767">
        <v>2212.33</v>
      </c>
      <c r="H3667" s="767">
        <v>10951.62</v>
      </c>
      <c r="I3667" s="768" t="s">
        <v>1913</v>
      </c>
    </row>
    <row r="3668" spans="1:9" x14ac:dyDescent="0.25">
      <c r="A3668" s="753">
        <v>402108</v>
      </c>
      <c r="B3668" s="130">
        <v>2</v>
      </c>
      <c r="C3668" s="131" t="s">
        <v>1220</v>
      </c>
      <c r="D3668" s="131">
        <v>16</v>
      </c>
      <c r="E3668" s="131" t="s">
        <v>1220</v>
      </c>
      <c r="F3668" s="767">
        <v>1.25</v>
      </c>
      <c r="G3668" s="767">
        <v>1.75</v>
      </c>
      <c r="H3668" s="767">
        <v>3</v>
      </c>
      <c r="I3668" s="768" t="s">
        <v>1914</v>
      </c>
    </row>
    <row r="3669" spans="1:9" x14ac:dyDescent="0.25">
      <c r="A3669" s="753">
        <v>402110</v>
      </c>
      <c r="B3669" s="130">
        <v>3</v>
      </c>
      <c r="C3669" s="131" t="s">
        <v>1220</v>
      </c>
      <c r="D3669" s="131">
        <v>16</v>
      </c>
      <c r="E3669" s="131" t="s">
        <v>1220</v>
      </c>
      <c r="F3669" s="767">
        <v>1.25</v>
      </c>
      <c r="G3669" s="767">
        <v>1.75</v>
      </c>
      <c r="H3669" s="767">
        <v>3</v>
      </c>
      <c r="I3669" s="768" t="s">
        <v>1914</v>
      </c>
    </row>
    <row r="3670" spans="1:9" x14ac:dyDescent="0.25">
      <c r="A3670" s="753">
        <v>402112</v>
      </c>
      <c r="B3670" s="130">
        <v>0</v>
      </c>
      <c r="C3670" s="131" t="s">
        <v>2308</v>
      </c>
      <c r="D3670" s="131">
        <v>16</v>
      </c>
      <c r="E3670" s="131" t="s">
        <v>2308</v>
      </c>
      <c r="F3670" s="767">
        <v>0</v>
      </c>
      <c r="G3670" s="767">
        <v>0.21</v>
      </c>
      <c r="H3670" s="767">
        <v>0.21</v>
      </c>
      <c r="I3670" s="768" t="s">
        <v>2309</v>
      </c>
    </row>
    <row r="3671" spans="1:9" x14ac:dyDescent="0.25">
      <c r="A3671" s="753">
        <v>402114</v>
      </c>
      <c r="B3671" s="130">
        <v>0</v>
      </c>
      <c r="C3671" s="131" t="s">
        <v>2308</v>
      </c>
      <c r="D3671" s="131">
        <v>16</v>
      </c>
      <c r="E3671" s="131" t="s">
        <v>2308</v>
      </c>
      <c r="F3671" s="767">
        <v>0</v>
      </c>
      <c r="G3671" s="767">
        <v>0.21</v>
      </c>
      <c r="H3671" s="767">
        <v>0.21</v>
      </c>
      <c r="I3671" s="768" t="s">
        <v>2309</v>
      </c>
    </row>
    <row r="3672" spans="1:9" x14ac:dyDescent="0.25">
      <c r="A3672" s="753">
        <v>402116</v>
      </c>
      <c r="B3672" s="130">
        <v>0</v>
      </c>
      <c r="E3672" s="131"/>
    </row>
    <row r="3673" spans="1:9" x14ac:dyDescent="0.25">
      <c r="A3673" s="753">
        <v>402118</v>
      </c>
      <c r="B3673" s="130">
        <v>0</v>
      </c>
      <c r="E3673" s="131"/>
    </row>
    <row r="3674" spans="1:9" x14ac:dyDescent="0.25">
      <c r="A3674" s="753">
        <v>402120</v>
      </c>
      <c r="B3674" s="130">
        <v>0</v>
      </c>
      <c r="E3674" s="131"/>
    </row>
    <row r="3675" spans="1:9" x14ac:dyDescent="0.25">
      <c r="A3675" s="753">
        <v>402122</v>
      </c>
      <c r="B3675" s="130">
        <v>0</v>
      </c>
      <c r="E3675" s="131"/>
    </row>
    <row r="3676" spans="1:9" x14ac:dyDescent="0.25">
      <c r="A3676" s="753">
        <v>402204</v>
      </c>
      <c r="B3676" s="130">
        <v>3024</v>
      </c>
      <c r="C3676" s="131" t="s">
        <v>1221</v>
      </c>
      <c r="D3676" s="131">
        <v>16</v>
      </c>
      <c r="E3676" s="131" t="s">
        <v>1221</v>
      </c>
      <c r="F3676" s="767">
        <v>5459.31</v>
      </c>
      <c r="G3676" s="767">
        <v>3024.35</v>
      </c>
      <c r="H3676" s="767">
        <v>8483.66</v>
      </c>
      <c r="I3676" s="768" t="s">
        <v>1915</v>
      </c>
    </row>
    <row r="3677" spans="1:9" x14ac:dyDescent="0.25">
      <c r="A3677" s="753">
        <v>402206</v>
      </c>
      <c r="B3677" s="130">
        <v>8484</v>
      </c>
      <c r="C3677" s="131" t="s">
        <v>1221</v>
      </c>
      <c r="D3677" s="131">
        <v>16</v>
      </c>
      <c r="E3677" s="131" t="s">
        <v>1221</v>
      </c>
      <c r="F3677" s="767">
        <v>5459.31</v>
      </c>
      <c r="G3677" s="767">
        <v>3024.35</v>
      </c>
      <c r="H3677" s="767">
        <v>8483.66</v>
      </c>
      <c r="I3677" s="768" t="s">
        <v>1915</v>
      </c>
    </row>
    <row r="3678" spans="1:9" x14ac:dyDescent="0.25">
      <c r="A3678" s="753">
        <v>402208</v>
      </c>
      <c r="B3678" s="130">
        <v>242</v>
      </c>
      <c r="C3678" s="131" t="s">
        <v>1222</v>
      </c>
      <c r="D3678" s="131">
        <v>16</v>
      </c>
      <c r="E3678" s="131" t="s">
        <v>1222</v>
      </c>
      <c r="F3678" s="767">
        <v>3048.51</v>
      </c>
      <c r="G3678" s="767">
        <v>241.93</v>
      </c>
      <c r="H3678" s="767">
        <v>3290.44</v>
      </c>
      <c r="I3678" s="768" t="s">
        <v>1916</v>
      </c>
    </row>
    <row r="3679" spans="1:9" x14ac:dyDescent="0.25">
      <c r="A3679" s="753">
        <v>402210</v>
      </c>
      <c r="B3679" s="130">
        <v>3290</v>
      </c>
      <c r="C3679" s="131" t="s">
        <v>1222</v>
      </c>
      <c r="D3679" s="131">
        <v>16</v>
      </c>
      <c r="E3679" s="131" t="s">
        <v>1222</v>
      </c>
      <c r="F3679" s="767">
        <v>3048.51</v>
      </c>
      <c r="G3679" s="767">
        <v>241.93</v>
      </c>
      <c r="H3679" s="767">
        <v>3290.44</v>
      </c>
      <c r="I3679" s="768" t="s">
        <v>1916</v>
      </c>
    </row>
    <row r="3680" spans="1:9" x14ac:dyDescent="0.25">
      <c r="A3680" s="753">
        <v>402212</v>
      </c>
      <c r="B3680" s="130">
        <v>0</v>
      </c>
      <c r="E3680" s="131"/>
    </row>
    <row r="3681" spans="1:9" x14ac:dyDescent="0.25">
      <c r="A3681" s="753">
        <v>402214</v>
      </c>
      <c r="B3681" s="130">
        <v>0</v>
      </c>
      <c r="E3681" s="131"/>
    </row>
    <row r="3682" spans="1:9" x14ac:dyDescent="0.25">
      <c r="A3682" s="753">
        <v>402216</v>
      </c>
      <c r="B3682" s="130">
        <v>0</v>
      </c>
      <c r="E3682" s="131"/>
    </row>
    <row r="3683" spans="1:9" x14ac:dyDescent="0.25">
      <c r="A3683" s="753">
        <v>402218</v>
      </c>
      <c r="B3683" s="130">
        <v>0</v>
      </c>
      <c r="E3683" s="131"/>
    </row>
    <row r="3684" spans="1:9" x14ac:dyDescent="0.25">
      <c r="A3684" s="753">
        <v>402220</v>
      </c>
      <c r="B3684" s="130">
        <v>0</v>
      </c>
      <c r="E3684" s="131"/>
    </row>
    <row r="3685" spans="1:9" x14ac:dyDescent="0.25">
      <c r="A3685" s="753">
        <v>402222</v>
      </c>
      <c r="B3685" s="130">
        <v>0</v>
      </c>
      <c r="E3685" s="131"/>
    </row>
    <row r="3686" spans="1:9" x14ac:dyDescent="0.25">
      <c r="A3686" s="753">
        <v>402304</v>
      </c>
      <c r="B3686" s="130">
        <v>0</v>
      </c>
      <c r="E3686" s="131"/>
    </row>
    <row r="3687" spans="1:9" x14ac:dyDescent="0.25">
      <c r="A3687" s="753">
        <v>402306</v>
      </c>
      <c r="B3687" s="130">
        <v>0</v>
      </c>
      <c r="E3687" s="131"/>
    </row>
    <row r="3688" spans="1:9" x14ac:dyDescent="0.25">
      <c r="A3688" s="753">
        <v>402308</v>
      </c>
      <c r="B3688" s="130">
        <v>0</v>
      </c>
      <c r="E3688" s="131"/>
    </row>
    <row r="3689" spans="1:9" x14ac:dyDescent="0.25">
      <c r="A3689" s="753">
        <v>402310</v>
      </c>
      <c r="B3689" s="130">
        <v>0</v>
      </c>
      <c r="E3689" s="131"/>
    </row>
    <row r="3690" spans="1:9" x14ac:dyDescent="0.25">
      <c r="A3690" s="753">
        <v>402312</v>
      </c>
      <c r="B3690" s="130">
        <v>0</v>
      </c>
      <c r="E3690" s="131"/>
    </row>
    <row r="3691" spans="1:9" x14ac:dyDescent="0.25">
      <c r="A3691" s="753">
        <v>402314</v>
      </c>
      <c r="B3691" s="130">
        <v>0</v>
      </c>
      <c r="E3691" s="131"/>
    </row>
    <row r="3692" spans="1:9" x14ac:dyDescent="0.25">
      <c r="A3692" s="753">
        <v>402316</v>
      </c>
      <c r="B3692" s="130">
        <v>0</v>
      </c>
      <c r="E3692" s="131"/>
    </row>
    <row r="3693" spans="1:9" x14ac:dyDescent="0.25">
      <c r="A3693" s="753">
        <v>402318</v>
      </c>
      <c r="B3693" s="130">
        <v>0</v>
      </c>
      <c r="E3693" s="131"/>
    </row>
    <row r="3694" spans="1:9" x14ac:dyDescent="0.25">
      <c r="A3694" s="753">
        <v>402320</v>
      </c>
      <c r="B3694" s="130">
        <v>0</v>
      </c>
      <c r="E3694" s="131"/>
    </row>
    <row r="3695" spans="1:9" x14ac:dyDescent="0.25">
      <c r="A3695" s="753">
        <v>402322</v>
      </c>
      <c r="B3695" s="130">
        <v>0</v>
      </c>
      <c r="E3695" s="131"/>
    </row>
    <row r="3696" spans="1:9" x14ac:dyDescent="0.25">
      <c r="A3696" s="753">
        <v>402404</v>
      </c>
      <c r="B3696" s="130">
        <v>1363</v>
      </c>
      <c r="C3696" s="131" t="s">
        <v>1223</v>
      </c>
      <c r="D3696" s="131">
        <v>16</v>
      </c>
      <c r="E3696" s="131" t="s">
        <v>1223</v>
      </c>
      <c r="F3696" s="767">
        <v>19544.86</v>
      </c>
      <c r="G3696" s="767">
        <v>1362.58</v>
      </c>
      <c r="H3696" s="767">
        <v>20907.439999999999</v>
      </c>
      <c r="I3696" s="768" t="s">
        <v>1917</v>
      </c>
    </row>
    <row r="3697" spans="1:9" x14ac:dyDescent="0.25">
      <c r="A3697" s="753">
        <v>402406</v>
      </c>
      <c r="B3697" s="130">
        <v>20907</v>
      </c>
      <c r="C3697" s="131" t="s">
        <v>1223</v>
      </c>
      <c r="D3697" s="131">
        <v>16</v>
      </c>
      <c r="E3697" s="131" t="s">
        <v>1223</v>
      </c>
      <c r="F3697" s="767">
        <v>19544.86</v>
      </c>
      <c r="G3697" s="767">
        <v>1362.58</v>
      </c>
      <c r="H3697" s="767">
        <v>20907.439999999999</v>
      </c>
      <c r="I3697" s="768" t="s">
        <v>1917</v>
      </c>
    </row>
    <row r="3698" spans="1:9" x14ac:dyDescent="0.25">
      <c r="A3698" s="753">
        <v>402408</v>
      </c>
      <c r="B3698" s="130">
        <v>327</v>
      </c>
      <c r="C3698" s="131" t="s">
        <v>1224</v>
      </c>
      <c r="D3698" s="131">
        <v>16</v>
      </c>
      <c r="E3698" s="131" t="s">
        <v>1224</v>
      </c>
      <c r="F3698" s="767">
        <v>3141.11</v>
      </c>
      <c r="G3698" s="767">
        <v>327.48</v>
      </c>
      <c r="H3698" s="767">
        <v>3468.59</v>
      </c>
      <c r="I3698" s="768" t="s">
        <v>1918</v>
      </c>
    </row>
    <row r="3699" spans="1:9" x14ac:dyDescent="0.25">
      <c r="A3699" s="753">
        <v>402410</v>
      </c>
      <c r="B3699" s="130">
        <v>3469</v>
      </c>
      <c r="C3699" s="131" t="s">
        <v>1224</v>
      </c>
      <c r="D3699" s="131">
        <v>16</v>
      </c>
      <c r="E3699" s="131" t="s">
        <v>1224</v>
      </c>
      <c r="F3699" s="767">
        <v>3141.11</v>
      </c>
      <c r="G3699" s="767">
        <v>327.48</v>
      </c>
      <c r="H3699" s="767">
        <v>3468.59</v>
      </c>
      <c r="I3699" s="768" t="s">
        <v>1918</v>
      </c>
    </row>
    <row r="3700" spans="1:9" x14ac:dyDescent="0.25">
      <c r="A3700" s="753">
        <v>402412</v>
      </c>
      <c r="B3700" s="130">
        <v>0</v>
      </c>
      <c r="C3700" s="131" t="s">
        <v>1225</v>
      </c>
      <c r="D3700" s="131">
        <v>16</v>
      </c>
      <c r="E3700" s="131" t="s">
        <v>1225</v>
      </c>
      <c r="F3700" s="767">
        <v>138.03</v>
      </c>
      <c r="G3700" s="767">
        <v>0</v>
      </c>
      <c r="H3700" s="767">
        <v>138.03</v>
      </c>
      <c r="I3700" s="768" t="s">
        <v>1919</v>
      </c>
    </row>
    <row r="3701" spans="1:9" x14ac:dyDescent="0.25">
      <c r="A3701" s="753">
        <v>402414</v>
      </c>
      <c r="B3701" s="130">
        <v>138</v>
      </c>
      <c r="C3701" s="131" t="s">
        <v>1225</v>
      </c>
      <c r="D3701" s="131">
        <v>16</v>
      </c>
      <c r="E3701" s="131" t="s">
        <v>1225</v>
      </c>
      <c r="F3701" s="767">
        <v>138.03</v>
      </c>
      <c r="G3701" s="767">
        <v>0</v>
      </c>
      <c r="H3701" s="767">
        <v>138.03</v>
      </c>
      <c r="I3701" s="768" t="s">
        <v>1919</v>
      </c>
    </row>
    <row r="3702" spans="1:9" x14ac:dyDescent="0.25">
      <c r="A3702" s="753">
        <v>402416</v>
      </c>
      <c r="B3702" s="130">
        <v>0</v>
      </c>
      <c r="E3702" s="131"/>
    </row>
    <row r="3703" spans="1:9" x14ac:dyDescent="0.25">
      <c r="A3703" s="753">
        <v>402418</v>
      </c>
      <c r="B3703" s="130">
        <v>0</v>
      </c>
      <c r="E3703" s="131"/>
    </row>
    <row r="3704" spans="1:9" x14ac:dyDescent="0.25">
      <c r="A3704" s="753">
        <v>402420</v>
      </c>
      <c r="B3704" s="130">
        <v>0</v>
      </c>
      <c r="E3704" s="131"/>
    </row>
    <row r="3705" spans="1:9" x14ac:dyDescent="0.25">
      <c r="A3705" s="753">
        <v>402422</v>
      </c>
      <c r="B3705" s="130">
        <v>0</v>
      </c>
      <c r="E3705" s="131"/>
    </row>
    <row r="3706" spans="1:9" x14ac:dyDescent="0.25">
      <c r="A3706" s="753">
        <v>402504</v>
      </c>
      <c r="B3706" s="130">
        <v>6363</v>
      </c>
      <c r="C3706" s="131" t="s">
        <v>1226</v>
      </c>
      <c r="D3706" s="131">
        <v>16</v>
      </c>
      <c r="E3706" s="131" t="s">
        <v>1226</v>
      </c>
      <c r="F3706" s="767">
        <v>50327.81</v>
      </c>
      <c r="G3706" s="767">
        <v>6363.22</v>
      </c>
      <c r="H3706" s="767">
        <v>56691.03</v>
      </c>
      <c r="I3706" s="768" t="s">
        <v>1920</v>
      </c>
    </row>
    <row r="3707" spans="1:9" x14ac:dyDescent="0.25">
      <c r="A3707" s="753">
        <v>402506</v>
      </c>
      <c r="B3707" s="130">
        <v>56691</v>
      </c>
      <c r="C3707" s="131" t="s">
        <v>1226</v>
      </c>
      <c r="D3707" s="131">
        <v>16</v>
      </c>
      <c r="E3707" s="131" t="s">
        <v>1226</v>
      </c>
      <c r="F3707" s="767">
        <v>50327.81</v>
      </c>
      <c r="G3707" s="767">
        <v>6363.22</v>
      </c>
      <c r="H3707" s="767">
        <v>56691.03</v>
      </c>
      <c r="I3707" s="768" t="s">
        <v>1920</v>
      </c>
    </row>
    <row r="3708" spans="1:9" x14ac:dyDescent="0.25">
      <c r="A3708" s="753">
        <v>402508</v>
      </c>
      <c r="B3708" s="130">
        <v>2020</v>
      </c>
      <c r="C3708" s="131" t="s">
        <v>1227</v>
      </c>
      <c r="D3708" s="131">
        <v>16</v>
      </c>
      <c r="E3708" s="131" t="s">
        <v>1227</v>
      </c>
      <c r="F3708" s="767">
        <v>15792.38</v>
      </c>
      <c r="G3708" s="767">
        <v>2020.06</v>
      </c>
      <c r="H3708" s="767">
        <v>17812.439999999999</v>
      </c>
      <c r="I3708" s="768" t="s">
        <v>1921</v>
      </c>
    </row>
    <row r="3709" spans="1:9" x14ac:dyDescent="0.25">
      <c r="A3709" s="753">
        <v>402510</v>
      </c>
      <c r="B3709" s="130">
        <v>17812</v>
      </c>
      <c r="C3709" s="131" t="s">
        <v>1227</v>
      </c>
      <c r="D3709" s="131">
        <v>16</v>
      </c>
      <c r="E3709" s="131" t="s">
        <v>1227</v>
      </c>
      <c r="F3709" s="767">
        <v>15792.38</v>
      </c>
      <c r="G3709" s="767">
        <v>2020.06</v>
      </c>
      <c r="H3709" s="767">
        <v>17812.439999999999</v>
      </c>
      <c r="I3709" s="768" t="s">
        <v>1921</v>
      </c>
    </row>
    <row r="3710" spans="1:9" x14ac:dyDescent="0.25">
      <c r="A3710" s="753">
        <v>402512</v>
      </c>
      <c r="B3710" s="130">
        <v>234</v>
      </c>
      <c r="C3710" s="131" t="s">
        <v>1228</v>
      </c>
      <c r="D3710" s="131">
        <v>16</v>
      </c>
      <c r="E3710" s="131" t="s">
        <v>1228</v>
      </c>
      <c r="F3710" s="767">
        <v>1920.84</v>
      </c>
      <c r="G3710" s="767">
        <v>234.31</v>
      </c>
      <c r="H3710" s="767">
        <v>2155.15</v>
      </c>
      <c r="I3710" s="768" t="s">
        <v>1922</v>
      </c>
    </row>
    <row r="3711" spans="1:9" x14ac:dyDescent="0.25">
      <c r="A3711" s="753">
        <v>402514</v>
      </c>
      <c r="B3711" s="130">
        <v>2155</v>
      </c>
      <c r="C3711" s="131" t="s">
        <v>1228</v>
      </c>
      <c r="D3711" s="131">
        <v>16</v>
      </c>
      <c r="E3711" s="131" t="s">
        <v>1228</v>
      </c>
      <c r="F3711" s="767">
        <v>1920.84</v>
      </c>
      <c r="G3711" s="767">
        <v>234.31</v>
      </c>
      <c r="H3711" s="767">
        <v>2155.15</v>
      </c>
      <c r="I3711" s="768" t="s">
        <v>1922</v>
      </c>
    </row>
    <row r="3712" spans="1:9" x14ac:dyDescent="0.25">
      <c r="A3712" s="753">
        <v>402516</v>
      </c>
      <c r="B3712" s="130">
        <v>0</v>
      </c>
      <c r="E3712" s="131"/>
    </row>
    <row r="3713" spans="1:9" x14ac:dyDescent="0.25">
      <c r="A3713" s="753">
        <v>402518</v>
      </c>
      <c r="B3713" s="130">
        <v>0</v>
      </c>
      <c r="E3713" s="131"/>
    </row>
    <row r="3714" spans="1:9" x14ac:dyDescent="0.25">
      <c r="A3714" s="753">
        <v>402520</v>
      </c>
      <c r="B3714" s="130">
        <v>0</v>
      </c>
      <c r="E3714" s="131"/>
    </row>
    <row r="3715" spans="1:9" x14ac:dyDescent="0.25">
      <c r="A3715" s="753">
        <v>402522</v>
      </c>
      <c r="B3715" s="130">
        <v>0</v>
      </c>
      <c r="E3715" s="131"/>
    </row>
    <row r="3716" spans="1:9" x14ac:dyDescent="0.25">
      <c r="A3716" s="753">
        <v>402604</v>
      </c>
      <c r="B3716" s="130">
        <v>8677</v>
      </c>
      <c r="C3716" s="131" t="s">
        <v>1229</v>
      </c>
      <c r="D3716" s="131">
        <v>16</v>
      </c>
      <c r="E3716" s="131" t="s">
        <v>1229</v>
      </c>
      <c r="F3716" s="767">
        <v>48796.54</v>
      </c>
      <c r="G3716" s="767">
        <v>8677.14</v>
      </c>
      <c r="H3716" s="767">
        <v>57473.68</v>
      </c>
      <c r="I3716" s="768" t="s">
        <v>1923</v>
      </c>
    </row>
    <row r="3717" spans="1:9" x14ac:dyDescent="0.25">
      <c r="A3717" s="753">
        <v>402606</v>
      </c>
      <c r="B3717" s="130">
        <v>57474</v>
      </c>
      <c r="C3717" s="131" t="s">
        <v>1229</v>
      </c>
      <c r="D3717" s="131">
        <v>16</v>
      </c>
      <c r="E3717" s="131" t="s">
        <v>1229</v>
      </c>
      <c r="F3717" s="767">
        <v>48796.54</v>
      </c>
      <c r="G3717" s="767">
        <v>8677.14</v>
      </c>
      <c r="H3717" s="767">
        <v>57473.68</v>
      </c>
      <c r="I3717" s="768" t="s">
        <v>1923</v>
      </c>
    </row>
    <row r="3718" spans="1:9" x14ac:dyDescent="0.25">
      <c r="A3718" s="753">
        <v>402608</v>
      </c>
      <c r="B3718" s="130">
        <v>1470</v>
      </c>
      <c r="C3718" s="131" t="s">
        <v>1230</v>
      </c>
      <c r="D3718" s="131">
        <v>16</v>
      </c>
      <c r="E3718" s="131" t="s">
        <v>1230</v>
      </c>
      <c r="F3718" s="767">
        <v>11202.45</v>
      </c>
      <c r="G3718" s="767">
        <v>1094.98</v>
      </c>
      <c r="H3718" s="767">
        <v>12297.43</v>
      </c>
      <c r="I3718" s="768" t="s">
        <v>1924</v>
      </c>
    </row>
    <row r="3719" spans="1:9" x14ac:dyDescent="0.25">
      <c r="A3719" s="753"/>
      <c r="C3719" s="131" t="s">
        <v>1230</v>
      </c>
      <c r="D3719" s="131">
        <v>16</v>
      </c>
      <c r="E3719" s="131" t="s">
        <v>1327</v>
      </c>
      <c r="F3719" s="767">
        <v>4875</v>
      </c>
      <c r="G3719" s="767">
        <v>375</v>
      </c>
      <c r="H3719" s="767">
        <v>5250</v>
      </c>
      <c r="I3719" s="768" t="s">
        <v>1925</v>
      </c>
    </row>
    <row r="3720" spans="1:9" x14ac:dyDescent="0.25">
      <c r="A3720" s="753">
        <v>402610</v>
      </c>
      <c r="B3720" s="130">
        <v>17547</v>
      </c>
      <c r="C3720" s="131" t="s">
        <v>1230</v>
      </c>
      <c r="D3720" s="131">
        <v>16</v>
      </c>
      <c r="E3720" s="131" t="s">
        <v>1230</v>
      </c>
      <c r="F3720" s="767">
        <v>11202.45</v>
      </c>
      <c r="G3720" s="767">
        <v>1094.98</v>
      </c>
      <c r="H3720" s="767">
        <v>12297.43</v>
      </c>
      <c r="I3720" s="768" t="s">
        <v>1924</v>
      </c>
    </row>
    <row r="3721" spans="1:9" x14ac:dyDescent="0.25">
      <c r="A3721" s="753"/>
      <c r="C3721" s="131" t="s">
        <v>1230</v>
      </c>
      <c r="D3721" s="131">
        <v>16</v>
      </c>
      <c r="E3721" s="131" t="s">
        <v>1327</v>
      </c>
      <c r="F3721" s="767">
        <v>4875</v>
      </c>
      <c r="G3721" s="767">
        <v>375</v>
      </c>
      <c r="H3721" s="767">
        <v>5250</v>
      </c>
      <c r="I3721" s="768" t="s">
        <v>1925</v>
      </c>
    </row>
    <row r="3722" spans="1:9" x14ac:dyDescent="0.25">
      <c r="A3722" s="753">
        <v>402612</v>
      </c>
      <c r="B3722" s="130">
        <v>144</v>
      </c>
      <c r="C3722" s="131" t="s">
        <v>1231</v>
      </c>
      <c r="D3722" s="131">
        <v>16</v>
      </c>
      <c r="E3722" s="131" t="s">
        <v>1231</v>
      </c>
      <c r="F3722" s="767">
        <v>1513.97</v>
      </c>
      <c r="G3722" s="767">
        <v>144.32</v>
      </c>
      <c r="H3722" s="767">
        <v>1658.29</v>
      </c>
      <c r="I3722" s="768" t="s">
        <v>1926</v>
      </c>
    </row>
    <row r="3723" spans="1:9" x14ac:dyDescent="0.25">
      <c r="A3723" s="753">
        <v>402614</v>
      </c>
      <c r="B3723" s="130">
        <v>1658</v>
      </c>
      <c r="C3723" s="131" t="s">
        <v>1231</v>
      </c>
      <c r="D3723" s="131">
        <v>16</v>
      </c>
      <c r="E3723" s="131" t="s">
        <v>1231</v>
      </c>
      <c r="F3723" s="767">
        <v>1513.97</v>
      </c>
      <c r="G3723" s="767">
        <v>144.32</v>
      </c>
      <c r="H3723" s="767">
        <v>1658.29</v>
      </c>
      <c r="I3723" s="768" t="s">
        <v>1926</v>
      </c>
    </row>
    <row r="3724" spans="1:9" x14ac:dyDescent="0.25">
      <c r="A3724" s="753">
        <v>402616</v>
      </c>
      <c r="B3724" s="130">
        <v>0</v>
      </c>
      <c r="E3724" s="131"/>
    </row>
    <row r="3725" spans="1:9" x14ac:dyDescent="0.25">
      <c r="A3725" s="753">
        <v>402618</v>
      </c>
      <c r="B3725" s="130">
        <v>0</v>
      </c>
      <c r="E3725" s="131"/>
    </row>
    <row r="3726" spans="1:9" x14ac:dyDescent="0.25">
      <c r="A3726" s="753">
        <v>402620</v>
      </c>
      <c r="B3726" s="130">
        <v>0</v>
      </c>
      <c r="E3726" s="131"/>
    </row>
    <row r="3727" spans="1:9" x14ac:dyDescent="0.25">
      <c r="A3727" s="753">
        <v>402622</v>
      </c>
      <c r="B3727" s="130">
        <v>0</v>
      </c>
      <c r="E3727" s="131"/>
    </row>
    <row r="3728" spans="1:9" x14ac:dyDescent="0.25">
      <c r="A3728" s="753">
        <v>402704</v>
      </c>
      <c r="B3728" s="130">
        <v>556</v>
      </c>
      <c r="C3728" s="131" t="s">
        <v>1232</v>
      </c>
      <c r="D3728" s="131">
        <v>16</v>
      </c>
      <c r="E3728" s="131" t="s">
        <v>1232</v>
      </c>
      <c r="F3728" s="767">
        <v>6208.21</v>
      </c>
      <c r="G3728" s="767">
        <v>555.9</v>
      </c>
      <c r="H3728" s="767">
        <v>6764.11</v>
      </c>
      <c r="I3728" s="768" t="s">
        <v>1927</v>
      </c>
    </row>
    <row r="3729" spans="1:9" x14ac:dyDescent="0.25">
      <c r="A3729" s="753">
        <v>402706</v>
      </c>
      <c r="B3729" s="130">
        <v>6764</v>
      </c>
      <c r="C3729" s="131" t="s">
        <v>1232</v>
      </c>
      <c r="D3729" s="131">
        <v>16</v>
      </c>
      <c r="E3729" s="131" t="s">
        <v>1232</v>
      </c>
      <c r="F3729" s="767">
        <v>6208.21</v>
      </c>
      <c r="G3729" s="767">
        <v>555.9</v>
      </c>
      <c r="H3729" s="767">
        <v>6764.11</v>
      </c>
      <c r="I3729" s="768" t="s">
        <v>1927</v>
      </c>
    </row>
    <row r="3730" spans="1:9" x14ac:dyDescent="0.25">
      <c r="A3730" s="753">
        <v>402708</v>
      </c>
      <c r="B3730" s="130">
        <v>448</v>
      </c>
      <c r="C3730" s="131" t="s">
        <v>1233</v>
      </c>
      <c r="D3730" s="131">
        <v>16</v>
      </c>
      <c r="E3730" s="131" t="s">
        <v>1233</v>
      </c>
      <c r="F3730" s="767">
        <v>2172.44</v>
      </c>
      <c r="G3730" s="767">
        <v>447.99</v>
      </c>
      <c r="H3730" s="767">
        <v>2620.4299999999998</v>
      </c>
      <c r="I3730" s="768" t="s">
        <v>1928</v>
      </c>
    </row>
    <row r="3731" spans="1:9" x14ac:dyDescent="0.25">
      <c r="A3731" s="753">
        <v>402710</v>
      </c>
      <c r="B3731" s="130">
        <v>2620</v>
      </c>
      <c r="C3731" s="131" t="s">
        <v>1233</v>
      </c>
      <c r="D3731" s="131">
        <v>16</v>
      </c>
      <c r="E3731" s="131" t="s">
        <v>1233</v>
      </c>
      <c r="F3731" s="767">
        <v>2172.44</v>
      </c>
      <c r="G3731" s="767">
        <v>447.99</v>
      </c>
      <c r="H3731" s="767">
        <v>2620.4299999999998</v>
      </c>
      <c r="I3731" s="768" t="s">
        <v>1928</v>
      </c>
    </row>
    <row r="3732" spans="1:9" x14ac:dyDescent="0.25">
      <c r="A3732" s="753">
        <v>402712</v>
      </c>
      <c r="B3732" s="130">
        <v>56</v>
      </c>
      <c r="C3732" s="131" t="s">
        <v>1234</v>
      </c>
      <c r="D3732" s="131">
        <v>16</v>
      </c>
      <c r="E3732" s="131" t="s">
        <v>1234</v>
      </c>
      <c r="F3732" s="767">
        <v>251.44</v>
      </c>
      <c r="G3732" s="767">
        <v>55.98</v>
      </c>
      <c r="H3732" s="767">
        <v>307.42</v>
      </c>
      <c r="I3732" s="768" t="s">
        <v>1929</v>
      </c>
    </row>
    <row r="3733" spans="1:9" x14ac:dyDescent="0.25">
      <c r="A3733" s="753">
        <v>402714</v>
      </c>
      <c r="B3733" s="130">
        <v>307</v>
      </c>
      <c r="C3733" s="131" t="s">
        <v>1234</v>
      </c>
      <c r="D3733" s="131">
        <v>16</v>
      </c>
      <c r="E3733" s="131" t="s">
        <v>1234</v>
      </c>
      <c r="F3733" s="767">
        <v>251.44</v>
      </c>
      <c r="G3733" s="767">
        <v>55.98</v>
      </c>
      <c r="H3733" s="767">
        <v>307.42</v>
      </c>
      <c r="I3733" s="768" t="s">
        <v>1929</v>
      </c>
    </row>
    <row r="3734" spans="1:9" x14ac:dyDescent="0.25">
      <c r="A3734" s="753">
        <v>402716</v>
      </c>
      <c r="B3734" s="130">
        <v>0</v>
      </c>
      <c r="E3734" s="131"/>
    </row>
    <row r="3735" spans="1:9" x14ac:dyDescent="0.25">
      <c r="A3735" s="753">
        <v>402718</v>
      </c>
      <c r="B3735" s="130">
        <v>0</v>
      </c>
      <c r="E3735" s="131"/>
    </row>
    <row r="3736" spans="1:9" x14ac:dyDescent="0.25">
      <c r="A3736" s="753">
        <v>402720</v>
      </c>
      <c r="B3736" s="130">
        <v>0</v>
      </c>
      <c r="E3736" s="131"/>
    </row>
    <row r="3737" spans="1:9" x14ac:dyDescent="0.25">
      <c r="A3737" s="753">
        <v>402722</v>
      </c>
      <c r="B3737" s="130">
        <v>0</v>
      </c>
      <c r="E3737" s="131"/>
    </row>
    <row r="3738" spans="1:9" x14ac:dyDescent="0.25">
      <c r="A3738" s="753">
        <v>402804</v>
      </c>
      <c r="B3738" s="130">
        <v>64</v>
      </c>
      <c r="C3738" s="131" t="s">
        <v>1235</v>
      </c>
      <c r="D3738" s="131">
        <v>16</v>
      </c>
      <c r="E3738" s="131" t="s">
        <v>1235</v>
      </c>
      <c r="F3738" s="767">
        <v>755.38</v>
      </c>
      <c r="G3738" s="767">
        <v>63.68</v>
      </c>
      <c r="H3738" s="767">
        <v>819.06</v>
      </c>
      <c r="I3738" s="768" t="s">
        <v>1930</v>
      </c>
    </row>
    <row r="3739" spans="1:9" x14ac:dyDescent="0.25">
      <c r="A3739" s="753">
        <v>402806</v>
      </c>
      <c r="B3739" s="130">
        <v>819</v>
      </c>
      <c r="C3739" s="131" t="s">
        <v>1235</v>
      </c>
      <c r="D3739" s="131">
        <v>16</v>
      </c>
      <c r="E3739" s="131" t="s">
        <v>1235</v>
      </c>
      <c r="F3739" s="767">
        <v>755.38</v>
      </c>
      <c r="G3739" s="767">
        <v>63.68</v>
      </c>
      <c r="H3739" s="767">
        <v>819.06</v>
      </c>
      <c r="I3739" s="768" t="s">
        <v>1930</v>
      </c>
    </row>
    <row r="3740" spans="1:9" x14ac:dyDescent="0.25">
      <c r="A3740" s="753">
        <v>402808</v>
      </c>
      <c r="B3740" s="130">
        <v>57</v>
      </c>
      <c r="C3740" s="131" t="s">
        <v>1236</v>
      </c>
      <c r="D3740" s="131">
        <v>16</v>
      </c>
      <c r="E3740" s="131" t="s">
        <v>1236</v>
      </c>
      <c r="F3740" s="767">
        <v>671.4</v>
      </c>
      <c r="G3740" s="767">
        <v>56.6</v>
      </c>
      <c r="H3740" s="767">
        <v>728</v>
      </c>
      <c r="I3740" s="768" t="s">
        <v>1931</v>
      </c>
    </row>
    <row r="3741" spans="1:9" x14ac:dyDescent="0.25">
      <c r="A3741" s="753">
        <v>402810</v>
      </c>
      <c r="B3741" s="130">
        <v>728</v>
      </c>
      <c r="C3741" s="131" t="s">
        <v>1236</v>
      </c>
      <c r="D3741" s="131">
        <v>16</v>
      </c>
      <c r="E3741" s="131" t="s">
        <v>1236</v>
      </c>
      <c r="F3741" s="767">
        <v>671.4</v>
      </c>
      <c r="G3741" s="767">
        <v>56.6</v>
      </c>
      <c r="H3741" s="767">
        <v>728</v>
      </c>
      <c r="I3741" s="768" t="s">
        <v>1931</v>
      </c>
    </row>
    <row r="3742" spans="1:9" x14ac:dyDescent="0.25">
      <c r="A3742" s="753">
        <v>402812</v>
      </c>
      <c r="B3742" s="130">
        <v>7</v>
      </c>
      <c r="C3742" s="131" t="s">
        <v>1237</v>
      </c>
      <c r="D3742" s="131">
        <v>16</v>
      </c>
      <c r="E3742" s="131" t="s">
        <v>1237</v>
      </c>
      <c r="F3742" s="767">
        <v>83.87</v>
      </c>
      <c r="G3742" s="767">
        <v>7.07</v>
      </c>
      <c r="H3742" s="767">
        <v>90.94</v>
      </c>
      <c r="I3742" s="768" t="s">
        <v>1932</v>
      </c>
    </row>
    <row r="3743" spans="1:9" x14ac:dyDescent="0.25">
      <c r="A3743" s="753">
        <v>402814</v>
      </c>
      <c r="B3743" s="130">
        <v>91</v>
      </c>
      <c r="C3743" s="131" t="s">
        <v>1237</v>
      </c>
      <c r="D3743" s="131">
        <v>16</v>
      </c>
      <c r="E3743" s="131" t="s">
        <v>1237</v>
      </c>
      <c r="F3743" s="767">
        <v>83.87</v>
      </c>
      <c r="G3743" s="767">
        <v>7.07</v>
      </c>
      <c r="H3743" s="767">
        <v>90.94</v>
      </c>
      <c r="I3743" s="768" t="s">
        <v>1932</v>
      </c>
    </row>
    <row r="3744" spans="1:9" x14ac:dyDescent="0.25">
      <c r="A3744" s="753">
        <v>402816</v>
      </c>
      <c r="B3744" s="130">
        <v>0</v>
      </c>
      <c r="E3744" s="131"/>
    </row>
    <row r="3745" spans="1:9" x14ac:dyDescent="0.25">
      <c r="A3745" s="753">
        <v>402818</v>
      </c>
      <c r="B3745" s="130">
        <v>0</v>
      </c>
      <c r="E3745" s="131"/>
    </row>
    <row r="3746" spans="1:9" x14ac:dyDescent="0.25">
      <c r="A3746" s="753">
        <v>402820</v>
      </c>
      <c r="B3746" s="130">
        <v>0</v>
      </c>
      <c r="E3746" s="131"/>
    </row>
    <row r="3747" spans="1:9" x14ac:dyDescent="0.25">
      <c r="A3747" s="753">
        <v>402822</v>
      </c>
      <c r="B3747" s="130">
        <v>0</v>
      </c>
      <c r="E3747" s="131"/>
    </row>
    <row r="3748" spans="1:9" x14ac:dyDescent="0.25">
      <c r="A3748" s="753">
        <v>402904</v>
      </c>
      <c r="B3748" s="130">
        <v>1419</v>
      </c>
      <c r="C3748" s="131" t="s">
        <v>1238</v>
      </c>
      <c r="D3748" s="131">
        <v>16</v>
      </c>
      <c r="E3748" s="131" t="s">
        <v>1238</v>
      </c>
      <c r="F3748" s="767">
        <v>12772.44</v>
      </c>
      <c r="G3748" s="767">
        <v>1419.16</v>
      </c>
      <c r="H3748" s="767">
        <v>14191.6</v>
      </c>
      <c r="I3748" s="768" t="s">
        <v>1933</v>
      </c>
    </row>
    <row r="3749" spans="1:9" x14ac:dyDescent="0.25">
      <c r="A3749" s="753">
        <v>402906</v>
      </c>
      <c r="B3749" s="130">
        <v>14192</v>
      </c>
      <c r="C3749" s="131" t="s">
        <v>1238</v>
      </c>
      <c r="D3749" s="131">
        <v>16</v>
      </c>
      <c r="E3749" s="131" t="s">
        <v>1238</v>
      </c>
      <c r="F3749" s="767">
        <v>12772.44</v>
      </c>
      <c r="G3749" s="767">
        <v>1419.16</v>
      </c>
      <c r="H3749" s="767">
        <v>14191.6</v>
      </c>
      <c r="I3749" s="768" t="s">
        <v>1933</v>
      </c>
    </row>
    <row r="3750" spans="1:9" x14ac:dyDescent="0.25">
      <c r="A3750" s="753">
        <v>402908</v>
      </c>
      <c r="B3750" s="130">
        <v>1261</v>
      </c>
      <c r="C3750" s="131" t="s">
        <v>1239</v>
      </c>
      <c r="D3750" s="131">
        <v>16</v>
      </c>
      <c r="E3750" s="131" t="s">
        <v>1239</v>
      </c>
      <c r="F3750" s="767">
        <v>11353.23</v>
      </c>
      <c r="G3750" s="767">
        <v>1261.47</v>
      </c>
      <c r="H3750" s="767">
        <v>12614.7</v>
      </c>
      <c r="I3750" s="768" t="s">
        <v>1934</v>
      </c>
    </row>
    <row r="3751" spans="1:9" x14ac:dyDescent="0.25">
      <c r="A3751" s="753">
        <v>402910</v>
      </c>
      <c r="B3751" s="130">
        <v>12615</v>
      </c>
      <c r="C3751" s="131" t="s">
        <v>1239</v>
      </c>
      <c r="D3751" s="131">
        <v>16</v>
      </c>
      <c r="E3751" s="131" t="s">
        <v>1239</v>
      </c>
      <c r="F3751" s="767">
        <v>11353.23</v>
      </c>
      <c r="G3751" s="767">
        <v>1261.47</v>
      </c>
      <c r="H3751" s="767">
        <v>12614.7</v>
      </c>
      <c r="I3751" s="768" t="s">
        <v>1934</v>
      </c>
    </row>
    <row r="3752" spans="1:9" x14ac:dyDescent="0.25">
      <c r="A3752" s="753">
        <v>402912</v>
      </c>
      <c r="B3752" s="130">
        <v>158</v>
      </c>
      <c r="C3752" s="131" t="s">
        <v>1240</v>
      </c>
      <c r="D3752" s="131">
        <v>16</v>
      </c>
      <c r="E3752" s="131" t="s">
        <v>1240</v>
      </c>
      <c r="F3752" s="767">
        <v>1419.03</v>
      </c>
      <c r="G3752" s="767">
        <v>157.66999999999999</v>
      </c>
      <c r="H3752" s="767">
        <v>1576.7</v>
      </c>
      <c r="I3752" s="768" t="s">
        <v>1935</v>
      </c>
    </row>
    <row r="3753" spans="1:9" x14ac:dyDescent="0.25">
      <c r="A3753" s="753">
        <v>402914</v>
      </c>
      <c r="B3753" s="130">
        <v>1577</v>
      </c>
      <c r="C3753" s="131" t="s">
        <v>1240</v>
      </c>
      <c r="D3753" s="131">
        <v>16</v>
      </c>
      <c r="E3753" s="131" t="s">
        <v>1240</v>
      </c>
      <c r="F3753" s="767">
        <v>1419.03</v>
      </c>
      <c r="G3753" s="767">
        <v>157.66999999999999</v>
      </c>
      <c r="H3753" s="767">
        <v>1576.7</v>
      </c>
      <c r="I3753" s="768" t="s">
        <v>1935</v>
      </c>
    </row>
    <row r="3754" spans="1:9" x14ac:dyDescent="0.25">
      <c r="A3754" s="753">
        <v>402916</v>
      </c>
      <c r="B3754" s="130">
        <v>0</v>
      </c>
      <c r="E3754" s="131"/>
    </row>
    <row r="3755" spans="1:9" x14ac:dyDescent="0.25">
      <c r="A3755" s="753">
        <v>402918</v>
      </c>
      <c r="B3755" s="130">
        <v>0</v>
      </c>
      <c r="E3755" s="131"/>
    </row>
    <row r="3756" spans="1:9" x14ac:dyDescent="0.25">
      <c r="A3756" s="753">
        <v>402920</v>
      </c>
      <c r="B3756" s="130">
        <v>0</v>
      </c>
      <c r="E3756" s="131"/>
    </row>
    <row r="3757" spans="1:9" x14ac:dyDescent="0.25">
      <c r="A3757" s="753">
        <v>402922</v>
      </c>
      <c r="B3757" s="130">
        <v>0</v>
      </c>
      <c r="E3757" s="131"/>
    </row>
    <row r="3758" spans="1:9" x14ac:dyDescent="0.25">
      <c r="A3758" s="753">
        <v>403004</v>
      </c>
      <c r="B3758" s="130">
        <v>73</v>
      </c>
      <c r="C3758" s="131" t="s">
        <v>1241</v>
      </c>
      <c r="D3758" s="131">
        <v>16</v>
      </c>
      <c r="E3758" s="131" t="s">
        <v>1241</v>
      </c>
      <c r="F3758" s="767">
        <v>920.3</v>
      </c>
      <c r="G3758" s="767">
        <v>73.459999999999994</v>
      </c>
      <c r="H3758" s="767">
        <v>993.76</v>
      </c>
      <c r="I3758" s="768" t="s">
        <v>1936</v>
      </c>
    </row>
    <row r="3759" spans="1:9" x14ac:dyDescent="0.25">
      <c r="A3759" s="753">
        <v>403006</v>
      </c>
      <c r="B3759" s="130">
        <v>994</v>
      </c>
      <c r="C3759" s="131" t="s">
        <v>1241</v>
      </c>
      <c r="D3759" s="131">
        <v>16</v>
      </c>
      <c r="E3759" s="131" t="s">
        <v>1241</v>
      </c>
      <c r="F3759" s="767">
        <v>920.3</v>
      </c>
      <c r="G3759" s="767">
        <v>73.459999999999994</v>
      </c>
      <c r="H3759" s="767">
        <v>993.76</v>
      </c>
      <c r="I3759" s="768" t="s">
        <v>1936</v>
      </c>
    </row>
    <row r="3760" spans="1:9" x14ac:dyDescent="0.25">
      <c r="A3760" s="753">
        <v>403008</v>
      </c>
      <c r="B3760" s="130">
        <v>102</v>
      </c>
      <c r="C3760" s="131" t="s">
        <v>1242</v>
      </c>
      <c r="D3760" s="131">
        <v>16</v>
      </c>
      <c r="E3760" s="131" t="s">
        <v>1242</v>
      </c>
      <c r="F3760" s="767">
        <v>1036.78</v>
      </c>
      <c r="G3760" s="767">
        <v>102.22</v>
      </c>
      <c r="H3760" s="767">
        <v>1139</v>
      </c>
      <c r="I3760" s="768" t="s">
        <v>1937</v>
      </c>
    </row>
    <row r="3761" spans="1:9" x14ac:dyDescent="0.25">
      <c r="A3761" s="753">
        <v>403010</v>
      </c>
      <c r="B3761" s="130">
        <v>1139</v>
      </c>
      <c r="C3761" s="131" t="s">
        <v>1242</v>
      </c>
      <c r="D3761" s="131">
        <v>16</v>
      </c>
      <c r="E3761" s="131" t="s">
        <v>1242</v>
      </c>
      <c r="F3761" s="767">
        <v>1036.78</v>
      </c>
      <c r="G3761" s="767">
        <v>102.22</v>
      </c>
      <c r="H3761" s="767">
        <v>1139</v>
      </c>
      <c r="I3761" s="768" t="s">
        <v>1937</v>
      </c>
    </row>
    <row r="3762" spans="1:9" x14ac:dyDescent="0.25">
      <c r="A3762" s="753">
        <v>403012</v>
      </c>
      <c r="B3762" s="130">
        <v>8</v>
      </c>
      <c r="C3762" s="131" t="s">
        <v>1243</v>
      </c>
      <c r="D3762" s="131">
        <v>16</v>
      </c>
      <c r="E3762" s="131" t="s">
        <v>1243</v>
      </c>
      <c r="F3762" s="767">
        <v>79.239999999999995</v>
      </c>
      <c r="G3762" s="767">
        <v>8.14</v>
      </c>
      <c r="H3762" s="767">
        <v>87.38</v>
      </c>
      <c r="I3762" s="768" t="s">
        <v>1938</v>
      </c>
    </row>
    <row r="3763" spans="1:9" x14ac:dyDescent="0.25">
      <c r="A3763" s="753">
        <v>403014</v>
      </c>
      <c r="B3763" s="130">
        <v>87</v>
      </c>
      <c r="C3763" s="131" t="s">
        <v>1243</v>
      </c>
      <c r="D3763" s="131">
        <v>16</v>
      </c>
      <c r="E3763" s="131" t="s">
        <v>1243</v>
      </c>
      <c r="F3763" s="767">
        <v>79.239999999999995</v>
      </c>
      <c r="G3763" s="767">
        <v>8.14</v>
      </c>
      <c r="H3763" s="767">
        <v>87.38</v>
      </c>
      <c r="I3763" s="768" t="s">
        <v>1938</v>
      </c>
    </row>
    <row r="3764" spans="1:9" x14ac:dyDescent="0.25">
      <c r="A3764" s="753">
        <v>403016</v>
      </c>
      <c r="B3764" s="130">
        <v>0</v>
      </c>
      <c r="E3764" s="131"/>
    </row>
    <row r="3765" spans="1:9" x14ac:dyDescent="0.25">
      <c r="A3765" s="753">
        <v>403018</v>
      </c>
      <c r="B3765" s="130">
        <v>0</v>
      </c>
      <c r="E3765" s="131"/>
    </row>
    <row r="3766" spans="1:9" x14ac:dyDescent="0.25">
      <c r="A3766" s="753">
        <v>403020</v>
      </c>
      <c r="B3766" s="130">
        <v>0</v>
      </c>
      <c r="E3766" s="131"/>
    </row>
    <row r="3767" spans="1:9" x14ac:dyDescent="0.25">
      <c r="A3767" s="753">
        <v>403022</v>
      </c>
      <c r="B3767" s="130">
        <v>0</v>
      </c>
      <c r="E3767" s="131"/>
    </row>
    <row r="3768" spans="1:9" x14ac:dyDescent="0.25">
      <c r="A3768" s="753">
        <v>403104</v>
      </c>
      <c r="B3768" s="130">
        <v>2268</v>
      </c>
      <c r="C3768" s="131" t="s">
        <v>1244</v>
      </c>
      <c r="D3768" s="131">
        <v>16</v>
      </c>
      <c r="E3768" s="131" t="s">
        <v>1244</v>
      </c>
      <c r="F3768" s="767">
        <v>8971.17</v>
      </c>
      <c r="G3768" s="767">
        <v>2267.9299999999998</v>
      </c>
      <c r="H3768" s="767">
        <v>11239.1</v>
      </c>
      <c r="I3768" s="768" t="s">
        <v>1939</v>
      </c>
    </row>
    <row r="3769" spans="1:9" x14ac:dyDescent="0.25">
      <c r="A3769" s="753">
        <v>403106</v>
      </c>
      <c r="B3769" s="130">
        <v>11239</v>
      </c>
      <c r="C3769" s="131" t="s">
        <v>1244</v>
      </c>
      <c r="D3769" s="131">
        <v>16</v>
      </c>
      <c r="E3769" s="131" t="s">
        <v>1244</v>
      </c>
      <c r="F3769" s="767">
        <v>8971.17</v>
      </c>
      <c r="G3769" s="767">
        <v>2267.9299999999998</v>
      </c>
      <c r="H3769" s="767">
        <v>11239.1</v>
      </c>
      <c r="I3769" s="768" t="s">
        <v>1939</v>
      </c>
    </row>
    <row r="3770" spans="1:9" x14ac:dyDescent="0.25">
      <c r="A3770" s="753">
        <v>403108</v>
      </c>
      <c r="B3770" s="130">
        <v>224</v>
      </c>
      <c r="C3770" s="131" t="s">
        <v>1245</v>
      </c>
      <c r="D3770" s="131">
        <v>16</v>
      </c>
      <c r="E3770" s="131" t="s">
        <v>1245</v>
      </c>
      <c r="F3770" s="767">
        <v>470.74</v>
      </c>
      <c r="G3770" s="767">
        <v>223.62</v>
      </c>
      <c r="H3770" s="767">
        <v>694.36</v>
      </c>
      <c r="I3770" s="768" t="s">
        <v>1940</v>
      </c>
    </row>
    <row r="3771" spans="1:9" x14ac:dyDescent="0.25">
      <c r="A3771" s="753">
        <v>403110</v>
      </c>
      <c r="B3771" s="130">
        <v>694</v>
      </c>
      <c r="C3771" s="131" t="s">
        <v>1245</v>
      </c>
      <c r="D3771" s="131">
        <v>16</v>
      </c>
      <c r="E3771" s="131" t="s">
        <v>1245</v>
      </c>
      <c r="F3771" s="767">
        <v>470.74</v>
      </c>
      <c r="G3771" s="767">
        <v>223.62</v>
      </c>
      <c r="H3771" s="767">
        <v>694.36</v>
      </c>
      <c r="I3771" s="768" t="s">
        <v>1940</v>
      </c>
    </row>
    <row r="3772" spans="1:9" x14ac:dyDescent="0.25">
      <c r="A3772" s="753">
        <v>403112</v>
      </c>
      <c r="B3772" s="130">
        <v>28</v>
      </c>
      <c r="C3772" s="131" t="s">
        <v>1246</v>
      </c>
      <c r="D3772" s="131">
        <v>16</v>
      </c>
      <c r="E3772" s="131" t="s">
        <v>1246</v>
      </c>
      <c r="F3772" s="767">
        <v>58.79</v>
      </c>
      <c r="G3772" s="767">
        <v>27.95</v>
      </c>
      <c r="H3772" s="767">
        <v>86.74</v>
      </c>
      <c r="I3772" s="768" t="s">
        <v>1941</v>
      </c>
    </row>
    <row r="3773" spans="1:9" x14ac:dyDescent="0.25">
      <c r="A3773" s="753">
        <v>403114</v>
      </c>
      <c r="B3773" s="130">
        <v>87</v>
      </c>
      <c r="C3773" s="131" t="s">
        <v>1246</v>
      </c>
      <c r="D3773" s="131">
        <v>16</v>
      </c>
      <c r="E3773" s="131" t="s">
        <v>1246</v>
      </c>
      <c r="F3773" s="767">
        <v>58.79</v>
      </c>
      <c r="G3773" s="767">
        <v>27.95</v>
      </c>
      <c r="H3773" s="767">
        <v>86.74</v>
      </c>
      <c r="I3773" s="768" t="s">
        <v>1941</v>
      </c>
    </row>
    <row r="3774" spans="1:9" x14ac:dyDescent="0.25">
      <c r="A3774" s="753">
        <v>403116</v>
      </c>
      <c r="B3774" s="130">
        <v>0</v>
      </c>
      <c r="E3774" s="131"/>
    </row>
    <row r="3775" spans="1:9" x14ac:dyDescent="0.25">
      <c r="A3775" s="753">
        <v>403118</v>
      </c>
      <c r="B3775" s="130">
        <v>0</v>
      </c>
      <c r="E3775" s="131"/>
    </row>
    <row r="3776" spans="1:9" x14ac:dyDescent="0.25">
      <c r="A3776" s="753">
        <v>403120</v>
      </c>
      <c r="B3776" s="130">
        <v>0</v>
      </c>
      <c r="E3776" s="131"/>
    </row>
    <row r="3777" spans="1:9" x14ac:dyDescent="0.25">
      <c r="A3777" s="753">
        <v>403122</v>
      </c>
      <c r="B3777" s="130">
        <v>0</v>
      </c>
      <c r="E3777" s="131"/>
    </row>
    <row r="3778" spans="1:9" x14ac:dyDescent="0.25">
      <c r="A3778" s="753">
        <v>403204</v>
      </c>
      <c r="B3778" s="130">
        <v>262</v>
      </c>
      <c r="C3778" s="131" t="s">
        <v>1247</v>
      </c>
      <c r="D3778" s="131">
        <v>16</v>
      </c>
      <c r="E3778" s="131" t="s">
        <v>1247</v>
      </c>
      <c r="F3778" s="767">
        <v>3439.7</v>
      </c>
      <c r="G3778" s="767">
        <v>261.68</v>
      </c>
      <c r="H3778" s="767">
        <v>3701.38</v>
      </c>
      <c r="I3778" s="768" t="s">
        <v>1942</v>
      </c>
    </row>
    <row r="3779" spans="1:9" x14ac:dyDescent="0.25">
      <c r="A3779" s="753">
        <v>403206</v>
      </c>
      <c r="B3779" s="130">
        <v>3701</v>
      </c>
      <c r="C3779" s="131" t="s">
        <v>1247</v>
      </c>
      <c r="D3779" s="131">
        <v>16</v>
      </c>
      <c r="E3779" s="131" t="s">
        <v>1247</v>
      </c>
      <c r="F3779" s="767">
        <v>3439.7</v>
      </c>
      <c r="G3779" s="767">
        <v>261.68</v>
      </c>
      <c r="H3779" s="767">
        <v>3701.38</v>
      </c>
      <c r="I3779" s="768" t="s">
        <v>1942</v>
      </c>
    </row>
    <row r="3780" spans="1:9" x14ac:dyDescent="0.25">
      <c r="A3780" s="753">
        <v>403208</v>
      </c>
      <c r="B3780" s="130">
        <v>233</v>
      </c>
      <c r="C3780" s="131" t="s">
        <v>1248</v>
      </c>
      <c r="D3780" s="131">
        <v>16</v>
      </c>
      <c r="E3780" s="131" t="s">
        <v>1248</v>
      </c>
      <c r="F3780" s="767">
        <v>2266.36</v>
      </c>
      <c r="G3780" s="767">
        <v>232.6</v>
      </c>
      <c r="H3780" s="767">
        <v>2498.96</v>
      </c>
      <c r="I3780" s="768" t="s">
        <v>1943</v>
      </c>
    </row>
    <row r="3781" spans="1:9" x14ac:dyDescent="0.25">
      <c r="A3781" s="753">
        <v>403210</v>
      </c>
      <c r="B3781" s="130">
        <v>2499</v>
      </c>
      <c r="C3781" s="131" t="s">
        <v>1248</v>
      </c>
      <c r="D3781" s="131">
        <v>16</v>
      </c>
      <c r="E3781" s="131" t="s">
        <v>1248</v>
      </c>
      <c r="F3781" s="767">
        <v>2266.36</v>
      </c>
      <c r="G3781" s="767">
        <v>232.6</v>
      </c>
      <c r="H3781" s="767">
        <v>2498.96</v>
      </c>
      <c r="I3781" s="768" t="s">
        <v>1943</v>
      </c>
    </row>
    <row r="3782" spans="1:9" x14ac:dyDescent="0.25">
      <c r="A3782" s="753">
        <v>403212</v>
      </c>
      <c r="B3782" s="130">
        <v>29</v>
      </c>
      <c r="C3782" s="131" t="s">
        <v>1249</v>
      </c>
      <c r="D3782" s="131">
        <v>16</v>
      </c>
      <c r="E3782" s="131" t="s">
        <v>1249</v>
      </c>
      <c r="F3782" s="767">
        <v>283.25</v>
      </c>
      <c r="G3782" s="767">
        <v>29.07</v>
      </c>
      <c r="H3782" s="767">
        <v>312.32</v>
      </c>
      <c r="I3782" s="768" t="s">
        <v>1944</v>
      </c>
    </row>
    <row r="3783" spans="1:9" x14ac:dyDescent="0.25">
      <c r="A3783" s="753">
        <v>403214</v>
      </c>
      <c r="B3783" s="130">
        <v>312</v>
      </c>
      <c r="C3783" s="131" t="s">
        <v>1249</v>
      </c>
      <c r="D3783" s="131">
        <v>16</v>
      </c>
      <c r="E3783" s="131" t="s">
        <v>1249</v>
      </c>
      <c r="F3783" s="767">
        <v>283.25</v>
      </c>
      <c r="G3783" s="767">
        <v>29.07</v>
      </c>
      <c r="H3783" s="767">
        <v>312.32</v>
      </c>
      <c r="I3783" s="768" t="s">
        <v>1944</v>
      </c>
    </row>
    <row r="3784" spans="1:9" x14ac:dyDescent="0.25">
      <c r="A3784" s="753">
        <v>403216</v>
      </c>
      <c r="B3784" s="130">
        <v>0</v>
      </c>
      <c r="E3784" s="131"/>
    </row>
    <row r="3785" spans="1:9" x14ac:dyDescent="0.25">
      <c r="A3785" s="753">
        <v>403218</v>
      </c>
      <c r="B3785" s="130">
        <v>0</v>
      </c>
      <c r="E3785" s="131"/>
    </row>
    <row r="3786" spans="1:9" x14ac:dyDescent="0.25">
      <c r="A3786" s="753">
        <v>403220</v>
      </c>
      <c r="B3786" s="130">
        <v>0</v>
      </c>
      <c r="E3786" s="131"/>
    </row>
    <row r="3787" spans="1:9" x14ac:dyDescent="0.25">
      <c r="A3787" s="753">
        <v>403222</v>
      </c>
      <c r="B3787" s="130">
        <v>0</v>
      </c>
      <c r="E3787" s="131"/>
    </row>
    <row r="3788" spans="1:9" x14ac:dyDescent="0.25">
      <c r="A3788" s="753">
        <v>403304</v>
      </c>
      <c r="B3788" s="130">
        <v>281</v>
      </c>
      <c r="C3788" s="131" t="s">
        <v>1250</v>
      </c>
      <c r="D3788" s="131">
        <v>16</v>
      </c>
      <c r="E3788" s="131" t="s">
        <v>1250</v>
      </c>
      <c r="F3788" s="767">
        <v>771.13</v>
      </c>
      <c r="G3788" s="767">
        <v>280.58</v>
      </c>
      <c r="H3788" s="767">
        <v>1051.71</v>
      </c>
      <c r="I3788" s="768" t="s">
        <v>1945</v>
      </c>
    </row>
    <row r="3789" spans="1:9" x14ac:dyDescent="0.25">
      <c r="A3789" s="753">
        <v>403306</v>
      </c>
      <c r="B3789" s="130">
        <v>1052</v>
      </c>
      <c r="C3789" s="131" t="s">
        <v>1250</v>
      </c>
      <c r="D3789" s="131">
        <v>16</v>
      </c>
      <c r="E3789" s="131" t="s">
        <v>1250</v>
      </c>
      <c r="F3789" s="767">
        <v>771.13</v>
      </c>
      <c r="G3789" s="767">
        <v>280.58</v>
      </c>
      <c r="H3789" s="767">
        <v>1051.71</v>
      </c>
      <c r="I3789" s="768" t="s">
        <v>1945</v>
      </c>
    </row>
    <row r="3790" spans="1:9" x14ac:dyDescent="0.25">
      <c r="A3790" s="753">
        <v>403308</v>
      </c>
      <c r="B3790" s="130">
        <v>1279</v>
      </c>
      <c r="C3790" s="131" t="s">
        <v>1251</v>
      </c>
      <c r="D3790" s="131">
        <v>16</v>
      </c>
      <c r="E3790" s="131" t="s">
        <v>1251</v>
      </c>
      <c r="F3790" s="767">
        <v>3883.14</v>
      </c>
      <c r="G3790" s="767">
        <v>1278.72</v>
      </c>
      <c r="H3790" s="767">
        <v>5161.8599999999997</v>
      </c>
      <c r="I3790" s="768" t="s">
        <v>1946</v>
      </c>
    </row>
    <row r="3791" spans="1:9" x14ac:dyDescent="0.25">
      <c r="A3791" s="753">
        <v>403310</v>
      </c>
      <c r="B3791" s="130">
        <v>5162</v>
      </c>
      <c r="C3791" s="131" t="s">
        <v>1251</v>
      </c>
      <c r="D3791" s="131">
        <v>16</v>
      </c>
      <c r="E3791" s="131" t="s">
        <v>1251</v>
      </c>
      <c r="F3791" s="767">
        <v>3883.14</v>
      </c>
      <c r="G3791" s="767">
        <v>1278.72</v>
      </c>
      <c r="H3791" s="767">
        <v>5161.8599999999997</v>
      </c>
      <c r="I3791" s="768" t="s">
        <v>1946</v>
      </c>
    </row>
    <row r="3792" spans="1:9" x14ac:dyDescent="0.25">
      <c r="A3792" s="753">
        <v>403312</v>
      </c>
      <c r="B3792" s="130">
        <v>5</v>
      </c>
      <c r="C3792" s="131" t="s">
        <v>1252</v>
      </c>
      <c r="D3792" s="131">
        <v>16</v>
      </c>
      <c r="E3792" s="131" t="s">
        <v>1252</v>
      </c>
      <c r="F3792" s="767">
        <v>49</v>
      </c>
      <c r="G3792" s="767">
        <v>4.58</v>
      </c>
      <c r="H3792" s="767">
        <v>53.58</v>
      </c>
      <c r="I3792" s="768" t="s">
        <v>1947</v>
      </c>
    </row>
    <row r="3793" spans="1:9" x14ac:dyDescent="0.25">
      <c r="A3793" s="753">
        <v>403314</v>
      </c>
      <c r="B3793" s="130">
        <v>54</v>
      </c>
      <c r="C3793" s="131" t="s">
        <v>1252</v>
      </c>
      <c r="D3793" s="131">
        <v>16</v>
      </c>
      <c r="E3793" s="131" t="s">
        <v>1252</v>
      </c>
      <c r="F3793" s="767">
        <v>49</v>
      </c>
      <c r="G3793" s="767">
        <v>4.58</v>
      </c>
      <c r="H3793" s="767">
        <v>53.58</v>
      </c>
      <c r="I3793" s="768" t="s">
        <v>1947</v>
      </c>
    </row>
    <row r="3794" spans="1:9" x14ac:dyDescent="0.25">
      <c r="A3794" s="753">
        <v>403316</v>
      </c>
      <c r="B3794" s="130">
        <v>0</v>
      </c>
      <c r="E3794" s="131"/>
    </row>
    <row r="3795" spans="1:9" x14ac:dyDescent="0.25">
      <c r="A3795" s="753">
        <v>403318</v>
      </c>
      <c r="B3795" s="130">
        <v>0</v>
      </c>
      <c r="E3795" s="131"/>
    </row>
    <row r="3796" spans="1:9" x14ac:dyDescent="0.25">
      <c r="A3796" s="753">
        <v>403320</v>
      </c>
      <c r="B3796" s="130">
        <v>0</v>
      </c>
      <c r="E3796" s="131"/>
    </row>
    <row r="3797" spans="1:9" x14ac:dyDescent="0.25">
      <c r="A3797" s="753">
        <v>403322</v>
      </c>
      <c r="B3797" s="130">
        <v>0</v>
      </c>
      <c r="E3797" s="131"/>
    </row>
    <row r="3798" spans="1:9" x14ac:dyDescent="0.25">
      <c r="A3798" s="753">
        <v>403404</v>
      </c>
      <c r="B3798" s="130">
        <v>0</v>
      </c>
      <c r="E3798" s="131"/>
    </row>
    <row r="3799" spans="1:9" x14ac:dyDescent="0.25">
      <c r="A3799" s="753">
        <v>403406</v>
      </c>
      <c r="B3799" s="130">
        <v>0</v>
      </c>
      <c r="E3799" s="131"/>
    </row>
    <row r="3800" spans="1:9" x14ac:dyDescent="0.25">
      <c r="A3800" s="753">
        <v>403408</v>
      </c>
      <c r="B3800" s="130">
        <v>0</v>
      </c>
      <c r="E3800" s="131"/>
    </row>
    <row r="3801" spans="1:9" x14ac:dyDescent="0.25">
      <c r="A3801" s="753">
        <v>403410</v>
      </c>
      <c r="B3801" s="130">
        <v>0</v>
      </c>
      <c r="E3801" s="131"/>
    </row>
    <row r="3802" spans="1:9" x14ac:dyDescent="0.25">
      <c r="A3802" s="753">
        <v>403412</v>
      </c>
      <c r="B3802" s="130">
        <v>0</v>
      </c>
      <c r="E3802" s="131"/>
    </row>
    <row r="3803" spans="1:9" x14ac:dyDescent="0.25">
      <c r="A3803" s="753">
        <v>403414</v>
      </c>
      <c r="B3803" s="130">
        <v>0</v>
      </c>
      <c r="E3803" s="131"/>
    </row>
    <row r="3804" spans="1:9" x14ac:dyDescent="0.25">
      <c r="A3804" s="753">
        <v>403416</v>
      </c>
      <c r="B3804" s="130">
        <v>0</v>
      </c>
      <c r="E3804" s="131"/>
    </row>
    <row r="3805" spans="1:9" x14ac:dyDescent="0.25">
      <c r="A3805" s="753">
        <v>403418</v>
      </c>
      <c r="B3805" s="130">
        <v>0</v>
      </c>
      <c r="E3805" s="131"/>
    </row>
    <row r="3806" spans="1:9" x14ac:dyDescent="0.25">
      <c r="A3806" s="753">
        <v>403420</v>
      </c>
      <c r="B3806" s="130">
        <v>0</v>
      </c>
      <c r="E3806" s="131"/>
    </row>
    <row r="3807" spans="1:9" x14ac:dyDescent="0.25">
      <c r="A3807" s="753">
        <v>403422</v>
      </c>
      <c r="B3807" s="130">
        <v>0</v>
      </c>
      <c r="E3807" s="131"/>
    </row>
    <row r="3808" spans="1:9" x14ac:dyDescent="0.25">
      <c r="A3808" s="753">
        <v>403504</v>
      </c>
      <c r="B3808" s="130">
        <v>1974</v>
      </c>
      <c r="C3808" s="131" t="s">
        <v>1253</v>
      </c>
      <c r="D3808" s="131">
        <v>16</v>
      </c>
      <c r="E3808" s="131" t="s">
        <v>1253</v>
      </c>
      <c r="F3808" s="767">
        <v>12294.53</v>
      </c>
      <c r="G3808" s="767">
        <v>1974.28</v>
      </c>
      <c r="H3808" s="767">
        <v>14268.81</v>
      </c>
      <c r="I3808" s="768" t="s">
        <v>1948</v>
      </c>
    </row>
    <row r="3809" spans="1:9" x14ac:dyDescent="0.25">
      <c r="A3809" s="753">
        <v>403506</v>
      </c>
      <c r="B3809" s="130">
        <v>14269</v>
      </c>
      <c r="C3809" s="131" t="s">
        <v>1253</v>
      </c>
      <c r="D3809" s="131">
        <v>16</v>
      </c>
      <c r="E3809" s="131" t="s">
        <v>1253</v>
      </c>
      <c r="F3809" s="767">
        <v>12294.53</v>
      </c>
      <c r="G3809" s="767">
        <v>1974.28</v>
      </c>
      <c r="H3809" s="767">
        <v>14268.81</v>
      </c>
      <c r="I3809" s="768" t="s">
        <v>1948</v>
      </c>
    </row>
    <row r="3810" spans="1:9" x14ac:dyDescent="0.25">
      <c r="A3810" s="753">
        <v>403508</v>
      </c>
      <c r="B3810" s="130">
        <v>1755</v>
      </c>
      <c r="C3810" s="131" t="s">
        <v>1254</v>
      </c>
      <c r="D3810" s="131">
        <v>16</v>
      </c>
      <c r="E3810" s="131" t="s">
        <v>1254</v>
      </c>
      <c r="F3810" s="767">
        <v>10928.41</v>
      </c>
      <c r="G3810" s="767">
        <v>1754.92</v>
      </c>
      <c r="H3810" s="767">
        <v>12683.33</v>
      </c>
      <c r="I3810" s="768" t="s">
        <v>1949</v>
      </c>
    </row>
    <row r="3811" spans="1:9" x14ac:dyDescent="0.25">
      <c r="A3811" s="753">
        <v>403510</v>
      </c>
      <c r="B3811" s="130">
        <v>12683</v>
      </c>
      <c r="C3811" s="131" t="s">
        <v>1254</v>
      </c>
      <c r="D3811" s="131">
        <v>16</v>
      </c>
      <c r="E3811" s="131" t="s">
        <v>1254</v>
      </c>
      <c r="F3811" s="767">
        <v>10928.41</v>
      </c>
      <c r="G3811" s="767">
        <v>1754.92</v>
      </c>
      <c r="H3811" s="767">
        <v>12683.33</v>
      </c>
      <c r="I3811" s="768" t="s">
        <v>1949</v>
      </c>
    </row>
    <row r="3812" spans="1:9" x14ac:dyDescent="0.25">
      <c r="A3812" s="753">
        <v>403512</v>
      </c>
      <c r="B3812" s="130">
        <v>219</v>
      </c>
      <c r="C3812" s="131" t="s">
        <v>1255</v>
      </c>
      <c r="D3812" s="131">
        <v>16</v>
      </c>
      <c r="E3812" s="131" t="s">
        <v>1255</v>
      </c>
      <c r="F3812" s="767">
        <v>1366.03</v>
      </c>
      <c r="G3812" s="767">
        <v>219.36</v>
      </c>
      <c r="H3812" s="767">
        <v>1585.39</v>
      </c>
      <c r="I3812" s="768" t="s">
        <v>1950</v>
      </c>
    </row>
    <row r="3813" spans="1:9" x14ac:dyDescent="0.25">
      <c r="A3813" s="753">
        <v>403514</v>
      </c>
      <c r="B3813" s="130">
        <v>1585</v>
      </c>
      <c r="C3813" s="131" t="s">
        <v>1255</v>
      </c>
      <c r="D3813" s="131">
        <v>16</v>
      </c>
      <c r="E3813" s="131" t="s">
        <v>1255</v>
      </c>
      <c r="F3813" s="767">
        <v>1366.03</v>
      </c>
      <c r="G3813" s="767">
        <v>219.36</v>
      </c>
      <c r="H3813" s="767">
        <v>1585.39</v>
      </c>
      <c r="I3813" s="768" t="s">
        <v>1950</v>
      </c>
    </row>
    <row r="3814" spans="1:9" x14ac:dyDescent="0.25">
      <c r="A3814" s="753">
        <v>403516</v>
      </c>
      <c r="B3814" s="130">
        <v>0</v>
      </c>
      <c r="E3814" s="131"/>
    </row>
    <row r="3815" spans="1:9" x14ac:dyDescent="0.25">
      <c r="A3815" s="753">
        <v>403518</v>
      </c>
      <c r="B3815" s="130">
        <v>0</v>
      </c>
      <c r="E3815" s="131"/>
    </row>
    <row r="3816" spans="1:9" x14ac:dyDescent="0.25">
      <c r="A3816" s="753">
        <v>403520</v>
      </c>
      <c r="B3816" s="130">
        <v>0</v>
      </c>
      <c r="E3816" s="131"/>
    </row>
    <row r="3817" spans="1:9" x14ac:dyDescent="0.25">
      <c r="A3817" s="753">
        <v>403522</v>
      </c>
      <c r="B3817" s="130">
        <v>0</v>
      </c>
      <c r="E3817" s="131"/>
    </row>
    <row r="3818" spans="1:9" x14ac:dyDescent="0.25">
      <c r="A3818" s="753">
        <v>403604</v>
      </c>
      <c r="B3818" s="130">
        <v>3713</v>
      </c>
      <c r="C3818" s="131" t="s">
        <v>1256</v>
      </c>
      <c r="D3818" s="131">
        <v>16</v>
      </c>
      <c r="E3818" s="131" t="s">
        <v>1256</v>
      </c>
      <c r="F3818" s="767">
        <v>51241.71</v>
      </c>
      <c r="G3818" s="767">
        <v>6766.17</v>
      </c>
      <c r="H3818" s="767">
        <v>58007.88</v>
      </c>
      <c r="I3818" s="768" t="s">
        <v>1951</v>
      </c>
    </row>
    <row r="3819" spans="1:9" x14ac:dyDescent="0.25">
      <c r="A3819" s="753"/>
      <c r="C3819" s="131" t="s">
        <v>1256</v>
      </c>
      <c r="D3819" s="131">
        <v>16</v>
      </c>
      <c r="E3819" s="131" t="s">
        <v>1952</v>
      </c>
      <c r="F3819" s="767">
        <v>-28957.360000000001</v>
      </c>
      <c r="G3819" s="767">
        <v>-3053.5</v>
      </c>
      <c r="H3819" s="767">
        <v>-32010.86</v>
      </c>
      <c r="I3819" s="768" t="s">
        <v>1953</v>
      </c>
    </row>
    <row r="3820" spans="1:9" x14ac:dyDescent="0.25">
      <c r="A3820" s="753"/>
      <c r="C3820" s="131" t="s">
        <v>1256</v>
      </c>
      <c r="D3820" s="131">
        <v>16</v>
      </c>
      <c r="E3820" s="131" t="s">
        <v>1954</v>
      </c>
      <c r="F3820" s="767">
        <v>-86.74</v>
      </c>
      <c r="G3820" s="767">
        <v>0</v>
      </c>
      <c r="H3820" s="767">
        <v>-86.74</v>
      </c>
      <c r="I3820" s="768" t="s">
        <v>1955</v>
      </c>
    </row>
    <row r="3821" spans="1:9" x14ac:dyDescent="0.25">
      <c r="A3821" s="753">
        <v>403606</v>
      </c>
      <c r="B3821" s="130">
        <v>25910</v>
      </c>
      <c r="C3821" s="131" t="s">
        <v>1256</v>
      </c>
      <c r="D3821" s="131">
        <v>16</v>
      </c>
      <c r="E3821" s="131" t="s">
        <v>1256</v>
      </c>
      <c r="F3821" s="767">
        <v>51241.71</v>
      </c>
      <c r="G3821" s="767">
        <v>6766.17</v>
      </c>
      <c r="H3821" s="767">
        <v>58007.88</v>
      </c>
      <c r="I3821" s="768" t="s">
        <v>1951</v>
      </c>
    </row>
    <row r="3822" spans="1:9" x14ac:dyDescent="0.25">
      <c r="A3822" s="753"/>
      <c r="C3822" s="131" t="s">
        <v>1256</v>
      </c>
      <c r="D3822" s="131">
        <v>16</v>
      </c>
      <c r="E3822" s="131" t="s">
        <v>1952</v>
      </c>
      <c r="F3822" s="767">
        <v>-28957.360000000001</v>
      </c>
      <c r="G3822" s="767">
        <v>-3053.5</v>
      </c>
      <c r="H3822" s="767">
        <v>-32010.86</v>
      </c>
      <c r="I3822" s="768" t="s">
        <v>1953</v>
      </c>
    </row>
    <row r="3823" spans="1:9" x14ac:dyDescent="0.25">
      <c r="A3823" s="753"/>
      <c r="C3823" s="131" t="s">
        <v>1256</v>
      </c>
      <c r="D3823" s="131">
        <v>16</v>
      </c>
      <c r="E3823" s="131" t="s">
        <v>1954</v>
      </c>
      <c r="F3823" s="767">
        <v>-86.74</v>
      </c>
      <c r="G3823" s="767">
        <v>0</v>
      </c>
      <c r="H3823" s="767">
        <v>-86.74</v>
      </c>
      <c r="I3823" s="768" t="s">
        <v>1955</v>
      </c>
    </row>
    <row r="3824" spans="1:9" x14ac:dyDescent="0.25">
      <c r="A3824" s="753">
        <v>403608</v>
      </c>
      <c r="B3824" s="130">
        <v>3713</v>
      </c>
      <c r="C3824" s="131" t="s">
        <v>1257</v>
      </c>
      <c r="D3824" s="131">
        <v>16</v>
      </c>
      <c r="E3824" s="131" t="s">
        <v>1257</v>
      </c>
      <c r="F3824" s="767">
        <v>57281.57</v>
      </c>
      <c r="G3824" s="767">
        <v>6766.14</v>
      </c>
      <c r="H3824" s="767">
        <v>64047.71</v>
      </c>
      <c r="I3824" s="768" t="s">
        <v>1956</v>
      </c>
    </row>
    <row r="3825" spans="1:9" x14ac:dyDescent="0.25">
      <c r="A3825" s="753"/>
      <c r="C3825" s="131" t="s">
        <v>1257</v>
      </c>
      <c r="D3825" s="131">
        <v>16</v>
      </c>
      <c r="E3825" s="131" t="s">
        <v>1957</v>
      </c>
      <c r="F3825" s="767">
        <v>-28957.360000000001</v>
      </c>
      <c r="G3825" s="767">
        <v>-3053.5</v>
      </c>
      <c r="H3825" s="767">
        <v>-32010.86</v>
      </c>
      <c r="I3825" s="768" t="s">
        <v>1958</v>
      </c>
    </row>
    <row r="3826" spans="1:9" x14ac:dyDescent="0.25">
      <c r="A3826" s="753"/>
      <c r="C3826" s="131" t="s">
        <v>1257</v>
      </c>
      <c r="D3826" s="131">
        <v>16</v>
      </c>
      <c r="E3826" s="131" t="s">
        <v>1959</v>
      </c>
      <c r="F3826" s="767">
        <v>-86.74</v>
      </c>
      <c r="G3826" s="767">
        <v>0</v>
      </c>
      <c r="H3826" s="767">
        <v>-86.74</v>
      </c>
      <c r="I3826" s="768" t="s">
        <v>1960</v>
      </c>
    </row>
    <row r="3827" spans="1:9" x14ac:dyDescent="0.25">
      <c r="A3827" s="753">
        <v>403610</v>
      </c>
      <c r="B3827" s="130">
        <v>31950</v>
      </c>
      <c r="C3827" s="131" t="s">
        <v>1257</v>
      </c>
      <c r="D3827" s="131">
        <v>16</v>
      </c>
      <c r="E3827" s="131" t="s">
        <v>1257</v>
      </c>
      <c r="F3827" s="767">
        <v>57281.57</v>
      </c>
      <c r="G3827" s="767">
        <v>6766.14</v>
      </c>
      <c r="H3827" s="767">
        <v>64047.71</v>
      </c>
      <c r="I3827" s="768" t="s">
        <v>1956</v>
      </c>
    </row>
    <row r="3828" spans="1:9" x14ac:dyDescent="0.25">
      <c r="A3828" s="753"/>
      <c r="C3828" s="131" t="s">
        <v>1257</v>
      </c>
      <c r="D3828" s="131">
        <v>16</v>
      </c>
      <c r="E3828" s="131" t="s">
        <v>1957</v>
      </c>
      <c r="F3828" s="767">
        <v>-28957.360000000001</v>
      </c>
      <c r="G3828" s="767">
        <v>-3053.5</v>
      </c>
      <c r="H3828" s="767">
        <v>-32010.86</v>
      </c>
      <c r="I3828" s="768" t="s">
        <v>1958</v>
      </c>
    </row>
    <row r="3829" spans="1:9" x14ac:dyDescent="0.25">
      <c r="A3829" s="753"/>
      <c r="C3829" s="131" t="s">
        <v>1257</v>
      </c>
      <c r="D3829" s="131">
        <v>16</v>
      </c>
      <c r="E3829" s="131" t="s">
        <v>1959</v>
      </c>
      <c r="F3829" s="767">
        <v>-86.74</v>
      </c>
      <c r="G3829" s="767">
        <v>0</v>
      </c>
      <c r="H3829" s="767">
        <v>-86.74</v>
      </c>
      <c r="I3829" s="768" t="s">
        <v>1960</v>
      </c>
    </row>
    <row r="3830" spans="1:9" x14ac:dyDescent="0.25">
      <c r="A3830" s="753">
        <v>403612</v>
      </c>
      <c r="B3830" s="130">
        <v>0</v>
      </c>
      <c r="E3830" s="131"/>
    </row>
    <row r="3831" spans="1:9" x14ac:dyDescent="0.25">
      <c r="A3831" s="753">
        <v>403614</v>
      </c>
      <c r="B3831" s="130">
        <v>0</v>
      </c>
      <c r="E3831" s="131"/>
    </row>
    <row r="3832" spans="1:9" x14ac:dyDescent="0.25">
      <c r="A3832" s="753">
        <v>403616</v>
      </c>
      <c r="B3832" s="130">
        <v>0</v>
      </c>
      <c r="E3832" s="131"/>
    </row>
    <row r="3833" spans="1:9" x14ac:dyDescent="0.25">
      <c r="A3833" s="753">
        <v>403618</v>
      </c>
      <c r="B3833" s="130">
        <v>0</v>
      </c>
      <c r="E3833" s="131"/>
    </row>
    <row r="3834" spans="1:9" x14ac:dyDescent="0.25">
      <c r="A3834" s="753">
        <v>403620</v>
      </c>
      <c r="B3834" s="130">
        <v>0</v>
      </c>
      <c r="E3834" s="131"/>
    </row>
    <row r="3835" spans="1:9" x14ac:dyDescent="0.25">
      <c r="A3835" s="753">
        <v>403622</v>
      </c>
      <c r="B3835" s="130">
        <v>0</v>
      </c>
      <c r="E3835" s="131"/>
    </row>
    <row r="3836" spans="1:9" x14ac:dyDescent="0.25">
      <c r="A3836" s="753">
        <v>403704</v>
      </c>
      <c r="B3836" s="130">
        <v>35454</v>
      </c>
      <c r="E3836" s="131"/>
    </row>
    <row r="3837" spans="1:9" x14ac:dyDescent="0.25">
      <c r="A3837" s="753">
        <v>403706</v>
      </c>
      <c r="B3837" s="130">
        <v>265028</v>
      </c>
      <c r="E3837" s="131"/>
    </row>
    <row r="3838" spans="1:9" x14ac:dyDescent="0.25">
      <c r="A3838" s="753">
        <v>403708</v>
      </c>
      <c r="B3838" s="130">
        <v>14884</v>
      </c>
      <c r="E3838" s="131"/>
    </row>
    <row r="3839" spans="1:9" x14ac:dyDescent="0.25">
      <c r="A3839" s="753">
        <v>403710</v>
      </c>
      <c r="B3839" s="130">
        <v>127706</v>
      </c>
      <c r="E3839" s="131"/>
    </row>
    <row r="3840" spans="1:9" x14ac:dyDescent="0.25">
      <c r="A3840" s="753">
        <v>403712</v>
      </c>
      <c r="B3840" s="130">
        <v>1107</v>
      </c>
      <c r="E3840" s="131"/>
    </row>
    <row r="3841" spans="1:9" x14ac:dyDescent="0.25">
      <c r="A3841" s="753">
        <v>403714</v>
      </c>
      <c r="B3841" s="130">
        <v>9901</v>
      </c>
      <c r="E3841" s="131"/>
    </row>
    <row r="3842" spans="1:9" x14ac:dyDescent="0.25">
      <c r="A3842" s="753">
        <v>403716</v>
      </c>
      <c r="B3842" s="130">
        <v>0</v>
      </c>
      <c r="E3842" s="131"/>
    </row>
    <row r="3843" spans="1:9" x14ac:dyDescent="0.25">
      <c r="A3843" s="753">
        <v>403718</v>
      </c>
      <c r="B3843" s="130">
        <v>0</v>
      </c>
      <c r="E3843" s="131"/>
    </row>
    <row r="3844" spans="1:9" x14ac:dyDescent="0.25">
      <c r="A3844" s="753">
        <v>403720</v>
      </c>
      <c r="B3844" s="130">
        <v>0</v>
      </c>
      <c r="E3844" s="131"/>
    </row>
    <row r="3845" spans="1:9" x14ac:dyDescent="0.25">
      <c r="A3845" s="753">
        <v>403722</v>
      </c>
      <c r="B3845" s="130">
        <v>0</v>
      </c>
      <c r="E3845" s="131"/>
    </row>
    <row r="3846" spans="1:9" x14ac:dyDescent="0.25">
      <c r="A3846" s="753">
        <v>403804</v>
      </c>
      <c r="B3846" s="130">
        <v>11250</v>
      </c>
      <c r="C3846" s="131" t="s">
        <v>1258</v>
      </c>
      <c r="D3846" s="131">
        <v>16</v>
      </c>
      <c r="E3846" s="131" t="s">
        <v>1258</v>
      </c>
      <c r="F3846" s="767">
        <v>101250</v>
      </c>
      <c r="G3846" s="767">
        <v>11250</v>
      </c>
      <c r="H3846" s="767">
        <v>112500</v>
      </c>
      <c r="I3846" s="768" t="s">
        <v>1961</v>
      </c>
    </row>
    <row r="3847" spans="1:9" x14ac:dyDescent="0.25">
      <c r="A3847" s="753">
        <v>403806</v>
      </c>
      <c r="B3847" s="130">
        <v>112500</v>
      </c>
      <c r="C3847" s="131" t="s">
        <v>1258</v>
      </c>
      <c r="D3847" s="131">
        <v>16</v>
      </c>
      <c r="E3847" s="131" t="s">
        <v>1258</v>
      </c>
      <c r="F3847" s="767">
        <v>101250</v>
      </c>
      <c r="G3847" s="767">
        <v>11250</v>
      </c>
      <c r="H3847" s="767">
        <v>112500</v>
      </c>
      <c r="I3847" s="768" t="s">
        <v>1961</v>
      </c>
    </row>
    <row r="3848" spans="1:9" x14ac:dyDescent="0.25">
      <c r="A3848" s="753">
        <v>403808</v>
      </c>
      <c r="B3848" s="130">
        <v>10000</v>
      </c>
      <c r="C3848" s="131" t="s">
        <v>1259</v>
      </c>
      <c r="D3848" s="131">
        <v>16</v>
      </c>
      <c r="E3848" s="131" t="s">
        <v>1259</v>
      </c>
      <c r="F3848" s="767">
        <v>90000</v>
      </c>
      <c r="G3848" s="767">
        <v>10000</v>
      </c>
      <c r="H3848" s="767">
        <v>100000</v>
      </c>
      <c r="I3848" s="768" t="s">
        <v>1962</v>
      </c>
    </row>
    <row r="3849" spans="1:9" x14ac:dyDescent="0.25">
      <c r="A3849" s="753">
        <v>403810</v>
      </c>
      <c r="B3849" s="130">
        <v>100000</v>
      </c>
      <c r="C3849" s="131" t="s">
        <v>1259</v>
      </c>
      <c r="D3849" s="131">
        <v>16</v>
      </c>
      <c r="E3849" s="131" t="s">
        <v>1259</v>
      </c>
      <c r="F3849" s="767">
        <v>90000</v>
      </c>
      <c r="G3849" s="767">
        <v>10000</v>
      </c>
      <c r="H3849" s="767">
        <v>100000</v>
      </c>
      <c r="I3849" s="768" t="s">
        <v>1962</v>
      </c>
    </row>
    <row r="3850" spans="1:9" x14ac:dyDescent="0.25">
      <c r="A3850" s="753">
        <v>403812</v>
      </c>
      <c r="B3850" s="130">
        <v>1250</v>
      </c>
      <c r="C3850" s="131" t="s">
        <v>1260</v>
      </c>
      <c r="D3850" s="131">
        <v>16</v>
      </c>
      <c r="E3850" s="131" t="s">
        <v>1260</v>
      </c>
      <c r="F3850" s="767">
        <v>11250</v>
      </c>
      <c r="G3850" s="767">
        <v>1250</v>
      </c>
      <c r="H3850" s="767">
        <v>12500</v>
      </c>
      <c r="I3850" s="768" t="s">
        <v>1963</v>
      </c>
    </row>
    <row r="3851" spans="1:9" x14ac:dyDescent="0.25">
      <c r="A3851" s="753">
        <v>403814</v>
      </c>
      <c r="B3851" s="130">
        <v>12500</v>
      </c>
      <c r="C3851" s="131" t="s">
        <v>1260</v>
      </c>
      <c r="D3851" s="131">
        <v>16</v>
      </c>
      <c r="E3851" s="131" t="s">
        <v>1260</v>
      </c>
      <c r="F3851" s="767">
        <v>11250</v>
      </c>
      <c r="G3851" s="767">
        <v>1250</v>
      </c>
      <c r="H3851" s="767">
        <v>12500</v>
      </c>
      <c r="I3851" s="768" t="s">
        <v>1963</v>
      </c>
    </row>
    <row r="3852" spans="1:9" x14ac:dyDescent="0.25">
      <c r="A3852" s="753">
        <v>403816</v>
      </c>
      <c r="B3852" s="130">
        <v>0</v>
      </c>
      <c r="E3852" s="131"/>
    </row>
    <row r="3853" spans="1:9" x14ac:dyDescent="0.25">
      <c r="A3853" s="753">
        <v>403818</v>
      </c>
      <c r="B3853" s="130">
        <v>0</v>
      </c>
      <c r="E3853" s="131"/>
    </row>
    <row r="3854" spans="1:9" x14ac:dyDescent="0.25">
      <c r="A3854" s="753">
        <v>403820</v>
      </c>
      <c r="B3854" s="130">
        <v>0</v>
      </c>
      <c r="E3854" s="131"/>
    </row>
    <row r="3855" spans="1:9" x14ac:dyDescent="0.25">
      <c r="A3855" s="753">
        <v>403822</v>
      </c>
      <c r="B3855" s="130">
        <v>0</v>
      </c>
      <c r="E3855" s="131"/>
    </row>
    <row r="3856" spans="1:9" x14ac:dyDescent="0.25">
      <c r="A3856" s="753">
        <v>403904</v>
      </c>
      <c r="B3856" s="130">
        <v>2410</v>
      </c>
      <c r="C3856" s="131" t="s">
        <v>1261</v>
      </c>
      <c r="D3856" s="131">
        <v>16</v>
      </c>
      <c r="E3856" s="131" t="s">
        <v>1261</v>
      </c>
      <c r="F3856" s="767">
        <v>21687.75</v>
      </c>
      <c r="G3856" s="767">
        <v>2409.75</v>
      </c>
      <c r="H3856" s="767">
        <v>24097.5</v>
      </c>
      <c r="I3856" s="768" t="s">
        <v>1964</v>
      </c>
    </row>
    <row r="3857" spans="1:9" x14ac:dyDescent="0.25">
      <c r="A3857" s="753">
        <v>403906</v>
      </c>
      <c r="B3857" s="130">
        <v>24098</v>
      </c>
      <c r="C3857" s="131" t="s">
        <v>1261</v>
      </c>
      <c r="D3857" s="131">
        <v>16</v>
      </c>
      <c r="E3857" s="131" t="s">
        <v>1261</v>
      </c>
      <c r="F3857" s="767">
        <v>21687.75</v>
      </c>
      <c r="G3857" s="767">
        <v>2409.75</v>
      </c>
      <c r="H3857" s="767">
        <v>24097.5</v>
      </c>
      <c r="I3857" s="768" t="s">
        <v>1964</v>
      </c>
    </row>
    <row r="3858" spans="1:9" x14ac:dyDescent="0.25">
      <c r="A3858" s="753">
        <v>403908</v>
      </c>
      <c r="B3858" s="130">
        <v>2142</v>
      </c>
      <c r="C3858" s="131" t="s">
        <v>1262</v>
      </c>
      <c r="D3858" s="131">
        <v>16</v>
      </c>
      <c r="E3858" s="131" t="s">
        <v>1262</v>
      </c>
      <c r="F3858" s="767">
        <v>19278</v>
      </c>
      <c r="G3858" s="767">
        <v>2142</v>
      </c>
      <c r="H3858" s="767">
        <v>21420</v>
      </c>
      <c r="I3858" s="768" t="s">
        <v>1965</v>
      </c>
    </row>
    <row r="3859" spans="1:9" x14ac:dyDescent="0.25">
      <c r="A3859" s="753">
        <v>403910</v>
      </c>
      <c r="B3859" s="130">
        <v>21420</v>
      </c>
      <c r="C3859" s="131" t="s">
        <v>1262</v>
      </c>
      <c r="D3859" s="131">
        <v>16</v>
      </c>
      <c r="E3859" s="131" t="s">
        <v>1262</v>
      </c>
      <c r="F3859" s="767">
        <v>19278</v>
      </c>
      <c r="G3859" s="767">
        <v>2142</v>
      </c>
      <c r="H3859" s="767">
        <v>21420</v>
      </c>
      <c r="I3859" s="768" t="s">
        <v>1965</v>
      </c>
    </row>
    <row r="3860" spans="1:9" x14ac:dyDescent="0.25">
      <c r="A3860" s="753">
        <v>403912</v>
      </c>
      <c r="B3860" s="130">
        <v>268</v>
      </c>
      <c r="C3860" s="131" t="s">
        <v>1263</v>
      </c>
      <c r="D3860" s="131">
        <v>16</v>
      </c>
      <c r="E3860" s="131" t="s">
        <v>1263</v>
      </c>
      <c r="F3860" s="767">
        <v>2409.75</v>
      </c>
      <c r="G3860" s="767">
        <v>267.75</v>
      </c>
      <c r="H3860" s="767">
        <v>2677.5</v>
      </c>
      <c r="I3860" s="768" t="s">
        <v>1966</v>
      </c>
    </row>
    <row r="3861" spans="1:9" x14ac:dyDescent="0.25">
      <c r="A3861" s="753">
        <v>403914</v>
      </c>
      <c r="B3861" s="130">
        <v>2678</v>
      </c>
      <c r="C3861" s="131" t="s">
        <v>1263</v>
      </c>
      <c r="D3861" s="131">
        <v>16</v>
      </c>
      <c r="E3861" s="131" t="s">
        <v>1263</v>
      </c>
      <c r="F3861" s="767">
        <v>2409.75</v>
      </c>
      <c r="G3861" s="767">
        <v>267.75</v>
      </c>
      <c r="H3861" s="767">
        <v>2677.5</v>
      </c>
      <c r="I3861" s="768" t="s">
        <v>1966</v>
      </c>
    </row>
    <row r="3862" spans="1:9" x14ac:dyDescent="0.25">
      <c r="A3862" s="753">
        <v>403916</v>
      </c>
      <c r="B3862" s="130">
        <v>0</v>
      </c>
      <c r="E3862" s="131"/>
    </row>
    <row r="3863" spans="1:9" x14ac:dyDescent="0.25">
      <c r="A3863" s="753">
        <v>403918</v>
      </c>
      <c r="B3863" s="130">
        <v>0</v>
      </c>
      <c r="E3863" s="131"/>
    </row>
    <row r="3864" spans="1:9" x14ac:dyDescent="0.25">
      <c r="A3864" s="753">
        <v>403920</v>
      </c>
      <c r="B3864" s="130">
        <v>0</v>
      </c>
      <c r="E3864" s="131"/>
    </row>
    <row r="3865" spans="1:9" x14ac:dyDescent="0.25">
      <c r="A3865" s="753">
        <v>403922</v>
      </c>
      <c r="B3865" s="130">
        <v>0</v>
      </c>
      <c r="E3865" s="131"/>
    </row>
    <row r="3866" spans="1:9" x14ac:dyDescent="0.25">
      <c r="A3866" s="753">
        <v>404004</v>
      </c>
      <c r="B3866" s="130">
        <v>0</v>
      </c>
      <c r="E3866" s="131"/>
    </row>
    <row r="3867" spans="1:9" x14ac:dyDescent="0.25">
      <c r="A3867" s="753">
        <v>404006</v>
      </c>
      <c r="B3867" s="130">
        <v>0</v>
      </c>
      <c r="E3867" s="131"/>
    </row>
    <row r="3868" spans="1:9" x14ac:dyDescent="0.25">
      <c r="A3868" s="753">
        <v>404008</v>
      </c>
      <c r="B3868" s="130">
        <v>0</v>
      </c>
      <c r="E3868" s="131"/>
    </row>
    <row r="3869" spans="1:9" x14ac:dyDescent="0.25">
      <c r="A3869" s="753">
        <v>404010</v>
      </c>
      <c r="B3869" s="130">
        <v>0</v>
      </c>
      <c r="E3869" s="131"/>
    </row>
    <row r="3870" spans="1:9" x14ac:dyDescent="0.25">
      <c r="A3870" s="753">
        <v>404012</v>
      </c>
      <c r="B3870" s="130">
        <v>0</v>
      </c>
      <c r="E3870" s="131"/>
    </row>
    <row r="3871" spans="1:9" x14ac:dyDescent="0.25">
      <c r="A3871" s="753">
        <v>404014</v>
      </c>
      <c r="B3871" s="130">
        <v>0</v>
      </c>
      <c r="E3871" s="131"/>
    </row>
    <row r="3872" spans="1:9" x14ac:dyDescent="0.25">
      <c r="A3872" s="753">
        <v>404016</v>
      </c>
      <c r="B3872" s="130">
        <v>0</v>
      </c>
      <c r="E3872" s="131"/>
    </row>
    <row r="3873" spans="1:9" x14ac:dyDescent="0.25">
      <c r="A3873" s="753">
        <v>404018</v>
      </c>
      <c r="B3873" s="130">
        <v>0</v>
      </c>
      <c r="E3873" s="131"/>
    </row>
    <row r="3874" spans="1:9" x14ac:dyDescent="0.25">
      <c r="A3874" s="753">
        <v>404020</v>
      </c>
      <c r="B3874" s="130">
        <v>0</v>
      </c>
      <c r="E3874" s="131"/>
    </row>
    <row r="3875" spans="1:9" x14ac:dyDescent="0.25">
      <c r="A3875" s="753">
        <v>404022</v>
      </c>
      <c r="B3875" s="130">
        <v>0</v>
      </c>
      <c r="E3875" s="131"/>
    </row>
    <row r="3876" spans="1:9" x14ac:dyDescent="0.25">
      <c r="A3876" s="753">
        <v>404104</v>
      </c>
      <c r="B3876" s="130">
        <v>0</v>
      </c>
      <c r="E3876" s="131"/>
    </row>
    <row r="3877" spans="1:9" x14ac:dyDescent="0.25">
      <c r="A3877" s="753">
        <v>404106</v>
      </c>
      <c r="B3877" s="130">
        <v>0</v>
      </c>
      <c r="E3877" s="131"/>
    </row>
    <row r="3878" spans="1:9" x14ac:dyDescent="0.25">
      <c r="A3878" s="753">
        <v>404108</v>
      </c>
      <c r="B3878" s="130">
        <v>0</v>
      </c>
      <c r="E3878" s="131"/>
    </row>
    <row r="3879" spans="1:9" x14ac:dyDescent="0.25">
      <c r="A3879" s="753">
        <v>404110</v>
      </c>
      <c r="B3879" s="130">
        <v>0</v>
      </c>
      <c r="E3879" s="131"/>
    </row>
    <row r="3880" spans="1:9" x14ac:dyDescent="0.25">
      <c r="A3880" s="753">
        <v>404112</v>
      </c>
      <c r="B3880" s="130">
        <v>0</v>
      </c>
      <c r="E3880" s="131"/>
    </row>
    <row r="3881" spans="1:9" x14ac:dyDescent="0.25">
      <c r="A3881" s="753">
        <v>404114</v>
      </c>
      <c r="B3881" s="130">
        <v>0</v>
      </c>
      <c r="E3881" s="131"/>
    </row>
    <row r="3882" spans="1:9" x14ac:dyDescent="0.25">
      <c r="A3882" s="753">
        <v>404116</v>
      </c>
      <c r="B3882" s="130">
        <v>0</v>
      </c>
      <c r="E3882" s="131"/>
    </row>
    <row r="3883" spans="1:9" x14ac:dyDescent="0.25">
      <c r="A3883" s="753">
        <v>404118</v>
      </c>
      <c r="B3883" s="130">
        <v>0</v>
      </c>
      <c r="E3883" s="131"/>
    </row>
    <row r="3884" spans="1:9" x14ac:dyDescent="0.25">
      <c r="A3884" s="753">
        <v>404120</v>
      </c>
      <c r="B3884" s="130">
        <v>0</v>
      </c>
      <c r="E3884" s="131"/>
    </row>
    <row r="3885" spans="1:9" x14ac:dyDescent="0.25">
      <c r="A3885" s="753">
        <v>404122</v>
      </c>
      <c r="B3885" s="130">
        <v>0</v>
      </c>
      <c r="E3885" s="131"/>
    </row>
    <row r="3886" spans="1:9" x14ac:dyDescent="0.25">
      <c r="A3886" s="753">
        <v>404204</v>
      </c>
      <c r="B3886" s="130">
        <v>1245</v>
      </c>
      <c r="C3886" s="131" t="s">
        <v>1264</v>
      </c>
      <c r="D3886" s="131">
        <v>16</v>
      </c>
      <c r="E3886" s="131" t="s">
        <v>1264</v>
      </c>
      <c r="F3886" s="767">
        <v>11663.85</v>
      </c>
      <c r="G3886" s="767">
        <v>1245.49</v>
      </c>
      <c r="H3886" s="767">
        <v>12909.34</v>
      </c>
      <c r="I3886" s="768" t="s">
        <v>1967</v>
      </c>
    </row>
    <row r="3887" spans="1:9" x14ac:dyDescent="0.25">
      <c r="A3887" s="753">
        <v>404206</v>
      </c>
      <c r="B3887" s="130">
        <v>12909</v>
      </c>
      <c r="C3887" s="131" t="s">
        <v>1264</v>
      </c>
      <c r="D3887" s="131">
        <v>16</v>
      </c>
      <c r="E3887" s="131" t="s">
        <v>1264</v>
      </c>
      <c r="F3887" s="767">
        <v>11663.85</v>
      </c>
      <c r="G3887" s="767">
        <v>1245.49</v>
      </c>
      <c r="H3887" s="767">
        <v>12909.34</v>
      </c>
      <c r="I3887" s="768" t="s">
        <v>1967</v>
      </c>
    </row>
    <row r="3888" spans="1:9" x14ac:dyDescent="0.25">
      <c r="A3888" s="753">
        <v>404208</v>
      </c>
      <c r="B3888" s="130">
        <v>1107</v>
      </c>
      <c r="C3888" s="131" t="s">
        <v>1265</v>
      </c>
      <c r="D3888" s="131">
        <v>16</v>
      </c>
      <c r="E3888" s="131" t="s">
        <v>1265</v>
      </c>
      <c r="F3888" s="767">
        <v>10367.879999999999</v>
      </c>
      <c r="G3888" s="767">
        <v>1107.0999999999999</v>
      </c>
      <c r="H3888" s="767">
        <v>11474.98</v>
      </c>
      <c r="I3888" s="768" t="s">
        <v>1968</v>
      </c>
    </row>
    <row r="3889" spans="1:9" x14ac:dyDescent="0.25">
      <c r="A3889" s="753">
        <v>404210</v>
      </c>
      <c r="B3889" s="130">
        <v>11475</v>
      </c>
      <c r="C3889" s="131" t="s">
        <v>1265</v>
      </c>
      <c r="D3889" s="131">
        <v>16</v>
      </c>
      <c r="E3889" s="131" t="s">
        <v>1265</v>
      </c>
      <c r="F3889" s="767">
        <v>10367.879999999999</v>
      </c>
      <c r="G3889" s="767">
        <v>1107.0999999999999</v>
      </c>
      <c r="H3889" s="767">
        <v>11474.98</v>
      </c>
      <c r="I3889" s="768" t="s">
        <v>1968</v>
      </c>
    </row>
    <row r="3890" spans="1:9" x14ac:dyDescent="0.25">
      <c r="A3890" s="753">
        <v>404212</v>
      </c>
      <c r="B3890" s="130">
        <v>138</v>
      </c>
      <c r="C3890" s="131" t="s">
        <v>1266</v>
      </c>
      <c r="D3890" s="131">
        <v>16</v>
      </c>
      <c r="E3890" s="131" t="s">
        <v>1266</v>
      </c>
      <c r="F3890" s="767">
        <v>1296.03</v>
      </c>
      <c r="G3890" s="767">
        <v>138.38999999999999</v>
      </c>
      <c r="H3890" s="767">
        <v>1434.42</v>
      </c>
      <c r="I3890" s="768" t="s">
        <v>1969</v>
      </c>
    </row>
    <row r="3891" spans="1:9" x14ac:dyDescent="0.25">
      <c r="A3891" s="753">
        <v>404214</v>
      </c>
      <c r="B3891" s="130">
        <v>1434</v>
      </c>
      <c r="C3891" s="131" t="s">
        <v>1266</v>
      </c>
      <c r="D3891" s="131">
        <v>16</v>
      </c>
      <c r="E3891" s="131" t="s">
        <v>1266</v>
      </c>
      <c r="F3891" s="767">
        <v>1296.03</v>
      </c>
      <c r="G3891" s="767">
        <v>138.38999999999999</v>
      </c>
      <c r="H3891" s="767">
        <v>1434.42</v>
      </c>
      <c r="I3891" s="768" t="s">
        <v>1969</v>
      </c>
    </row>
    <row r="3892" spans="1:9" x14ac:dyDescent="0.25">
      <c r="A3892" s="753">
        <v>404216</v>
      </c>
      <c r="B3892" s="130">
        <v>0</v>
      </c>
      <c r="E3892" s="131"/>
    </row>
    <row r="3893" spans="1:9" x14ac:dyDescent="0.25">
      <c r="A3893" s="753">
        <v>404218</v>
      </c>
      <c r="B3893" s="130">
        <v>0</v>
      </c>
      <c r="E3893" s="131"/>
    </row>
    <row r="3894" spans="1:9" x14ac:dyDescent="0.25">
      <c r="A3894" s="753">
        <v>404220</v>
      </c>
      <c r="B3894" s="130">
        <v>0</v>
      </c>
      <c r="E3894" s="131"/>
    </row>
    <row r="3895" spans="1:9" x14ac:dyDescent="0.25">
      <c r="A3895" s="753">
        <v>404222</v>
      </c>
      <c r="B3895" s="130">
        <v>0</v>
      </c>
      <c r="E3895" s="131"/>
    </row>
    <row r="3896" spans="1:9" x14ac:dyDescent="0.25">
      <c r="A3896" s="753">
        <v>404304</v>
      </c>
      <c r="B3896" s="130">
        <v>979</v>
      </c>
      <c r="C3896" s="131" t="s">
        <v>1267</v>
      </c>
      <c r="D3896" s="131">
        <v>16</v>
      </c>
      <c r="E3896" s="131" t="s">
        <v>1267</v>
      </c>
      <c r="F3896" s="767">
        <v>8808.2099999999991</v>
      </c>
      <c r="G3896" s="767">
        <v>978.69</v>
      </c>
      <c r="H3896" s="767">
        <v>9786.9</v>
      </c>
      <c r="I3896" s="768" t="s">
        <v>1970</v>
      </c>
    </row>
    <row r="3897" spans="1:9" x14ac:dyDescent="0.25">
      <c r="A3897" s="753">
        <v>404306</v>
      </c>
      <c r="B3897" s="130">
        <v>9787</v>
      </c>
      <c r="C3897" s="131" t="s">
        <v>1267</v>
      </c>
      <c r="D3897" s="131">
        <v>16</v>
      </c>
      <c r="E3897" s="131" t="s">
        <v>1267</v>
      </c>
      <c r="F3897" s="767">
        <v>8808.2099999999991</v>
      </c>
      <c r="G3897" s="767">
        <v>978.69</v>
      </c>
      <c r="H3897" s="767">
        <v>9786.9</v>
      </c>
      <c r="I3897" s="768" t="s">
        <v>1970</v>
      </c>
    </row>
    <row r="3898" spans="1:9" x14ac:dyDescent="0.25">
      <c r="A3898" s="753">
        <v>404308</v>
      </c>
      <c r="B3898" s="130">
        <v>870</v>
      </c>
      <c r="C3898" s="131" t="s">
        <v>1268</v>
      </c>
      <c r="D3898" s="131">
        <v>16</v>
      </c>
      <c r="E3898" s="131" t="s">
        <v>1268</v>
      </c>
      <c r="F3898" s="767">
        <v>7829.55</v>
      </c>
      <c r="G3898" s="767">
        <v>869.95</v>
      </c>
      <c r="H3898" s="767">
        <v>8699.5</v>
      </c>
      <c r="I3898" s="768" t="s">
        <v>1971</v>
      </c>
    </row>
    <row r="3899" spans="1:9" x14ac:dyDescent="0.25">
      <c r="A3899" s="753">
        <v>404310</v>
      </c>
      <c r="B3899" s="130">
        <v>8700</v>
      </c>
      <c r="C3899" s="131" t="s">
        <v>1268</v>
      </c>
      <c r="D3899" s="131">
        <v>16</v>
      </c>
      <c r="E3899" s="131" t="s">
        <v>1268</v>
      </c>
      <c r="F3899" s="767">
        <v>7829.55</v>
      </c>
      <c r="G3899" s="767">
        <v>869.95</v>
      </c>
      <c r="H3899" s="767">
        <v>8699.5</v>
      </c>
      <c r="I3899" s="768" t="s">
        <v>1971</v>
      </c>
    </row>
    <row r="3900" spans="1:9" x14ac:dyDescent="0.25">
      <c r="A3900" s="753">
        <v>404312</v>
      </c>
      <c r="B3900" s="130">
        <v>109</v>
      </c>
      <c r="C3900" s="131" t="s">
        <v>1269</v>
      </c>
      <c r="D3900" s="131">
        <v>16</v>
      </c>
      <c r="E3900" s="131" t="s">
        <v>1269</v>
      </c>
      <c r="F3900" s="767">
        <v>978.66</v>
      </c>
      <c r="G3900" s="767">
        <v>108.74</v>
      </c>
      <c r="H3900" s="767">
        <v>1087.4000000000001</v>
      </c>
      <c r="I3900" s="768" t="s">
        <v>1972</v>
      </c>
    </row>
    <row r="3901" spans="1:9" x14ac:dyDescent="0.25">
      <c r="A3901" s="753">
        <v>404314</v>
      </c>
      <c r="B3901" s="130">
        <v>1087</v>
      </c>
      <c r="C3901" s="131" t="s">
        <v>1269</v>
      </c>
      <c r="D3901" s="131">
        <v>16</v>
      </c>
      <c r="E3901" s="131" t="s">
        <v>1269</v>
      </c>
      <c r="F3901" s="767">
        <v>978.66</v>
      </c>
      <c r="G3901" s="767">
        <v>108.74</v>
      </c>
      <c r="H3901" s="767">
        <v>1087.4000000000001</v>
      </c>
      <c r="I3901" s="768" t="s">
        <v>1972</v>
      </c>
    </row>
    <row r="3902" spans="1:9" x14ac:dyDescent="0.25">
      <c r="A3902" s="753">
        <v>404316</v>
      </c>
      <c r="B3902" s="130">
        <v>0</v>
      </c>
      <c r="E3902" s="131"/>
    </row>
    <row r="3903" spans="1:9" x14ac:dyDescent="0.25">
      <c r="A3903" s="753">
        <v>404318</v>
      </c>
      <c r="B3903" s="130">
        <v>0</v>
      </c>
      <c r="E3903" s="131"/>
    </row>
    <row r="3904" spans="1:9" x14ac:dyDescent="0.25">
      <c r="A3904" s="753">
        <v>404320</v>
      </c>
      <c r="B3904" s="130">
        <v>0</v>
      </c>
      <c r="E3904" s="131"/>
    </row>
    <row r="3905" spans="1:9" x14ac:dyDescent="0.25">
      <c r="A3905" s="753">
        <v>404322</v>
      </c>
      <c r="B3905" s="130">
        <v>0</v>
      </c>
      <c r="E3905" s="131"/>
    </row>
    <row r="3906" spans="1:9" x14ac:dyDescent="0.25">
      <c r="A3906" s="753">
        <v>404404</v>
      </c>
      <c r="B3906" s="130">
        <v>912</v>
      </c>
      <c r="C3906" s="131" t="s">
        <v>1270</v>
      </c>
      <c r="D3906" s="131">
        <v>16</v>
      </c>
      <c r="E3906" s="131" t="s">
        <v>1270</v>
      </c>
      <c r="F3906" s="767">
        <v>10011.790000000001</v>
      </c>
      <c r="G3906" s="767">
        <v>912.27</v>
      </c>
      <c r="H3906" s="767">
        <v>10924.06</v>
      </c>
      <c r="I3906" s="768" t="s">
        <v>1973</v>
      </c>
    </row>
    <row r="3907" spans="1:9" x14ac:dyDescent="0.25">
      <c r="A3907" s="753">
        <v>404406</v>
      </c>
      <c r="B3907" s="130">
        <v>10924</v>
      </c>
      <c r="C3907" s="131" t="s">
        <v>1270</v>
      </c>
      <c r="D3907" s="131">
        <v>16</v>
      </c>
      <c r="E3907" s="131" t="s">
        <v>1270</v>
      </c>
      <c r="F3907" s="767">
        <v>10011.790000000001</v>
      </c>
      <c r="G3907" s="767">
        <v>912.27</v>
      </c>
      <c r="H3907" s="767">
        <v>10924.06</v>
      </c>
      <c r="I3907" s="768" t="s">
        <v>1973</v>
      </c>
    </row>
    <row r="3908" spans="1:9" x14ac:dyDescent="0.25">
      <c r="A3908" s="753">
        <v>404408</v>
      </c>
      <c r="B3908" s="130">
        <v>811</v>
      </c>
      <c r="C3908" s="131" t="s">
        <v>1271</v>
      </c>
      <c r="D3908" s="131">
        <v>16</v>
      </c>
      <c r="E3908" s="131" t="s">
        <v>1271</v>
      </c>
      <c r="F3908" s="767">
        <v>8899.3700000000008</v>
      </c>
      <c r="G3908" s="767">
        <v>810.91</v>
      </c>
      <c r="H3908" s="767">
        <v>9710.2800000000007</v>
      </c>
      <c r="I3908" s="768" t="s">
        <v>1974</v>
      </c>
    </row>
    <row r="3909" spans="1:9" x14ac:dyDescent="0.25">
      <c r="A3909" s="753">
        <v>404410</v>
      </c>
      <c r="B3909" s="130">
        <v>9710</v>
      </c>
      <c r="C3909" s="131" t="s">
        <v>1271</v>
      </c>
      <c r="D3909" s="131">
        <v>16</v>
      </c>
      <c r="E3909" s="131" t="s">
        <v>1271</v>
      </c>
      <c r="F3909" s="767">
        <v>8899.3700000000008</v>
      </c>
      <c r="G3909" s="767">
        <v>810.91</v>
      </c>
      <c r="H3909" s="767">
        <v>9710.2800000000007</v>
      </c>
      <c r="I3909" s="768" t="s">
        <v>1974</v>
      </c>
    </row>
    <row r="3910" spans="1:9" x14ac:dyDescent="0.25">
      <c r="A3910" s="753">
        <v>404412</v>
      </c>
      <c r="B3910" s="130">
        <v>101</v>
      </c>
      <c r="C3910" s="131" t="s">
        <v>1272</v>
      </c>
      <c r="D3910" s="131">
        <v>16</v>
      </c>
      <c r="E3910" s="131" t="s">
        <v>1272</v>
      </c>
      <c r="F3910" s="767">
        <v>1112.3800000000001</v>
      </c>
      <c r="G3910" s="767">
        <v>101.35</v>
      </c>
      <c r="H3910" s="767">
        <v>1213.73</v>
      </c>
      <c r="I3910" s="768" t="s">
        <v>1975</v>
      </c>
    </row>
    <row r="3911" spans="1:9" x14ac:dyDescent="0.25">
      <c r="A3911" s="753">
        <v>404414</v>
      </c>
      <c r="B3911" s="130">
        <v>1214</v>
      </c>
      <c r="C3911" s="131" t="s">
        <v>1272</v>
      </c>
      <c r="D3911" s="131">
        <v>16</v>
      </c>
      <c r="E3911" s="131" t="s">
        <v>1272</v>
      </c>
      <c r="F3911" s="767">
        <v>1112.3800000000001</v>
      </c>
      <c r="G3911" s="767">
        <v>101.35</v>
      </c>
      <c r="H3911" s="767">
        <v>1213.73</v>
      </c>
      <c r="I3911" s="768" t="s">
        <v>1975</v>
      </c>
    </row>
    <row r="3912" spans="1:9" x14ac:dyDescent="0.25">
      <c r="A3912" s="753">
        <v>404416</v>
      </c>
      <c r="B3912" s="130">
        <v>0</v>
      </c>
      <c r="E3912" s="131"/>
    </row>
    <row r="3913" spans="1:9" x14ac:dyDescent="0.25">
      <c r="A3913" s="753">
        <v>404418</v>
      </c>
      <c r="B3913" s="130">
        <v>0</v>
      </c>
      <c r="E3913" s="131"/>
    </row>
    <row r="3914" spans="1:9" x14ac:dyDescent="0.25">
      <c r="A3914" s="753">
        <v>404420</v>
      </c>
      <c r="B3914" s="130">
        <v>0</v>
      </c>
      <c r="E3914" s="131"/>
    </row>
    <row r="3915" spans="1:9" x14ac:dyDescent="0.25">
      <c r="A3915" s="753">
        <v>404422</v>
      </c>
      <c r="B3915" s="130">
        <v>0</v>
      </c>
      <c r="E3915" s="131"/>
    </row>
    <row r="3916" spans="1:9" x14ac:dyDescent="0.25">
      <c r="A3916" s="753">
        <v>404504</v>
      </c>
      <c r="B3916" s="130">
        <v>16796</v>
      </c>
      <c r="E3916" s="131"/>
    </row>
    <row r="3917" spans="1:9" x14ac:dyDescent="0.25">
      <c r="A3917" s="753">
        <v>404506</v>
      </c>
      <c r="B3917" s="130">
        <v>170218</v>
      </c>
      <c r="E3917" s="131"/>
    </row>
    <row r="3918" spans="1:9" x14ac:dyDescent="0.25">
      <c r="A3918" s="753">
        <v>404508</v>
      </c>
      <c r="B3918" s="130">
        <v>14930</v>
      </c>
      <c r="E3918" s="131"/>
    </row>
    <row r="3919" spans="1:9" x14ac:dyDescent="0.25">
      <c r="A3919" s="753">
        <v>404510</v>
      </c>
      <c r="B3919" s="130">
        <v>151305</v>
      </c>
      <c r="E3919" s="131"/>
    </row>
    <row r="3920" spans="1:9" x14ac:dyDescent="0.25">
      <c r="A3920" s="753">
        <v>404512</v>
      </c>
      <c r="B3920" s="130">
        <v>1866</v>
      </c>
      <c r="E3920" s="131"/>
    </row>
    <row r="3921" spans="1:9" x14ac:dyDescent="0.25">
      <c r="A3921" s="753">
        <v>404514</v>
      </c>
      <c r="B3921" s="130">
        <v>18913</v>
      </c>
      <c r="E3921" s="131"/>
    </row>
    <row r="3922" spans="1:9" x14ac:dyDescent="0.25">
      <c r="A3922" s="753">
        <v>404516</v>
      </c>
      <c r="B3922" s="130">
        <v>0</v>
      </c>
      <c r="E3922" s="131"/>
    </row>
    <row r="3923" spans="1:9" x14ac:dyDescent="0.25">
      <c r="A3923" s="753">
        <v>404518</v>
      </c>
      <c r="B3923" s="130">
        <v>0</v>
      </c>
      <c r="E3923" s="131"/>
    </row>
    <row r="3924" spans="1:9" x14ac:dyDescent="0.25">
      <c r="A3924" s="753">
        <v>404520</v>
      </c>
      <c r="B3924" s="130">
        <v>0</v>
      </c>
      <c r="E3924" s="131"/>
    </row>
    <row r="3925" spans="1:9" x14ac:dyDescent="0.25">
      <c r="A3925" s="753">
        <v>404522</v>
      </c>
      <c r="B3925" s="130">
        <v>0</v>
      </c>
      <c r="E3925" s="131"/>
    </row>
    <row r="3926" spans="1:9" x14ac:dyDescent="0.25">
      <c r="A3926" s="753">
        <v>404604</v>
      </c>
      <c r="B3926" s="130">
        <v>0</v>
      </c>
      <c r="C3926" s="131" t="s">
        <v>2310</v>
      </c>
      <c r="D3926" s="131">
        <v>16</v>
      </c>
      <c r="E3926" s="131" t="s">
        <v>2310</v>
      </c>
      <c r="F3926" s="767">
        <v>295.52999999999997</v>
      </c>
      <c r="G3926" s="767">
        <v>0</v>
      </c>
      <c r="H3926" s="767">
        <v>295.52999999999997</v>
      </c>
      <c r="I3926" s="768" t="s">
        <v>2311</v>
      </c>
    </row>
    <row r="3927" spans="1:9" x14ac:dyDescent="0.25">
      <c r="A3927" s="753">
        <v>404606</v>
      </c>
      <c r="B3927" s="130">
        <v>296</v>
      </c>
      <c r="C3927" s="131" t="s">
        <v>2310</v>
      </c>
      <c r="D3927" s="131">
        <v>16</v>
      </c>
      <c r="E3927" s="131" t="s">
        <v>2310</v>
      </c>
      <c r="F3927" s="767">
        <v>295.52999999999997</v>
      </c>
      <c r="G3927" s="767">
        <v>0</v>
      </c>
      <c r="H3927" s="767">
        <v>295.52999999999997</v>
      </c>
      <c r="I3927" s="768" t="s">
        <v>2311</v>
      </c>
    </row>
    <row r="3928" spans="1:9" x14ac:dyDescent="0.25">
      <c r="A3928" s="753">
        <v>404608</v>
      </c>
      <c r="B3928" s="130">
        <v>0</v>
      </c>
      <c r="C3928" s="131" t="s">
        <v>2312</v>
      </c>
      <c r="D3928" s="131">
        <v>16</v>
      </c>
      <c r="E3928" s="131" t="s">
        <v>2312</v>
      </c>
      <c r="F3928" s="767">
        <v>262.69</v>
      </c>
      <c r="G3928" s="767">
        <v>0</v>
      </c>
      <c r="H3928" s="767">
        <v>262.69</v>
      </c>
      <c r="I3928" s="768" t="s">
        <v>2313</v>
      </c>
    </row>
    <row r="3929" spans="1:9" x14ac:dyDescent="0.25">
      <c r="A3929" s="753">
        <v>404610</v>
      </c>
      <c r="B3929" s="130">
        <v>263</v>
      </c>
      <c r="C3929" s="131" t="s">
        <v>2312</v>
      </c>
      <c r="D3929" s="131">
        <v>16</v>
      </c>
      <c r="E3929" s="131" t="s">
        <v>2312</v>
      </c>
      <c r="F3929" s="767">
        <v>262.69</v>
      </c>
      <c r="G3929" s="767">
        <v>0</v>
      </c>
      <c r="H3929" s="767">
        <v>262.69</v>
      </c>
      <c r="I3929" s="768" t="s">
        <v>2313</v>
      </c>
    </row>
    <row r="3930" spans="1:9" x14ac:dyDescent="0.25">
      <c r="A3930" s="753">
        <v>404612</v>
      </c>
      <c r="B3930" s="130">
        <v>0</v>
      </c>
      <c r="C3930" s="131" t="s">
        <v>2314</v>
      </c>
      <c r="D3930" s="131">
        <v>16</v>
      </c>
      <c r="E3930" s="131" t="s">
        <v>2314</v>
      </c>
      <c r="F3930" s="767">
        <v>32.83</v>
      </c>
      <c r="G3930" s="767">
        <v>0</v>
      </c>
      <c r="H3930" s="767">
        <v>32.83</v>
      </c>
      <c r="I3930" s="768" t="s">
        <v>2315</v>
      </c>
    </row>
    <row r="3931" spans="1:9" x14ac:dyDescent="0.25">
      <c r="A3931" s="753">
        <v>404614</v>
      </c>
      <c r="B3931" s="130">
        <v>33</v>
      </c>
      <c r="C3931" s="131" t="s">
        <v>2314</v>
      </c>
      <c r="D3931" s="131">
        <v>16</v>
      </c>
      <c r="E3931" s="131" t="s">
        <v>2314</v>
      </c>
      <c r="F3931" s="767">
        <v>32.83</v>
      </c>
      <c r="G3931" s="767">
        <v>0</v>
      </c>
      <c r="H3931" s="767">
        <v>32.83</v>
      </c>
      <c r="I3931" s="768" t="s">
        <v>2315</v>
      </c>
    </row>
    <row r="3932" spans="1:9" x14ac:dyDescent="0.25">
      <c r="A3932" s="753">
        <v>404616</v>
      </c>
      <c r="B3932" s="130">
        <v>0</v>
      </c>
      <c r="E3932" s="131"/>
    </row>
    <row r="3933" spans="1:9" x14ac:dyDescent="0.25">
      <c r="A3933" s="753">
        <v>404618</v>
      </c>
      <c r="B3933" s="130">
        <v>0</v>
      </c>
      <c r="E3933" s="131"/>
    </row>
    <row r="3934" spans="1:9" x14ac:dyDescent="0.25">
      <c r="A3934" s="753">
        <v>404620</v>
      </c>
      <c r="B3934" s="130">
        <v>0</v>
      </c>
      <c r="E3934" s="131"/>
    </row>
    <row r="3935" spans="1:9" x14ac:dyDescent="0.25">
      <c r="A3935" s="753">
        <v>404622</v>
      </c>
      <c r="B3935" s="130">
        <v>0</v>
      </c>
      <c r="E3935" s="131"/>
    </row>
    <row r="3936" spans="1:9" x14ac:dyDescent="0.25">
      <c r="A3936" s="753">
        <v>404704</v>
      </c>
      <c r="B3936" s="130">
        <v>534</v>
      </c>
      <c r="C3936" s="131" t="s">
        <v>1273</v>
      </c>
      <c r="D3936" s="131">
        <v>16</v>
      </c>
      <c r="E3936" s="131" t="s">
        <v>1273</v>
      </c>
      <c r="F3936" s="767">
        <v>4998.78</v>
      </c>
      <c r="G3936" s="767">
        <v>533.78</v>
      </c>
      <c r="H3936" s="767">
        <v>5532.56</v>
      </c>
      <c r="I3936" s="768" t="s">
        <v>1976</v>
      </c>
    </row>
    <row r="3937" spans="1:9" x14ac:dyDescent="0.25">
      <c r="A3937" s="753">
        <v>404706</v>
      </c>
      <c r="B3937" s="130">
        <v>5533</v>
      </c>
      <c r="C3937" s="131" t="s">
        <v>1273</v>
      </c>
      <c r="D3937" s="131">
        <v>16</v>
      </c>
      <c r="E3937" s="131" t="s">
        <v>1273</v>
      </c>
      <c r="F3937" s="767">
        <v>4998.78</v>
      </c>
      <c r="G3937" s="767">
        <v>533.78</v>
      </c>
      <c r="H3937" s="767">
        <v>5532.56</v>
      </c>
      <c r="I3937" s="768" t="s">
        <v>1976</v>
      </c>
    </row>
    <row r="3938" spans="1:9" x14ac:dyDescent="0.25">
      <c r="A3938" s="753">
        <v>404708</v>
      </c>
      <c r="B3938" s="130">
        <v>474</v>
      </c>
      <c r="C3938" s="131" t="s">
        <v>1274</v>
      </c>
      <c r="D3938" s="131">
        <v>16</v>
      </c>
      <c r="E3938" s="131" t="s">
        <v>1274</v>
      </c>
      <c r="F3938" s="767">
        <v>4443.3900000000003</v>
      </c>
      <c r="G3938" s="767">
        <v>474.47</v>
      </c>
      <c r="H3938" s="767">
        <v>4917.8599999999997</v>
      </c>
      <c r="I3938" s="768" t="s">
        <v>1977</v>
      </c>
    </row>
    <row r="3939" spans="1:9" x14ac:dyDescent="0.25">
      <c r="A3939" s="753">
        <v>404710</v>
      </c>
      <c r="B3939" s="130">
        <v>4918</v>
      </c>
      <c r="C3939" s="131" t="s">
        <v>1274</v>
      </c>
      <c r="D3939" s="131">
        <v>16</v>
      </c>
      <c r="E3939" s="131" t="s">
        <v>1274</v>
      </c>
      <c r="F3939" s="767">
        <v>4443.3900000000003</v>
      </c>
      <c r="G3939" s="767">
        <v>474.47</v>
      </c>
      <c r="H3939" s="767">
        <v>4917.8599999999997</v>
      </c>
      <c r="I3939" s="768" t="s">
        <v>1977</v>
      </c>
    </row>
    <row r="3940" spans="1:9" x14ac:dyDescent="0.25">
      <c r="A3940" s="753">
        <v>404712</v>
      </c>
      <c r="B3940" s="130">
        <v>59</v>
      </c>
      <c r="C3940" s="131" t="s">
        <v>1275</v>
      </c>
      <c r="D3940" s="131">
        <v>16</v>
      </c>
      <c r="E3940" s="131" t="s">
        <v>1275</v>
      </c>
      <c r="F3940" s="767">
        <v>555.45000000000005</v>
      </c>
      <c r="G3940" s="767">
        <v>59.31</v>
      </c>
      <c r="H3940" s="767">
        <v>614.76</v>
      </c>
      <c r="I3940" s="768" t="s">
        <v>1978</v>
      </c>
    </row>
    <row r="3941" spans="1:9" x14ac:dyDescent="0.25">
      <c r="A3941" s="753">
        <v>404714</v>
      </c>
      <c r="B3941" s="130">
        <v>615</v>
      </c>
      <c r="C3941" s="131" t="s">
        <v>1275</v>
      </c>
      <c r="D3941" s="131">
        <v>16</v>
      </c>
      <c r="E3941" s="131" t="s">
        <v>1275</v>
      </c>
      <c r="F3941" s="767">
        <v>555.45000000000005</v>
      </c>
      <c r="G3941" s="767">
        <v>59.31</v>
      </c>
      <c r="H3941" s="767">
        <v>614.76</v>
      </c>
      <c r="I3941" s="768" t="s">
        <v>1978</v>
      </c>
    </row>
    <row r="3942" spans="1:9" x14ac:dyDescent="0.25">
      <c r="A3942" s="753">
        <v>404716</v>
      </c>
      <c r="B3942" s="130">
        <v>0</v>
      </c>
      <c r="E3942" s="131"/>
    </row>
    <row r="3943" spans="1:9" x14ac:dyDescent="0.25">
      <c r="A3943" s="753">
        <v>404718</v>
      </c>
      <c r="B3943" s="130">
        <v>0</v>
      </c>
      <c r="E3943" s="131"/>
    </row>
    <row r="3944" spans="1:9" x14ac:dyDescent="0.25">
      <c r="A3944" s="753">
        <v>404720</v>
      </c>
      <c r="B3944" s="130">
        <v>0</v>
      </c>
      <c r="E3944" s="131"/>
    </row>
    <row r="3945" spans="1:9" x14ac:dyDescent="0.25">
      <c r="A3945" s="753">
        <v>404722</v>
      </c>
      <c r="B3945" s="130">
        <v>0</v>
      </c>
      <c r="E3945" s="131"/>
    </row>
    <row r="3946" spans="1:9" x14ac:dyDescent="0.25">
      <c r="A3946" s="753">
        <v>404804</v>
      </c>
      <c r="B3946" s="130">
        <v>0</v>
      </c>
      <c r="C3946" s="131" t="s">
        <v>1276</v>
      </c>
      <c r="D3946" s="131">
        <v>16</v>
      </c>
      <c r="E3946" s="131" t="s">
        <v>1276</v>
      </c>
      <c r="F3946" s="767">
        <v>3585.61</v>
      </c>
      <c r="G3946" s="767">
        <v>0</v>
      </c>
      <c r="H3946" s="767">
        <v>3585.61</v>
      </c>
      <c r="I3946" s="768" t="s">
        <v>1979</v>
      </c>
    </row>
    <row r="3947" spans="1:9" x14ac:dyDescent="0.25">
      <c r="A3947" s="753">
        <v>404806</v>
      </c>
      <c r="B3947" s="130">
        <v>3586</v>
      </c>
      <c r="C3947" s="131" t="s">
        <v>1276</v>
      </c>
      <c r="D3947" s="131">
        <v>16</v>
      </c>
      <c r="E3947" s="131" t="s">
        <v>1276</v>
      </c>
      <c r="F3947" s="767">
        <v>3585.61</v>
      </c>
      <c r="G3947" s="767">
        <v>0</v>
      </c>
      <c r="H3947" s="767">
        <v>3585.61</v>
      </c>
      <c r="I3947" s="768" t="s">
        <v>1979</v>
      </c>
    </row>
    <row r="3948" spans="1:9" x14ac:dyDescent="0.25">
      <c r="A3948" s="753">
        <v>404808</v>
      </c>
      <c r="B3948" s="130">
        <v>0</v>
      </c>
      <c r="E3948" s="131"/>
    </row>
    <row r="3949" spans="1:9" x14ac:dyDescent="0.25">
      <c r="A3949" s="753">
        <v>404810</v>
      </c>
      <c r="B3949" s="130">
        <v>0</v>
      </c>
      <c r="E3949" s="131"/>
    </row>
    <row r="3950" spans="1:9" x14ac:dyDescent="0.25">
      <c r="A3950" s="753">
        <v>404812</v>
      </c>
      <c r="B3950" s="130">
        <v>0</v>
      </c>
      <c r="E3950" s="131"/>
    </row>
    <row r="3951" spans="1:9" x14ac:dyDescent="0.25">
      <c r="A3951" s="753">
        <v>404814</v>
      </c>
      <c r="B3951" s="130">
        <v>0</v>
      </c>
      <c r="E3951" s="131"/>
    </row>
    <row r="3952" spans="1:9" x14ac:dyDescent="0.25">
      <c r="A3952" s="753">
        <v>404816</v>
      </c>
      <c r="B3952" s="130">
        <v>0</v>
      </c>
      <c r="E3952" s="131"/>
    </row>
    <row r="3953" spans="1:9" x14ac:dyDescent="0.25">
      <c r="A3953" s="753">
        <v>404818</v>
      </c>
      <c r="B3953" s="130">
        <v>0</v>
      </c>
      <c r="E3953" s="131"/>
    </row>
    <row r="3954" spans="1:9" x14ac:dyDescent="0.25">
      <c r="A3954" s="753">
        <v>404820</v>
      </c>
      <c r="B3954" s="130">
        <v>0</v>
      </c>
      <c r="E3954" s="131"/>
    </row>
    <row r="3955" spans="1:9" x14ac:dyDescent="0.25">
      <c r="A3955" s="753">
        <v>404822</v>
      </c>
      <c r="B3955" s="130">
        <v>0</v>
      </c>
      <c r="E3955" s="131"/>
    </row>
    <row r="3956" spans="1:9" x14ac:dyDescent="0.25">
      <c r="A3956" s="753">
        <v>404904</v>
      </c>
      <c r="B3956" s="130">
        <v>6538</v>
      </c>
      <c r="C3956" s="131" t="s">
        <v>1277</v>
      </c>
      <c r="D3956" s="131">
        <v>16</v>
      </c>
      <c r="E3956" s="131" t="s">
        <v>1277</v>
      </c>
      <c r="F3956" s="767">
        <v>58845.42</v>
      </c>
      <c r="G3956" s="767">
        <v>6538.38</v>
      </c>
      <c r="H3956" s="767">
        <v>65383.8</v>
      </c>
      <c r="I3956" s="768" t="s">
        <v>1980</v>
      </c>
    </row>
    <row r="3957" spans="1:9" x14ac:dyDescent="0.25">
      <c r="A3957" s="753">
        <v>404906</v>
      </c>
      <c r="B3957" s="130">
        <v>65384</v>
      </c>
      <c r="C3957" s="131" t="s">
        <v>1277</v>
      </c>
      <c r="D3957" s="131">
        <v>16</v>
      </c>
      <c r="E3957" s="131" t="s">
        <v>1277</v>
      </c>
      <c r="F3957" s="767">
        <v>58845.42</v>
      </c>
      <c r="G3957" s="767">
        <v>6538.38</v>
      </c>
      <c r="H3957" s="767">
        <v>65383.8</v>
      </c>
      <c r="I3957" s="768" t="s">
        <v>1980</v>
      </c>
    </row>
    <row r="3958" spans="1:9" x14ac:dyDescent="0.25">
      <c r="A3958" s="753">
        <v>404908</v>
      </c>
      <c r="B3958" s="130">
        <v>1068</v>
      </c>
      <c r="C3958" s="131" t="s">
        <v>1278</v>
      </c>
      <c r="D3958" s="131">
        <v>16</v>
      </c>
      <c r="E3958" s="131" t="s">
        <v>1278</v>
      </c>
      <c r="F3958" s="767">
        <v>9612</v>
      </c>
      <c r="G3958" s="767">
        <v>1068</v>
      </c>
      <c r="H3958" s="767">
        <v>10680</v>
      </c>
      <c r="I3958" s="768" t="s">
        <v>1981</v>
      </c>
    </row>
    <row r="3959" spans="1:9" x14ac:dyDescent="0.25">
      <c r="A3959" s="753">
        <v>404910</v>
      </c>
      <c r="B3959" s="130">
        <v>10680</v>
      </c>
      <c r="C3959" s="131" t="s">
        <v>1278</v>
      </c>
      <c r="D3959" s="131">
        <v>16</v>
      </c>
      <c r="E3959" s="131" t="s">
        <v>1278</v>
      </c>
      <c r="F3959" s="767">
        <v>9612</v>
      </c>
      <c r="G3959" s="767">
        <v>1068</v>
      </c>
      <c r="H3959" s="767">
        <v>10680</v>
      </c>
      <c r="I3959" s="768" t="s">
        <v>1981</v>
      </c>
    </row>
    <row r="3960" spans="1:9" x14ac:dyDescent="0.25">
      <c r="A3960" s="753">
        <v>404912</v>
      </c>
      <c r="B3960" s="130">
        <v>115</v>
      </c>
      <c r="C3960" s="131" t="s">
        <v>1279</v>
      </c>
      <c r="D3960" s="131">
        <v>16</v>
      </c>
      <c r="E3960" s="131" t="s">
        <v>1279</v>
      </c>
      <c r="F3960" s="767">
        <v>1038.33</v>
      </c>
      <c r="G3960" s="767">
        <v>115.37</v>
      </c>
      <c r="H3960" s="767">
        <v>1153.7</v>
      </c>
      <c r="I3960" s="768" t="s">
        <v>1982</v>
      </c>
    </row>
    <row r="3961" spans="1:9" x14ac:dyDescent="0.25">
      <c r="A3961" s="753">
        <v>404914</v>
      </c>
      <c r="B3961" s="130">
        <v>1154</v>
      </c>
      <c r="C3961" s="131" t="s">
        <v>1279</v>
      </c>
      <c r="D3961" s="131">
        <v>16</v>
      </c>
      <c r="E3961" s="131" t="s">
        <v>1279</v>
      </c>
      <c r="F3961" s="767">
        <v>1038.33</v>
      </c>
      <c r="G3961" s="767">
        <v>115.37</v>
      </c>
      <c r="H3961" s="767">
        <v>1153.7</v>
      </c>
      <c r="I3961" s="768" t="s">
        <v>1982</v>
      </c>
    </row>
    <row r="3962" spans="1:9" x14ac:dyDescent="0.25">
      <c r="A3962" s="753">
        <v>404916</v>
      </c>
      <c r="B3962" s="130">
        <v>0</v>
      </c>
      <c r="E3962" s="131"/>
    </row>
    <row r="3963" spans="1:9" x14ac:dyDescent="0.25">
      <c r="A3963" s="753">
        <v>404918</v>
      </c>
      <c r="B3963" s="130">
        <v>0</v>
      </c>
      <c r="E3963" s="131"/>
    </row>
    <row r="3964" spans="1:9" x14ac:dyDescent="0.25">
      <c r="A3964" s="753">
        <v>404920</v>
      </c>
      <c r="B3964" s="130">
        <v>0</v>
      </c>
      <c r="E3964" s="131"/>
    </row>
    <row r="3965" spans="1:9" x14ac:dyDescent="0.25">
      <c r="A3965" s="753">
        <v>404922</v>
      </c>
      <c r="B3965" s="130">
        <v>0</v>
      </c>
      <c r="E3965" s="131"/>
    </row>
    <row r="3966" spans="1:9" x14ac:dyDescent="0.25">
      <c r="A3966" s="753">
        <v>405004</v>
      </c>
      <c r="B3966" s="130">
        <v>395</v>
      </c>
      <c r="C3966" s="131" t="s">
        <v>1280</v>
      </c>
      <c r="D3966" s="131">
        <v>16</v>
      </c>
      <c r="E3966" s="131" t="s">
        <v>1280</v>
      </c>
      <c r="F3966" s="767">
        <v>352.26</v>
      </c>
      <c r="G3966" s="767">
        <v>394.5</v>
      </c>
      <c r="H3966" s="767">
        <v>746.76</v>
      </c>
      <c r="I3966" s="768" t="s">
        <v>1983</v>
      </c>
    </row>
    <row r="3967" spans="1:9" x14ac:dyDescent="0.25">
      <c r="A3967" s="753">
        <v>405006</v>
      </c>
      <c r="B3967" s="130">
        <v>747</v>
      </c>
      <c r="C3967" s="131" t="s">
        <v>1280</v>
      </c>
      <c r="D3967" s="131">
        <v>16</v>
      </c>
      <c r="E3967" s="131" t="s">
        <v>1280</v>
      </c>
      <c r="F3967" s="767">
        <v>352.26</v>
      </c>
      <c r="G3967" s="767">
        <v>394.5</v>
      </c>
      <c r="H3967" s="767">
        <v>746.76</v>
      </c>
      <c r="I3967" s="768" t="s">
        <v>1983</v>
      </c>
    </row>
    <row r="3968" spans="1:9" x14ac:dyDescent="0.25">
      <c r="A3968" s="753">
        <v>405008</v>
      </c>
      <c r="B3968" s="130">
        <v>35</v>
      </c>
      <c r="C3968" s="131" t="s">
        <v>1281</v>
      </c>
      <c r="D3968" s="131">
        <v>16</v>
      </c>
      <c r="E3968" s="131" t="s">
        <v>1281</v>
      </c>
      <c r="F3968" s="767">
        <v>313.11</v>
      </c>
      <c r="G3968" s="767">
        <v>34.79</v>
      </c>
      <c r="H3968" s="767">
        <v>347.9</v>
      </c>
      <c r="I3968" s="768" t="s">
        <v>1984</v>
      </c>
    </row>
    <row r="3969" spans="1:9" x14ac:dyDescent="0.25">
      <c r="A3969" s="753">
        <v>405010</v>
      </c>
      <c r="B3969" s="130">
        <v>348</v>
      </c>
      <c r="C3969" s="131" t="s">
        <v>1281</v>
      </c>
      <c r="D3969" s="131">
        <v>16</v>
      </c>
      <c r="E3969" s="131" t="s">
        <v>1281</v>
      </c>
      <c r="F3969" s="767">
        <v>313.11</v>
      </c>
      <c r="G3969" s="767">
        <v>34.79</v>
      </c>
      <c r="H3969" s="767">
        <v>347.9</v>
      </c>
      <c r="I3969" s="768" t="s">
        <v>1984</v>
      </c>
    </row>
    <row r="3970" spans="1:9" x14ac:dyDescent="0.25">
      <c r="A3970" s="753">
        <v>405012</v>
      </c>
      <c r="B3970" s="130">
        <v>4</v>
      </c>
      <c r="C3970" s="131" t="s">
        <v>1282</v>
      </c>
      <c r="D3970" s="131">
        <v>16</v>
      </c>
      <c r="E3970" s="131" t="s">
        <v>1282</v>
      </c>
      <c r="F3970" s="767">
        <v>39.15</v>
      </c>
      <c r="G3970" s="767">
        <v>4.3499999999999996</v>
      </c>
      <c r="H3970" s="767">
        <v>43.5</v>
      </c>
      <c r="I3970" s="768" t="s">
        <v>1985</v>
      </c>
    </row>
    <row r="3971" spans="1:9" x14ac:dyDescent="0.25">
      <c r="A3971" s="753">
        <v>405014</v>
      </c>
      <c r="B3971" s="130">
        <v>44</v>
      </c>
      <c r="C3971" s="131" t="s">
        <v>1282</v>
      </c>
      <c r="D3971" s="131">
        <v>16</v>
      </c>
      <c r="E3971" s="131" t="s">
        <v>1282</v>
      </c>
      <c r="F3971" s="767">
        <v>39.15</v>
      </c>
      <c r="G3971" s="767">
        <v>4.3499999999999996</v>
      </c>
      <c r="H3971" s="767">
        <v>43.5</v>
      </c>
      <c r="I3971" s="768" t="s">
        <v>1985</v>
      </c>
    </row>
    <row r="3972" spans="1:9" x14ac:dyDescent="0.25">
      <c r="A3972" s="753">
        <v>405016</v>
      </c>
      <c r="B3972" s="130">
        <v>0</v>
      </c>
      <c r="E3972" s="131"/>
    </row>
    <row r="3973" spans="1:9" x14ac:dyDescent="0.25">
      <c r="A3973" s="753">
        <v>405018</v>
      </c>
      <c r="B3973" s="130">
        <v>0</v>
      </c>
      <c r="E3973" s="131"/>
    </row>
    <row r="3974" spans="1:9" x14ac:dyDescent="0.25">
      <c r="A3974" s="753">
        <v>405020</v>
      </c>
      <c r="B3974" s="130">
        <v>0</v>
      </c>
      <c r="E3974" s="131"/>
    </row>
    <row r="3975" spans="1:9" x14ac:dyDescent="0.25">
      <c r="A3975" s="753">
        <v>405022</v>
      </c>
      <c r="B3975" s="130">
        <v>0</v>
      </c>
      <c r="E3975" s="131"/>
    </row>
    <row r="3976" spans="1:9" x14ac:dyDescent="0.25">
      <c r="A3976" s="753">
        <v>405104</v>
      </c>
      <c r="B3976" s="130">
        <v>24263</v>
      </c>
      <c r="E3976" s="131"/>
    </row>
    <row r="3977" spans="1:9" x14ac:dyDescent="0.25">
      <c r="A3977" s="753">
        <v>405106</v>
      </c>
      <c r="B3977" s="130">
        <v>245764</v>
      </c>
      <c r="E3977" s="131"/>
    </row>
    <row r="3978" spans="1:9" x14ac:dyDescent="0.25">
      <c r="A3978" s="753">
        <v>405108</v>
      </c>
      <c r="B3978" s="130">
        <v>16507</v>
      </c>
      <c r="E3978" s="131"/>
    </row>
    <row r="3979" spans="1:9" x14ac:dyDescent="0.25">
      <c r="A3979" s="753">
        <v>405110</v>
      </c>
      <c r="B3979" s="130">
        <v>167514</v>
      </c>
      <c r="E3979" s="131"/>
    </row>
    <row r="3980" spans="1:9" x14ac:dyDescent="0.25">
      <c r="A3980" s="753">
        <v>405112</v>
      </c>
      <c r="B3980" s="130">
        <v>2044</v>
      </c>
      <c r="E3980" s="131"/>
    </row>
    <row r="3981" spans="1:9" x14ac:dyDescent="0.25">
      <c r="A3981" s="753">
        <v>405114</v>
      </c>
      <c r="B3981" s="130">
        <v>20759</v>
      </c>
      <c r="E3981" s="131"/>
    </row>
    <row r="3982" spans="1:9" x14ac:dyDescent="0.25">
      <c r="A3982" s="753">
        <v>405116</v>
      </c>
      <c r="B3982" s="130">
        <v>0</v>
      </c>
      <c r="E3982" s="131"/>
    </row>
    <row r="3983" spans="1:9" x14ac:dyDescent="0.25">
      <c r="A3983" s="753">
        <v>405118</v>
      </c>
      <c r="B3983" s="130">
        <v>0</v>
      </c>
      <c r="E3983" s="131"/>
    </row>
    <row r="3984" spans="1:9" x14ac:dyDescent="0.25">
      <c r="A3984" s="753">
        <v>405120</v>
      </c>
      <c r="B3984" s="130">
        <v>0</v>
      </c>
      <c r="E3984" s="131"/>
    </row>
    <row r="3985" spans="1:5" x14ac:dyDescent="0.25">
      <c r="A3985" s="753">
        <v>405122</v>
      </c>
      <c r="B3985" s="130">
        <v>0</v>
      </c>
      <c r="E3985" s="131"/>
    </row>
    <row r="3986" spans="1:5" x14ac:dyDescent="0.25">
      <c r="A3986" s="753">
        <v>405204</v>
      </c>
      <c r="B3986" s="130">
        <v>134087</v>
      </c>
      <c r="E3986" s="131"/>
    </row>
    <row r="3987" spans="1:5" x14ac:dyDescent="0.25">
      <c r="A3987" s="753">
        <v>405206</v>
      </c>
      <c r="B3987" s="130">
        <v>1065901</v>
      </c>
      <c r="E3987" s="131"/>
    </row>
    <row r="3988" spans="1:5" x14ac:dyDescent="0.25">
      <c r="A3988" s="753">
        <v>405208</v>
      </c>
      <c r="B3988" s="130">
        <v>62206</v>
      </c>
      <c r="E3988" s="131"/>
    </row>
    <row r="3989" spans="1:5" x14ac:dyDescent="0.25">
      <c r="A3989" s="753">
        <v>405210</v>
      </c>
      <c r="B3989" s="130">
        <v>589381</v>
      </c>
      <c r="E3989" s="131"/>
    </row>
    <row r="3990" spans="1:5" x14ac:dyDescent="0.25">
      <c r="A3990" s="753">
        <v>405212</v>
      </c>
      <c r="B3990" s="130">
        <v>4565</v>
      </c>
      <c r="E3990" s="131"/>
    </row>
    <row r="3991" spans="1:5" x14ac:dyDescent="0.25">
      <c r="A3991" s="753">
        <v>405214</v>
      </c>
      <c r="B3991" s="130">
        <v>44938</v>
      </c>
      <c r="E3991" s="131"/>
    </row>
    <row r="3992" spans="1:5" x14ac:dyDescent="0.25">
      <c r="A3992" s="753">
        <v>405216</v>
      </c>
      <c r="B3992" s="130">
        <v>0</v>
      </c>
      <c r="E3992" s="131"/>
    </row>
    <row r="3993" spans="1:5" x14ac:dyDescent="0.25">
      <c r="A3993" s="753">
        <v>405218</v>
      </c>
      <c r="B3993" s="130">
        <v>0</v>
      </c>
      <c r="E3993" s="131"/>
    </row>
    <row r="3994" spans="1:5" x14ac:dyDescent="0.25">
      <c r="A3994" s="753">
        <v>405220</v>
      </c>
      <c r="B3994" s="130">
        <v>0</v>
      </c>
      <c r="E3994" s="131"/>
    </row>
    <row r="3995" spans="1:5" x14ac:dyDescent="0.25">
      <c r="A3995" s="753">
        <v>405222</v>
      </c>
      <c r="B3995" s="130">
        <v>0</v>
      </c>
      <c r="E3995" s="131"/>
    </row>
    <row r="3996" spans="1:5" x14ac:dyDescent="0.25">
      <c r="A3996" s="753">
        <v>405304</v>
      </c>
      <c r="B3996" s="130">
        <v>138807</v>
      </c>
      <c r="E3996" s="131"/>
    </row>
    <row r="3997" spans="1:5" x14ac:dyDescent="0.25">
      <c r="A3997" s="753">
        <v>405306</v>
      </c>
      <c r="B3997" s="130">
        <v>1121899</v>
      </c>
      <c r="E3997" s="131"/>
    </row>
    <row r="3998" spans="1:5" x14ac:dyDescent="0.25">
      <c r="A3998" s="753">
        <v>405308</v>
      </c>
      <c r="B3998" s="130">
        <v>70213</v>
      </c>
      <c r="E3998" s="131"/>
    </row>
    <row r="3999" spans="1:5" x14ac:dyDescent="0.25">
      <c r="A3999" s="753">
        <v>405310</v>
      </c>
      <c r="B3999" s="130">
        <v>623232</v>
      </c>
      <c r="E3999" s="131"/>
    </row>
    <row r="4000" spans="1:5" x14ac:dyDescent="0.25">
      <c r="A4000" s="753">
        <v>405312</v>
      </c>
      <c r="B4000" s="130">
        <v>4572</v>
      </c>
      <c r="E4000" s="131"/>
    </row>
    <row r="4001" spans="1:9" x14ac:dyDescent="0.25">
      <c r="A4001" s="753">
        <v>405314</v>
      </c>
      <c r="B4001" s="130">
        <v>45049</v>
      </c>
      <c r="E4001" s="131"/>
    </row>
    <row r="4002" spans="1:9" x14ac:dyDescent="0.25">
      <c r="A4002" s="753">
        <v>405316</v>
      </c>
      <c r="B4002" s="130">
        <v>0</v>
      </c>
      <c r="E4002" s="131"/>
    </row>
    <row r="4003" spans="1:9" x14ac:dyDescent="0.25">
      <c r="A4003" s="753">
        <v>405318</v>
      </c>
      <c r="B4003" s="130">
        <v>0</v>
      </c>
      <c r="E4003" s="131"/>
    </row>
    <row r="4004" spans="1:9" x14ac:dyDescent="0.25">
      <c r="A4004" s="753">
        <v>405320</v>
      </c>
      <c r="B4004" s="130">
        <v>0</v>
      </c>
      <c r="E4004" s="131"/>
    </row>
    <row r="4005" spans="1:9" x14ac:dyDescent="0.25">
      <c r="A4005" s="753">
        <v>405322</v>
      </c>
      <c r="B4005" s="130">
        <v>0</v>
      </c>
      <c r="E4005" s="131"/>
    </row>
    <row r="4006" spans="1:9" x14ac:dyDescent="0.25">
      <c r="A4006" s="753">
        <v>405604</v>
      </c>
      <c r="B4006" s="130">
        <v>0</v>
      </c>
      <c r="E4006" s="131"/>
    </row>
    <row r="4007" spans="1:9" x14ac:dyDescent="0.25">
      <c r="A4007" s="753">
        <v>405606</v>
      </c>
      <c r="B4007" s="130">
        <v>0</v>
      </c>
      <c r="E4007" s="131"/>
    </row>
    <row r="4008" spans="1:9" x14ac:dyDescent="0.25">
      <c r="A4008" s="753">
        <v>405608</v>
      </c>
      <c r="B4008" s="130">
        <v>0</v>
      </c>
      <c r="E4008" s="131"/>
    </row>
    <row r="4009" spans="1:9" x14ac:dyDescent="0.25">
      <c r="A4009" s="753">
        <v>405610</v>
      </c>
      <c r="B4009" s="130">
        <v>0</v>
      </c>
      <c r="E4009" s="131"/>
    </row>
    <row r="4010" spans="1:9" x14ac:dyDescent="0.25">
      <c r="A4010" s="753">
        <v>405612</v>
      </c>
      <c r="B4010" s="130">
        <v>0</v>
      </c>
      <c r="E4010" s="131"/>
    </row>
    <row r="4011" spans="1:9" x14ac:dyDescent="0.25">
      <c r="A4011" s="753">
        <v>405614</v>
      </c>
      <c r="B4011" s="130">
        <v>0</v>
      </c>
      <c r="E4011" s="131"/>
    </row>
    <row r="4012" spans="1:9" x14ac:dyDescent="0.25">
      <c r="A4012" s="753">
        <v>405616</v>
      </c>
      <c r="B4012" s="130">
        <v>0</v>
      </c>
      <c r="E4012" s="131"/>
    </row>
    <row r="4013" spans="1:9" x14ac:dyDescent="0.25">
      <c r="A4013" s="753">
        <v>405618</v>
      </c>
      <c r="B4013" s="130">
        <v>0</v>
      </c>
      <c r="E4013" s="131"/>
    </row>
    <row r="4014" spans="1:9" x14ac:dyDescent="0.25">
      <c r="A4014" s="753">
        <v>405620</v>
      </c>
      <c r="B4014" s="130">
        <v>0</v>
      </c>
      <c r="E4014" s="131"/>
    </row>
    <row r="4015" spans="1:9" x14ac:dyDescent="0.25">
      <c r="A4015" s="753">
        <v>405622</v>
      </c>
      <c r="B4015" s="130">
        <v>0</v>
      </c>
      <c r="E4015" s="131"/>
    </row>
    <row r="4016" spans="1:9" x14ac:dyDescent="0.25">
      <c r="A4016" s="753">
        <v>300404</v>
      </c>
      <c r="B4016" s="130">
        <v>30835</v>
      </c>
      <c r="C4016" s="131" t="s">
        <v>1283</v>
      </c>
      <c r="D4016" s="131">
        <v>16</v>
      </c>
      <c r="E4016" s="131" t="s">
        <v>1283</v>
      </c>
      <c r="F4016" s="767">
        <v>227623.56</v>
      </c>
      <c r="G4016" s="767">
        <v>30835.4</v>
      </c>
      <c r="H4016" s="767">
        <v>258458.96</v>
      </c>
      <c r="I4016" s="768" t="s">
        <v>1986</v>
      </c>
    </row>
    <row r="4017" spans="1:9" x14ac:dyDescent="0.25">
      <c r="A4017" s="753">
        <v>300406</v>
      </c>
      <c r="B4017" s="130">
        <v>258459</v>
      </c>
      <c r="C4017" s="131" t="s">
        <v>1283</v>
      </c>
      <c r="D4017" s="131">
        <v>16</v>
      </c>
      <c r="E4017" s="131" t="s">
        <v>1283</v>
      </c>
      <c r="F4017" s="767">
        <v>227623.56</v>
      </c>
      <c r="G4017" s="767">
        <v>30835.4</v>
      </c>
      <c r="H4017" s="767">
        <v>258458.96</v>
      </c>
      <c r="I4017" s="768" t="s">
        <v>1986</v>
      </c>
    </row>
    <row r="4018" spans="1:9" x14ac:dyDescent="0.25">
      <c r="A4018" s="753">
        <v>300408</v>
      </c>
      <c r="B4018" s="130">
        <v>9253</v>
      </c>
      <c r="C4018" s="131" t="s">
        <v>1284</v>
      </c>
      <c r="D4018" s="131">
        <v>16</v>
      </c>
      <c r="E4018" s="131" t="s">
        <v>1284</v>
      </c>
      <c r="F4018" s="767">
        <v>103206.32</v>
      </c>
      <c r="G4018" s="767">
        <v>9252.92</v>
      </c>
      <c r="H4018" s="767">
        <v>112459.24</v>
      </c>
      <c r="I4018" s="768" t="s">
        <v>1987</v>
      </c>
    </row>
    <row r="4019" spans="1:9" x14ac:dyDescent="0.25">
      <c r="A4019" s="753">
        <v>300410</v>
      </c>
      <c r="B4019" s="130">
        <v>112459</v>
      </c>
      <c r="C4019" s="131" t="s">
        <v>1284</v>
      </c>
      <c r="D4019" s="131">
        <v>16</v>
      </c>
      <c r="E4019" s="131" t="s">
        <v>1284</v>
      </c>
      <c r="F4019" s="767">
        <v>103206.32</v>
      </c>
      <c r="G4019" s="767">
        <v>9252.92</v>
      </c>
      <c r="H4019" s="767">
        <v>112459.24</v>
      </c>
      <c r="I4019" s="768" t="s">
        <v>1987</v>
      </c>
    </row>
    <row r="4020" spans="1:9" x14ac:dyDescent="0.25">
      <c r="A4020" s="753">
        <v>300412</v>
      </c>
      <c r="B4020" s="130">
        <v>0</v>
      </c>
      <c r="E4020" s="131"/>
    </row>
    <row r="4021" spans="1:9" x14ac:dyDescent="0.25">
      <c r="A4021" s="753">
        <v>300414</v>
      </c>
      <c r="B4021" s="130">
        <v>0</v>
      </c>
      <c r="E4021" s="131"/>
    </row>
    <row r="4022" spans="1:9" x14ac:dyDescent="0.25">
      <c r="A4022" s="753">
        <v>300416</v>
      </c>
      <c r="B4022" s="130">
        <v>0</v>
      </c>
      <c r="E4022" s="131"/>
    </row>
    <row r="4023" spans="1:9" x14ac:dyDescent="0.25">
      <c r="A4023" s="753">
        <v>300418</v>
      </c>
      <c r="B4023" s="130">
        <v>0</v>
      </c>
      <c r="E4023" s="131"/>
    </row>
    <row r="4024" spans="1:9" x14ac:dyDescent="0.25">
      <c r="A4024" s="753">
        <v>300504</v>
      </c>
      <c r="B4024" s="130">
        <v>7930</v>
      </c>
      <c r="C4024" s="131" t="s">
        <v>1285</v>
      </c>
      <c r="D4024" s="131">
        <v>16</v>
      </c>
      <c r="E4024" s="131" t="s">
        <v>1285</v>
      </c>
      <c r="F4024" s="767">
        <v>114834.14</v>
      </c>
      <c r="G4024" s="767">
        <v>7929.64</v>
      </c>
      <c r="H4024" s="767">
        <v>122763.78</v>
      </c>
      <c r="I4024" s="768" t="s">
        <v>1988</v>
      </c>
    </row>
    <row r="4025" spans="1:9" x14ac:dyDescent="0.25">
      <c r="A4025" s="753">
        <v>300506</v>
      </c>
      <c r="B4025" s="130">
        <v>122764</v>
      </c>
      <c r="C4025" s="131" t="s">
        <v>1285</v>
      </c>
      <c r="D4025" s="131">
        <v>16</v>
      </c>
      <c r="E4025" s="131" t="s">
        <v>1285</v>
      </c>
      <c r="F4025" s="767">
        <v>114834.14</v>
      </c>
      <c r="G4025" s="767">
        <v>7929.64</v>
      </c>
      <c r="H4025" s="767">
        <v>122763.78</v>
      </c>
      <c r="I4025" s="768" t="s">
        <v>1988</v>
      </c>
    </row>
    <row r="4026" spans="1:9" x14ac:dyDescent="0.25">
      <c r="A4026" s="753">
        <v>300508</v>
      </c>
      <c r="B4026" s="130">
        <v>5552</v>
      </c>
      <c r="C4026" s="131" t="s">
        <v>1286</v>
      </c>
      <c r="D4026" s="131">
        <v>16</v>
      </c>
      <c r="E4026" s="131" t="s">
        <v>1286</v>
      </c>
      <c r="F4026" s="767">
        <v>73288.28</v>
      </c>
      <c r="G4026" s="767">
        <v>5552.06</v>
      </c>
      <c r="H4026" s="767">
        <v>78840.34</v>
      </c>
      <c r="I4026" s="768" t="s">
        <v>1989</v>
      </c>
    </row>
    <row r="4027" spans="1:9" x14ac:dyDescent="0.25">
      <c r="A4027" s="753">
        <v>300510</v>
      </c>
      <c r="B4027" s="130">
        <v>78840</v>
      </c>
      <c r="C4027" s="131" t="s">
        <v>1286</v>
      </c>
      <c r="D4027" s="131">
        <v>16</v>
      </c>
      <c r="E4027" s="131" t="s">
        <v>1286</v>
      </c>
      <c r="F4027" s="767">
        <v>73288.28</v>
      </c>
      <c r="G4027" s="767">
        <v>5552.06</v>
      </c>
      <c r="H4027" s="767">
        <v>78840.34</v>
      </c>
      <c r="I4027" s="768" t="s">
        <v>1989</v>
      </c>
    </row>
    <row r="4028" spans="1:9" x14ac:dyDescent="0.25">
      <c r="A4028" s="753">
        <v>300512</v>
      </c>
      <c r="B4028" s="130">
        <v>0</v>
      </c>
      <c r="E4028" s="131"/>
    </row>
    <row r="4029" spans="1:9" x14ac:dyDescent="0.25">
      <c r="A4029" s="753">
        <v>300514</v>
      </c>
      <c r="B4029" s="130">
        <v>0</v>
      </c>
      <c r="E4029" s="131"/>
    </row>
    <row r="4030" spans="1:9" x14ac:dyDescent="0.25">
      <c r="A4030" s="753">
        <v>300516</v>
      </c>
      <c r="B4030" s="130">
        <v>0</v>
      </c>
      <c r="E4030" s="131"/>
    </row>
    <row r="4031" spans="1:9" x14ac:dyDescent="0.25">
      <c r="A4031" s="753">
        <v>300518</v>
      </c>
      <c r="B4031" s="130">
        <v>0</v>
      </c>
      <c r="E4031" s="131"/>
    </row>
    <row r="4032" spans="1:9" x14ac:dyDescent="0.25">
      <c r="A4032" s="753">
        <v>300604</v>
      </c>
      <c r="B4032" s="130">
        <v>4722</v>
      </c>
      <c r="C4032" s="131" t="s">
        <v>1287</v>
      </c>
      <c r="D4032" s="131">
        <v>16</v>
      </c>
      <c r="E4032" s="131" t="s">
        <v>1287</v>
      </c>
      <c r="F4032" s="767">
        <v>24040.43</v>
      </c>
      <c r="G4032" s="767">
        <v>2895.99</v>
      </c>
      <c r="H4032" s="767">
        <v>26936.42</v>
      </c>
      <c r="I4032" s="768" t="s">
        <v>1990</v>
      </c>
    </row>
    <row r="4033" spans="1:9" x14ac:dyDescent="0.25">
      <c r="A4033" s="753"/>
      <c r="C4033" s="131" t="s">
        <v>1287</v>
      </c>
      <c r="D4033" s="131">
        <v>16</v>
      </c>
      <c r="E4033" s="131" t="s">
        <v>1290</v>
      </c>
      <c r="F4033" s="767">
        <v>10963.42</v>
      </c>
      <c r="G4033" s="767">
        <v>1826.07</v>
      </c>
      <c r="H4033" s="767">
        <v>12789.49</v>
      </c>
      <c r="I4033" s="768" t="s">
        <v>1991</v>
      </c>
    </row>
    <row r="4034" spans="1:9" x14ac:dyDescent="0.25">
      <c r="A4034" s="753">
        <v>300606</v>
      </c>
      <c r="B4034" s="130">
        <v>39726</v>
      </c>
      <c r="C4034" s="131" t="s">
        <v>1287</v>
      </c>
      <c r="D4034" s="131">
        <v>16</v>
      </c>
      <c r="E4034" s="131" t="s">
        <v>1287</v>
      </c>
      <c r="F4034" s="767">
        <v>24040.43</v>
      </c>
      <c r="G4034" s="767">
        <v>2895.99</v>
      </c>
      <c r="H4034" s="767">
        <v>26936.42</v>
      </c>
      <c r="I4034" s="768" t="s">
        <v>1990</v>
      </c>
    </row>
    <row r="4035" spans="1:9" x14ac:dyDescent="0.25">
      <c r="A4035" s="753"/>
      <c r="C4035" s="131" t="s">
        <v>1287</v>
      </c>
      <c r="D4035" s="131">
        <v>16</v>
      </c>
      <c r="E4035" s="131" t="s">
        <v>1290</v>
      </c>
      <c r="F4035" s="767">
        <v>10963.42</v>
      </c>
      <c r="G4035" s="767">
        <v>1826.07</v>
      </c>
      <c r="H4035" s="767">
        <v>12789.49</v>
      </c>
      <c r="I4035" s="768" t="s">
        <v>1991</v>
      </c>
    </row>
    <row r="4036" spans="1:9" x14ac:dyDescent="0.25">
      <c r="A4036" s="753">
        <v>300608</v>
      </c>
      <c r="B4036" s="130">
        <v>3121</v>
      </c>
      <c r="C4036" s="131" t="s">
        <v>1289</v>
      </c>
      <c r="D4036" s="131">
        <v>16</v>
      </c>
      <c r="E4036" s="131" t="s">
        <v>1289</v>
      </c>
      <c r="F4036" s="767">
        <v>14505.97</v>
      </c>
      <c r="G4036" s="767">
        <v>1357.41</v>
      </c>
      <c r="H4036" s="767">
        <v>15863.38</v>
      </c>
      <c r="I4036" s="768" t="s">
        <v>1992</v>
      </c>
    </row>
    <row r="4037" spans="1:9" x14ac:dyDescent="0.25">
      <c r="A4037" s="753"/>
      <c r="C4037" s="131" t="s">
        <v>1289</v>
      </c>
      <c r="D4037" s="131">
        <v>16</v>
      </c>
      <c r="E4037" s="131" t="s">
        <v>1288</v>
      </c>
      <c r="F4037" s="767">
        <v>15976.3</v>
      </c>
      <c r="G4037" s="767">
        <v>1763.27</v>
      </c>
      <c r="H4037" s="767">
        <v>17739.57</v>
      </c>
      <c r="I4037" s="768" t="s">
        <v>1993</v>
      </c>
    </row>
    <row r="4038" spans="1:9" x14ac:dyDescent="0.25">
      <c r="A4038" s="753">
        <v>300610</v>
      </c>
      <c r="B4038" s="130">
        <v>33603</v>
      </c>
      <c r="C4038" s="131" t="s">
        <v>1289</v>
      </c>
      <c r="D4038" s="131">
        <v>16</v>
      </c>
      <c r="E4038" s="131" t="s">
        <v>1289</v>
      </c>
      <c r="F4038" s="767">
        <v>14505.97</v>
      </c>
      <c r="G4038" s="767">
        <v>1357.41</v>
      </c>
      <c r="H4038" s="767">
        <v>15863.38</v>
      </c>
      <c r="I4038" s="768" t="s">
        <v>1992</v>
      </c>
    </row>
    <row r="4039" spans="1:9" x14ac:dyDescent="0.25">
      <c r="A4039" s="753"/>
      <c r="C4039" s="131" t="s">
        <v>1289</v>
      </c>
      <c r="D4039" s="131">
        <v>16</v>
      </c>
      <c r="E4039" s="131" t="s">
        <v>1288</v>
      </c>
      <c r="F4039" s="767">
        <v>15976.3</v>
      </c>
      <c r="G4039" s="767">
        <v>1763.27</v>
      </c>
      <c r="H4039" s="767">
        <v>17739.57</v>
      </c>
      <c r="I4039" s="768" t="s">
        <v>1993</v>
      </c>
    </row>
    <row r="4040" spans="1:9" x14ac:dyDescent="0.25">
      <c r="A4040" s="753">
        <v>300612</v>
      </c>
      <c r="B4040" s="130">
        <v>0</v>
      </c>
      <c r="E4040" s="131"/>
    </row>
    <row r="4041" spans="1:9" x14ac:dyDescent="0.25">
      <c r="A4041" s="753">
        <v>300614</v>
      </c>
      <c r="B4041" s="130">
        <v>0</v>
      </c>
      <c r="E4041" s="131"/>
    </row>
    <row r="4042" spans="1:9" x14ac:dyDescent="0.25">
      <c r="A4042" s="753">
        <v>300616</v>
      </c>
      <c r="B4042" s="130">
        <v>0</v>
      </c>
      <c r="E4042" s="131"/>
    </row>
    <row r="4043" spans="1:9" x14ac:dyDescent="0.25">
      <c r="A4043" s="753">
        <v>300618</v>
      </c>
      <c r="B4043" s="130">
        <v>0</v>
      </c>
      <c r="E4043" s="131"/>
    </row>
    <row r="4044" spans="1:9" x14ac:dyDescent="0.25">
      <c r="A4044" s="753">
        <v>300704</v>
      </c>
      <c r="B4044" s="130">
        <v>23986</v>
      </c>
      <c r="C4044" s="131" t="s">
        <v>1291</v>
      </c>
      <c r="D4044" s="131">
        <v>16</v>
      </c>
      <c r="E4044" s="131" t="s">
        <v>1291</v>
      </c>
      <c r="F4044" s="767">
        <v>136238.51</v>
      </c>
      <c r="G4044" s="767">
        <v>23986.25</v>
      </c>
      <c r="H4044" s="767">
        <v>160224.76</v>
      </c>
      <c r="I4044" s="768" t="s">
        <v>1994</v>
      </c>
    </row>
    <row r="4045" spans="1:9" x14ac:dyDescent="0.25">
      <c r="A4045" s="753">
        <v>300706</v>
      </c>
      <c r="B4045" s="130">
        <v>160225</v>
      </c>
      <c r="C4045" s="131" t="s">
        <v>1291</v>
      </c>
      <c r="D4045" s="131">
        <v>16</v>
      </c>
      <c r="E4045" s="131" t="s">
        <v>1291</v>
      </c>
      <c r="F4045" s="767">
        <v>136238.51</v>
      </c>
      <c r="G4045" s="767">
        <v>23986.25</v>
      </c>
      <c r="H4045" s="767">
        <v>160224.76</v>
      </c>
      <c r="I4045" s="768" t="s">
        <v>1994</v>
      </c>
    </row>
    <row r="4046" spans="1:9" x14ac:dyDescent="0.25">
      <c r="A4046" s="753">
        <v>300708</v>
      </c>
      <c r="B4046" s="130">
        <v>10250</v>
      </c>
      <c r="C4046" s="131" t="s">
        <v>1292</v>
      </c>
      <c r="D4046" s="131">
        <v>16</v>
      </c>
      <c r="E4046" s="131" t="s">
        <v>1292</v>
      </c>
      <c r="F4046" s="767">
        <v>69435.7</v>
      </c>
      <c r="G4046" s="767">
        <v>10250.31</v>
      </c>
      <c r="H4046" s="767">
        <v>79686.009999999995</v>
      </c>
      <c r="I4046" s="768" t="s">
        <v>1995</v>
      </c>
    </row>
    <row r="4047" spans="1:9" x14ac:dyDescent="0.25">
      <c r="A4047" s="753">
        <v>300710</v>
      </c>
      <c r="B4047" s="130">
        <v>79686</v>
      </c>
      <c r="C4047" s="131" t="s">
        <v>1292</v>
      </c>
      <c r="D4047" s="131">
        <v>16</v>
      </c>
      <c r="E4047" s="131" t="s">
        <v>1292</v>
      </c>
      <c r="F4047" s="767">
        <v>69435.7</v>
      </c>
      <c r="G4047" s="767">
        <v>10250.31</v>
      </c>
      <c r="H4047" s="767">
        <v>79686.009999999995</v>
      </c>
      <c r="I4047" s="768" t="s">
        <v>1995</v>
      </c>
    </row>
    <row r="4048" spans="1:9" x14ac:dyDescent="0.25">
      <c r="A4048" s="753">
        <v>300712</v>
      </c>
      <c r="B4048" s="130">
        <v>0</v>
      </c>
      <c r="E4048" s="131"/>
    </row>
    <row r="4049" spans="1:9" x14ac:dyDescent="0.25">
      <c r="A4049" s="753">
        <v>300714</v>
      </c>
      <c r="B4049" s="130">
        <v>0</v>
      </c>
      <c r="E4049" s="131"/>
    </row>
    <row r="4050" spans="1:9" x14ac:dyDescent="0.25">
      <c r="A4050" s="753">
        <v>300716</v>
      </c>
      <c r="B4050" s="130">
        <v>0</v>
      </c>
      <c r="E4050" s="131"/>
    </row>
    <row r="4051" spans="1:9" x14ac:dyDescent="0.25">
      <c r="A4051" s="753">
        <v>300718</v>
      </c>
      <c r="B4051" s="130">
        <v>0</v>
      </c>
      <c r="E4051" s="131"/>
    </row>
    <row r="4052" spans="1:9" x14ac:dyDescent="0.25">
      <c r="A4052" s="753">
        <v>300804</v>
      </c>
      <c r="B4052" s="130">
        <v>315</v>
      </c>
      <c r="C4052" s="131" t="s">
        <v>1293</v>
      </c>
      <c r="D4052" s="131">
        <v>16</v>
      </c>
      <c r="E4052" s="131" t="s">
        <v>1293</v>
      </c>
      <c r="F4052" s="767">
        <v>-4303.45</v>
      </c>
      <c r="G4052" s="767">
        <v>315</v>
      </c>
      <c r="H4052" s="767">
        <v>-3988.45</v>
      </c>
      <c r="I4052" s="768" t="s">
        <v>1996</v>
      </c>
    </row>
    <row r="4053" spans="1:9" x14ac:dyDescent="0.25">
      <c r="A4053" s="753">
        <v>300806</v>
      </c>
      <c r="B4053" s="130">
        <v>-3988</v>
      </c>
      <c r="C4053" s="131" t="s">
        <v>1293</v>
      </c>
      <c r="D4053" s="131">
        <v>16</v>
      </c>
      <c r="E4053" s="131" t="s">
        <v>1293</v>
      </c>
      <c r="F4053" s="767">
        <v>-4303.45</v>
      </c>
      <c r="G4053" s="767">
        <v>315</v>
      </c>
      <c r="H4053" s="767">
        <v>-3988.45</v>
      </c>
      <c r="I4053" s="768" t="s">
        <v>1996</v>
      </c>
    </row>
    <row r="4054" spans="1:9" x14ac:dyDescent="0.25">
      <c r="A4054" s="753">
        <v>300808</v>
      </c>
      <c r="B4054" s="130">
        <v>0</v>
      </c>
      <c r="E4054" s="131"/>
    </row>
    <row r="4055" spans="1:9" x14ac:dyDescent="0.25">
      <c r="A4055" s="753">
        <v>300810</v>
      </c>
      <c r="B4055" s="130">
        <v>0</v>
      </c>
      <c r="E4055" s="131"/>
    </row>
    <row r="4056" spans="1:9" x14ac:dyDescent="0.25">
      <c r="A4056" s="753">
        <v>300812</v>
      </c>
      <c r="B4056" s="130">
        <v>0</v>
      </c>
      <c r="E4056" s="131"/>
    </row>
    <row r="4057" spans="1:9" x14ac:dyDescent="0.25">
      <c r="A4057" s="753">
        <v>300814</v>
      </c>
      <c r="B4057" s="130">
        <v>0</v>
      </c>
      <c r="E4057" s="131"/>
    </row>
    <row r="4058" spans="1:9" x14ac:dyDescent="0.25">
      <c r="A4058" s="753">
        <v>300816</v>
      </c>
      <c r="B4058" s="130">
        <v>0</v>
      </c>
      <c r="E4058" s="131"/>
    </row>
    <row r="4059" spans="1:9" x14ac:dyDescent="0.25">
      <c r="A4059" s="753">
        <v>300818</v>
      </c>
      <c r="B4059" s="130">
        <v>0</v>
      </c>
      <c r="E4059" s="131"/>
    </row>
    <row r="4060" spans="1:9" x14ac:dyDescent="0.25">
      <c r="A4060" s="753">
        <v>300904</v>
      </c>
      <c r="B4060" s="130">
        <v>2300</v>
      </c>
      <c r="C4060" s="131" t="s">
        <v>1294</v>
      </c>
      <c r="D4060" s="131">
        <v>16</v>
      </c>
      <c r="E4060" s="131" t="s">
        <v>1294</v>
      </c>
      <c r="F4060" s="767">
        <v>-18400</v>
      </c>
      <c r="G4060" s="767">
        <v>-2300</v>
      </c>
      <c r="H4060" s="767">
        <v>-20700</v>
      </c>
      <c r="I4060" s="768" t="s">
        <v>1997</v>
      </c>
    </row>
    <row r="4061" spans="1:9" x14ac:dyDescent="0.25">
      <c r="A4061" s="753">
        <v>300906</v>
      </c>
      <c r="B4061" s="130">
        <v>20700</v>
      </c>
      <c r="C4061" s="131" t="s">
        <v>1294</v>
      </c>
      <c r="D4061" s="131">
        <v>16</v>
      </c>
      <c r="E4061" s="131" t="s">
        <v>1294</v>
      </c>
      <c r="F4061" s="767">
        <v>-18400</v>
      </c>
      <c r="G4061" s="767">
        <v>-2300</v>
      </c>
      <c r="H4061" s="767">
        <v>-20700</v>
      </c>
      <c r="I4061" s="768" t="s">
        <v>1997</v>
      </c>
    </row>
    <row r="4062" spans="1:9" x14ac:dyDescent="0.25">
      <c r="A4062" s="753">
        <v>300908</v>
      </c>
      <c r="B4062" s="130">
        <v>1200</v>
      </c>
      <c r="C4062" s="131" t="s">
        <v>1295</v>
      </c>
      <c r="D4062" s="131">
        <v>16</v>
      </c>
      <c r="E4062" s="131" t="s">
        <v>1295</v>
      </c>
      <c r="F4062" s="767">
        <v>-13200</v>
      </c>
      <c r="G4062" s="767">
        <v>-1200</v>
      </c>
      <c r="H4062" s="767">
        <v>-14400</v>
      </c>
      <c r="I4062" s="768" t="s">
        <v>1998</v>
      </c>
    </row>
    <row r="4063" spans="1:9" x14ac:dyDescent="0.25">
      <c r="A4063" s="753">
        <v>300910</v>
      </c>
      <c r="B4063" s="130">
        <v>14400</v>
      </c>
      <c r="C4063" s="131" t="s">
        <v>1295</v>
      </c>
      <c r="D4063" s="131">
        <v>16</v>
      </c>
      <c r="E4063" s="131" t="s">
        <v>1295</v>
      </c>
      <c r="F4063" s="767">
        <v>-13200</v>
      </c>
      <c r="G4063" s="767">
        <v>-1200</v>
      </c>
      <c r="H4063" s="767">
        <v>-14400</v>
      </c>
      <c r="I4063" s="768" t="s">
        <v>1998</v>
      </c>
    </row>
    <row r="4064" spans="1:9" x14ac:dyDescent="0.25">
      <c r="A4064" s="753">
        <v>300912</v>
      </c>
      <c r="B4064" s="130">
        <v>0</v>
      </c>
      <c r="E4064" s="131"/>
    </row>
    <row r="4065" spans="1:9" x14ac:dyDescent="0.25">
      <c r="A4065" s="753">
        <v>300914</v>
      </c>
      <c r="B4065" s="130">
        <v>0</v>
      </c>
      <c r="E4065" s="131"/>
    </row>
    <row r="4066" spans="1:9" x14ac:dyDescent="0.25">
      <c r="A4066" s="753">
        <v>300916</v>
      </c>
      <c r="B4066" s="130">
        <v>0</v>
      </c>
      <c r="E4066" s="131"/>
    </row>
    <row r="4067" spans="1:9" x14ac:dyDescent="0.25">
      <c r="A4067" s="753">
        <v>300918</v>
      </c>
      <c r="B4067" s="130">
        <v>0</v>
      </c>
      <c r="E4067" s="131"/>
    </row>
    <row r="4068" spans="1:9" x14ac:dyDescent="0.25">
      <c r="A4068" s="753">
        <v>301004</v>
      </c>
      <c r="B4068" s="130">
        <v>15066</v>
      </c>
      <c r="C4068" s="131" t="s">
        <v>1296</v>
      </c>
      <c r="D4068" s="131">
        <v>16</v>
      </c>
      <c r="E4068" s="131" t="s">
        <v>1296</v>
      </c>
      <c r="F4068" s="767">
        <v>286415.8</v>
      </c>
      <c r="G4068" s="767">
        <v>18445.12</v>
      </c>
      <c r="H4068" s="767">
        <v>304860.92</v>
      </c>
      <c r="I4068" s="768" t="s">
        <v>1999</v>
      </c>
    </row>
    <row r="4069" spans="1:9" x14ac:dyDescent="0.25">
      <c r="A4069" s="753"/>
      <c r="C4069" s="131" t="s">
        <v>1296</v>
      </c>
      <c r="D4069" s="131">
        <v>16</v>
      </c>
      <c r="E4069" s="131" t="s">
        <v>1297</v>
      </c>
      <c r="F4069" s="767">
        <v>-58130.98</v>
      </c>
      <c r="G4069" s="767">
        <v>-3379.51</v>
      </c>
      <c r="H4069" s="767">
        <v>-61510.49</v>
      </c>
      <c r="I4069" s="768" t="s">
        <v>2000</v>
      </c>
    </row>
    <row r="4070" spans="1:9" x14ac:dyDescent="0.25">
      <c r="A4070" s="753">
        <v>301006</v>
      </c>
      <c r="B4070" s="130">
        <v>243350</v>
      </c>
      <c r="C4070" s="131" t="s">
        <v>1296</v>
      </c>
      <c r="D4070" s="131">
        <v>16</v>
      </c>
      <c r="E4070" s="131" t="s">
        <v>1296</v>
      </c>
      <c r="F4070" s="767">
        <v>286415.8</v>
      </c>
      <c r="G4070" s="767">
        <v>18445.12</v>
      </c>
      <c r="H4070" s="767">
        <v>304860.92</v>
      </c>
      <c r="I4070" s="768" t="s">
        <v>1999</v>
      </c>
    </row>
    <row r="4071" spans="1:9" x14ac:dyDescent="0.25">
      <c r="A4071" s="753"/>
      <c r="C4071" s="131" t="s">
        <v>1296</v>
      </c>
      <c r="D4071" s="131">
        <v>16</v>
      </c>
      <c r="E4071" s="131" t="s">
        <v>1297</v>
      </c>
      <c r="F4071" s="767">
        <v>-58130.98</v>
      </c>
      <c r="G4071" s="767">
        <v>-3379.51</v>
      </c>
      <c r="H4071" s="767">
        <v>-61510.49</v>
      </c>
      <c r="I4071" s="768" t="s">
        <v>2000</v>
      </c>
    </row>
    <row r="4072" spans="1:9" x14ac:dyDescent="0.25">
      <c r="A4072" s="753">
        <v>301008</v>
      </c>
      <c r="B4072" s="130">
        <v>4898</v>
      </c>
      <c r="C4072" s="131" t="s">
        <v>1298</v>
      </c>
      <c r="D4072" s="131">
        <v>16</v>
      </c>
      <c r="E4072" s="131" t="s">
        <v>1298</v>
      </c>
      <c r="F4072" s="767">
        <v>68990.960000000006</v>
      </c>
      <c r="G4072" s="767">
        <v>4897.59</v>
      </c>
      <c r="H4072" s="767">
        <v>73888.55</v>
      </c>
      <c r="I4072" s="768" t="s">
        <v>2001</v>
      </c>
    </row>
    <row r="4073" spans="1:9" x14ac:dyDescent="0.25">
      <c r="A4073" s="753">
        <v>301010</v>
      </c>
      <c r="B4073" s="130">
        <v>73889</v>
      </c>
      <c r="C4073" s="131" t="s">
        <v>1298</v>
      </c>
      <c r="D4073" s="131">
        <v>16</v>
      </c>
      <c r="E4073" s="131" t="s">
        <v>1298</v>
      </c>
      <c r="F4073" s="767">
        <v>68990.960000000006</v>
      </c>
      <c r="G4073" s="767">
        <v>4897.59</v>
      </c>
      <c r="H4073" s="767">
        <v>73888.55</v>
      </c>
      <c r="I4073" s="768" t="s">
        <v>2001</v>
      </c>
    </row>
    <row r="4074" spans="1:9" x14ac:dyDescent="0.25">
      <c r="A4074" s="753">
        <v>301012</v>
      </c>
      <c r="B4074" s="130">
        <v>0</v>
      </c>
      <c r="E4074" s="131"/>
    </row>
    <row r="4075" spans="1:9" x14ac:dyDescent="0.25">
      <c r="A4075" s="753">
        <v>301014</v>
      </c>
      <c r="B4075" s="130">
        <v>0</v>
      </c>
      <c r="E4075" s="131"/>
    </row>
    <row r="4076" spans="1:9" x14ac:dyDescent="0.25">
      <c r="A4076" s="753">
        <v>301016</v>
      </c>
      <c r="B4076" s="130">
        <v>0</v>
      </c>
      <c r="E4076" s="131"/>
    </row>
    <row r="4077" spans="1:9" x14ac:dyDescent="0.25">
      <c r="A4077" s="753">
        <v>301018</v>
      </c>
      <c r="B4077" s="130">
        <v>0</v>
      </c>
      <c r="E4077" s="131"/>
    </row>
    <row r="4078" spans="1:9" x14ac:dyDescent="0.25">
      <c r="A4078" s="753">
        <v>301104</v>
      </c>
      <c r="B4078" s="130">
        <v>0</v>
      </c>
      <c r="E4078" s="131"/>
    </row>
    <row r="4079" spans="1:9" x14ac:dyDescent="0.25">
      <c r="A4079" s="753">
        <v>301106</v>
      </c>
      <c r="B4079" s="130">
        <v>0</v>
      </c>
      <c r="E4079" s="131"/>
    </row>
    <row r="4080" spans="1:9" x14ac:dyDescent="0.25">
      <c r="A4080" s="753">
        <v>301108</v>
      </c>
      <c r="B4080" s="130">
        <v>0</v>
      </c>
      <c r="E4080" s="131"/>
    </row>
    <row r="4081" spans="1:9" x14ac:dyDescent="0.25">
      <c r="A4081" s="753">
        <v>301110</v>
      </c>
      <c r="B4081" s="130">
        <v>0</v>
      </c>
      <c r="E4081" s="131"/>
    </row>
    <row r="4082" spans="1:9" x14ac:dyDescent="0.25">
      <c r="A4082" s="753">
        <v>301112</v>
      </c>
      <c r="B4082" s="130">
        <v>0</v>
      </c>
      <c r="E4082" s="131"/>
    </row>
    <row r="4083" spans="1:9" x14ac:dyDescent="0.25">
      <c r="A4083" s="753">
        <v>301114</v>
      </c>
      <c r="B4083" s="130">
        <v>0</v>
      </c>
      <c r="E4083" s="131"/>
    </row>
    <row r="4084" spans="1:9" x14ac:dyDescent="0.25">
      <c r="A4084" s="753">
        <v>301116</v>
      </c>
      <c r="B4084" s="130">
        <v>0</v>
      </c>
      <c r="E4084" s="131"/>
    </row>
    <row r="4085" spans="1:9" x14ac:dyDescent="0.25">
      <c r="A4085" s="753">
        <v>301118</v>
      </c>
      <c r="B4085" s="130">
        <v>0</v>
      </c>
      <c r="E4085" s="131"/>
    </row>
    <row r="4086" spans="1:9" x14ac:dyDescent="0.25">
      <c r="A4086" s="753">
        <v>301204</v>
      </c>
      <c r="B4086" s="130">
        <v>80554</v>
      </c>
      <c r="E4086" s="131"/>
    </row>
    <row r="4087" spans="1:9" x14ac:dyDescent="0.25">
      <c r="A4087" s="753">
        <v>301206</v>
      </c>
      <c r="B4087" s="130">
        <v>799836</v>
      </c>
      <c r="E4087" s="131"/>
    </row>
    <row r="4088" spans="1:9" x14ac:dyDescent="0.25">
      <c r="A4088" s="753">
        <v>301208</v>
      </c>
      <c r="B4088" s="130">
        <v>31874</v>
      </c>
      <c r="E4088" s="131"/>
    </row>
    <row r="4089" spans="1:9" x14ac:dyDescent="0.25">
      <c r="A4089" s="753">
        <v>301210</v>
      </c>
      <c r="B4089" s="130">
        <v>364077</v>
      </c>
      <c r="E4089" s="131"/>
    </row>
    <row r="4090" spans="1:9" x14ac:dyDescent="0.25">
      <c r="A4090" s="753">
        <v>301212</v>
      </c>
      <c r="B4090" s="130">
        <v>0</v>
      </c>
      <c r="E4090" s="131"/>
    </row>
    <row r="4091" spans="1:9" x14ac:dyDescent="0.25">
      <c r="A4091" s="753">
        <v>301214</v>
      </c>
      <c r="B4091" s="130">
        <v>0</v>
      </c>
      <c r="E4091" s="131"/>
    </row>
    <row r="4092" spans="1:9" x14ac:dyDescent="0.25">
      <c r="A4092" s="753">
        <v>301216</v>
      </c>
      <c r="B4092" s="130">
        <v>0</v>
      </c>
      <c r="E4092" s="131"/>
    </row>
    <row r="4093" spans="1:9" x14ac:dyDescent="0.25">
      <c r="A4093" s="753">
        <v>301218</v>
      </c>
      <c r="B4093" s="130">
        <v>0</v>
      </c>
      <c r="E4093" s="131"/>
    </row>
    <row r="4094" spans="1:9" x14ac:dyDescent="0.25">
      <c r="A4094" s="753">
        <v>301304</v>
      </c>
      <c r="B4094" s="130">
        <v>7029</v>
      </c>
      <c r="C4094" s="131" t="s">
        <v>1299</v>
      </c>
      <c r="D4094" s="131">
        <v>16</v>
      </c>
      <c r="E4094" s="131" t="s">
        <v>1299</v>
      </c>
      <c r="F4094" s="767">
        <v>53321</v>
      </c>
      <c r="G4094" s="767">
        <v>7029.41</v>
      </c>
      <c r="H4094" s="767">
        <v>60350.41</v>
      </c>
      <c r="I4094" s="768" t="s">
        <v>2002</v>
      </c>
    </row>
    <row r="4095" spans="1:9" x14ac:dyDescent="0.25">
      <c r="A4095" s="753">
        <v>301306</v>
      </c>
      <c r="B4095" s="130">
        <v>60350</v>
      </c>
      <c r="C4095" s="131" t="s">
        <v>1299</v>
      </c>
      <c r="D4095" s="131">
        <v>16</v>
      </c>
      <c r="E4095" s="131" t="s">
        <v>1299</v>
      </c>
      <c r="F4095" s="767">
        <v>53321</v>
      </c>
      <c r="G4095" s="767">
        <v>7029.41</v>
      </c>
      <c r="H4095" s="767">
        <v>60350.41</v>
      </c>
      <c r="I4095" s="768" t="s">
        <v>2002</v>
      </c>
    </row>
    <row r="4096" spans="1:9" x14ac:dyDescent="0.25">
      <c r="A4096" s="753">
        <v>301308</v>
      </c>
      <c r="B4096" s="130">
        <v>1562</v>
      </c>
      <c r="C4096" s="131" t="s">
        <v>1300</v>
      </c>
      <c r="D4096" s="131">
        <v>16</v>
      </c>
      <c r="E4096" s="131" t="s">
        <v>1300</v>
      </c>
      <c r="F4096" s="767">
        <v>11849.1</v>
      </c>
      <c r="G4096" s="767">
        <v>1562.11</v>
      </c>
      <c r="H4096" s="767">
        <v>13411.21</v>
      </c>
      <c r="I4096" s="768" t="s">
        <v>2003</v>
      </c>
    </row>
    <row r="4097" spans="1:9" x14ac:dyDescent="0.25">
      <c r="A4097" s="753">
        <v>301310</v>
      </c>
      <c r="B4097" s="130">
        <v>13411</v>
      </c>
      <c r="C4097" s="131" t="s">
        <v>1300</v>
      </c>
      <c r="D4097" s="131">
        <v>16</v>
      </c>
      <c r="E4097" s="131" t="s">
        <v>1300</v>
      </c>
      <c r="F4097" s="767">
        <v>11849.1</v>
      </c>
      <c r="G4097" s="767">
        <v>1562.11</v>
      </c>
      <c r="H4097" s="767">
        <v>13411.21</v>
      </c>
      <c r="I4097" s="768" t="s">
        <v>2003</v>
      </c>
    </row>
    <row r="4098" spans="1:9" x14ac:dyDescent="0.25">
      <c r="A4098" s="753">
        <v>301312</v>
      </c>
      <c r="B4098" s="130">
        <v>0</v>
      </c>
      <c r="E4098" s="131"/>
    </row>
    <row r="4099" spans="1:9" x14ac:dyDescent="0.25">
      <c r="A4099" s="753">
        <v>301314</v>
      </c>
      <c r="B4099" s="130">
        <v>0</v>
      </c>
      <c r="E4099" s="131"/>
    </row>
    <row r="4100" spans="1:9" x14ac:dyDescent="0.25">
      <c r="A4100" s="753">
        <v>301316</v>
      </c>
      <c r="B4100" s="130">
        <v>0</v>
      </c>
      <c r="E4100" s="131"/>
    </row>
    <row r="4101" spans="1:9" x14ac:dyDescent="0.25">
      <c r="A4101" s="753">
        <v>301318</v>
      </c>
      <c r="B4101" s="130">
        <v>0</v>
      </c>
      <c r="E4101" s="131"/>
    </row>
    <row r="4102" spans="1:9" x14ac:dyDescent="0.25">
      <c r="A4102" s="753">
        <v>301404</v>
      </c>
      <c r="B4102" s="130">
        <v>13952</v>
      </c>
      <c r="C4102" s="131" t="s">
        <v>1301</v>
      </c>
      <c r="D4102" s="131">
        <v>16</v>
      </c>
      <c r="E4102" s="131" t="s">
        <v>1301</v>
      </c>
      <c r="F4102" s="767">
        <v>107745.67</v>
      </c>
      <c r="G4102" s="767">
        <v>13952.2</v>
      </c>
      <c r="H4102" s="767">
        <v>121697.87</v>
      </c>
      <c r="I4102" s="768" t="s">
        <v>2004</v>
      </c>
    </row>
    <row r="4103" spans="1:9" x14ac:dyDescent="0.25">
      <c r="A4103" s="753">
        <v>301406</v>
      </c>
      <c r="B4103" s="130">
        <v>121698</v>
      </c>
      <c r="C4103" s="131" t="s">
        <v>1301</v>
      </c>
      <c r="D4103" s="131">
        <v>16</v>
      </c>
      <c r="E4103" s="131" t="s">
        <v>1301</v>
      </c>
      <c r="F4103" s="767">
        <v>107745.67</v>
      </c>
      <c r="G4103" s="767">
        <v>13952.2</v>
      </c>
      <c r="H4103" s="767">
        <v>121697.87</v>
      </c>
      <c r="I4103" s="768" t="s">
        <v>2004</v>
      </c>
    </row>
    <row r="4104" spans="1:9" x14ac:dyDescent="0.25">
      <c r="A4104" s="753">
        <v>301408</v>
      </c>
      <c r="B4104" s="130">
        <v>5054</v>
      </c>
      <c r="C4104" s="131" t="s">
        <v>1302</v>
      </c>
      <c r="D4104" s="131">
        <v>16</v>
      </c>
      <c r="E4104" s="131" t="s">
        <v>1302</v>
      </c>
      <c r="F4104" s="767">
        <v>36613.21</v>
      </c>
      <c r="G4104" s="767">
        <v>5053.7700000000004</v>
      </c>
      <c r="H4104" s="767">
        <v>41666.980000000003</v>
      </c>
      <c r="I4104" s="768" t="s">
        <v>2005</v>
      </c>
    </row>
    <row r="4105" spans="1:9" x14ac:dyDescent="0.25">
      <c r="A4105" s="753">
        <v>301410</v>
      </c>
      <c r="B4105" s="130">
        <v>41667</v>
      </c>
      <c r="C4105" s="131" t="s">
        <v>1302</v>
      </c>
      <c r="D4105" s="131">
        <v>16</v>
      </c>
      <c r="E4105" s="131" t="s">
        <v>1302</v>
      </c>
      <c r="F4105" s="767">
        <v>36613.21</v>
      </c>
      <c r="G4105" s="767">
        <v>5053.7700000000004</v>
      </c>
      <c r="H4105" s="767">
        <v>41666.980000000003</v>
      </c>
      <c r="I4105" s="768" t="s">
        <v>2005</v>
      </c>
    </row>
    <row r="4106" spans="1:9" x14ac:dyDescent="0.25">
      <c r="A4106" s="753">
        <v>301412</v>
      </c>
      <c r="B4106" s="130">
        <v>0</v>
      </c>
      <c r="E4106" s="131"/>
    </row>
    <row r="4107" spans="1:9" x14ac:dyDescent="0.25">
      <c r="A4107" s="753">
        <v>301414</v>
      </c>
      <c r="B4107" s="130">
        <v>0</v>
      </c>
      <c r="E4107" s="131"/>
    </row>
    <row r="4108" spans="1:9" x14ac:dyDescent="0.25">
      <c r="A4108" s="753">
        <v>301416</v>
      </c>
      <c r="B4108" s="130">
        <v>0</v>
      </c>
      <c r="E4108" s="131"/>
    </row>
    <row r="4109" spans="1:9" x14ac:dyDescent="0.25">
      <c r="A4109" s="753">
        <v>301418</v>
      </c>
      <c r="B4109" s="130">
        <v>0</v>
      </c>
      <c r="E4109" s="131"/>
    </row>
    <row r="4110" spans="1:9" x14ac:dyDescent="0.25">
      <c r="A4110" s="753">
        <v>301504</v>
      </c>
      <c r="B4110" s="130">
        <v>9673</v>
      </c>
      <c r="C4110" s="131" t="s">
        <v>1303</v>
      </c>
      <c r="D4110" s="131">
        <v>16</v>
      </c>
      <c r="E4110" s="131" t="s">
        <v>1303</v>
      </c>
      <c r="F4110" s="767">
        <v>78087.73</v>
      </c>
      <c r="G4110" s="767">
        <v>9673.2099999999991</v>
      </c>
      <c r="H4110" s="767">
        <v>87760.94</v>
      </c>
      <c r="I4110" s="768" t="s">
        <v>2006</v>
      </c>
    </row>
    <row r="4111" spans="1:9" x14ac:dyDescent="0.25">
      <c r="A4111" s="753">
        <v>301506</v>
      </c>
      <c r="B4111" s="130">
        <v>87761</v>
      </c>
      <c r="C4111" s="131" t="s">
        <v>1303</v>
      </c>
      <c r="D4111" s="131">
        <v>16</v>
      </c>
      <c r="E4111" s="131" t="s">
        <v>1303</v>
      </c>
      <c r="F4111" s="767">
        <v>78087.73</v>
      </c>
      <c r="G4111" s="767">
        <v>9673.2099999999991</v>
      </c>
      <c r="H4111" s="767">
        <v>87760.94</v>
      </c>
      <c r="I4111" s="768" t="s">
        <v>2006</v>
      </c>
    </row>
    <row r="4112" spans="1:9" x14ac:dyDescent="0.25">
      <c r="A4112" s="753">
        <v>301508</v>
      </c>
      <c r="B4112" s="130">
        <v>3054</v>
      </c>
      <c r="C4112" s="131" t="s">
        <v>1304</v>
      </c>
      <c r="D4112" s="131">
        <v>16</v>
      </c>
      <c r="E4112" s="131" t="s">
        <v>1304</v>
      </c>
      <c r="F4112" s="767">
        <v>25023.18</v>
      </c>
      <c r="G4112" s="767">
        <v>3054.3</v>
      </c>
      <c r="H4112" s="767">
        <v>28077.48</v>
      </c>
      <c r="I4112" s="768" t="s">
        <v>2007</v>
      </c>
    </row>
    <row r="4113" spans="1:9" x14ac:dyDescent="0.25">
      <c r="A4113" s="753">
        <v>301510</v>
      </c>
      <c r="B4113" s="130">
        <v>28077</v>
      </c>
      <c r="C4113" s="131" t="s">
        <v>1304</v>
      </c>
      <c r="D4113" s="131">
        <v>16</v>
      </c>
      <c r="E4113" s="131" t="s">
        <v>1304</v>
      </c>
      <c r="F4113" s="767">
        <v>25023.18</v>
      </c>
      <c r="G4113" s="767">
        <v>3054.3</v>
      </c>
      <c r="H4113" s="767">
        <v>28077.48</v>
      </c>
      <c r="I4113" s="768" t="s">
        <v>2007</v>
      </c>
    </row>
    <row r="4114" spans="1:9" x14ac:dyDescent="0.25">
      <c r="A4114" s="753">
        <v>301512</v>
      </c>
      <c r="B4114" s="130">
        <v>0</v>
      </c>
      <c r="E4114" s="131"/>
    </row>
    <row r="4115" spans="1:9" x14ac:dyDescent="0.25">
      <c r="A4115" s="753">
        <v>301514</v>
      </c>
      <c r="B4115" s="130">
        <v>0</v>
      </c>
      <c r="E4115" s="131"/>
    </row>
    <row r="4116" spans="1:9" x14ac:dyDescent="0.25">
      <c r="A4116" s="753">
        <v>301516</v>
      </c>
      <c r="B4116" s="130">
        <v>0</v>
      </c>
      <c r="E4116" s="131"/>
    </row>
    <row r="4117" spans="1:9" x14ac:dyDescent="0.25">
      <c r="A4117" s="753">
        <v>301518</v>
      </c>
      <c r="B4117" s="130">
        <v>0</v>
      </c>
      <c r="E4117" s="131"/>
    </row>
    <row r="4118" spans="1:9" x14ac:dyDescent="0.25">
      <c r="A4118" s="753">
        <v>301604</v>
      </c>
      <c r="B4118" s="130">
        <v>0</v>
      </c>
      <c r="E4118" s="131"/>
    </row>
    <row r="4119" spans="1:9" x14ac:dyDescent="0.25">
      <c r="A4119" s="753">
        <v>301606</v>
      </c>
      <c r="B4119" s="130">
        <v>0</v>
      </c>
      <c r="E4119" s="131"/>
    </row>
    <row r="4120" spans="1:9" x14ac:dyDescent="0.25">
      <c r="A4120" s="753">
        <v>301608</v>
      </c>
      <c r="B4120" s="130">
        <v>0</v>
      </c>
      <c r="E4120" s="131"/>
    </row>
    <row r="4121" spans="1:9" x14ac:dyDescent="0.25">
      <c r="A4121" s="753">
        <v>301610</v>
      </c>
      <c r="B4121" s="130">
        <v>0</v>
      </c>
      <c r="E4121" s="131"/>
    </row>
    <row r="4122" spans="1:9" x14ac:dyDescent="0.25">
      <c r="A4122" s="753">
        <v>301612</v>
      </c>
      <c r="B4122" s="130">
        <v>0</v>
      </c>
      <c r="E4122" s="131"/>
    </row>
    <row r="4123" spans="1:9" x14ac:dyDescent="0.25">
      <c r="A4123" s="753">
        <v>301614</v>
      </c>
      <c r="B4123" s="130">
        <v>0</v>
      </c>
      <c r="E4123" s="131"/>
    </row>
    <row r="4124" spans="1:9" x14ac:dyDescent="0.25">
      <c r="A4124" s="753">
        <v>301616</v>
      </c>
      <c r="B4124" s="130">
        <v>0</v>
      </c>
      <c r="E4124" s="131"/>
    </row>
    <row r="4125" spans="1:9" x14ac:dyDescent="0.25">
      <c r="A4125" s="753">
        <v>301618</v>
      </c>
      <c r="B4125" s="130">
        <v>0</v>
      </c>
      <c r="E4125" s="131"/>
    </row>
    <row r="4126" spans="1:9" x14ac:dyDescent="0.25">
      <c r="A4126" s="753">
        <v>301704</v>
      </c>
      <c r="B4126" s="130">
        <v>342</v>
      </c>
      <c r="C4126" s="131" t="s">
        <v>1305</v>
      </c>
      <c r="D4126" s="131">
        <v>16</v>
      </c>
      <c r="E4126" s="131" t="s">
        <v>1305</v>
      </c>
      <c r="F4126" s="767">
        <v>3078</v>
      </c>
      <c r="G4126" s="767">
        <v>342</v>
      </c>
      <c r="H4126" s="767">
        <v>3420</v>
      </c>
      <c r="I4126" s="768" t="s">
        <v>2008</v>
      </c>
    </row>
    <row r="4127" spans="1:9" x14ac:dyDescent="0.25">
      <c r="A4127" s="753">
        <v>301706</v>
      </c>
      <c r="B4127" s="130">
        <v>3420</v>
      </c>
      <c r="C4127" s="131" t="s">
        <v>1305</v>
      </c>
      <c r="D4127" s="131">
        <v>16</v>
      </c>
      <c r="E4127" s="131" t="s">
        <v>1305</v>
      </c>
      <c r="F4127" s="767">
        <v>3078</v>
      </c>
      <c r="G4127" s="767">
        <v>342</v>
      </c>
      <c r="H4127" s="767">
        <v>3420</v>
      </c>
      <c r="I4127" s="768" t="s">
        <v>2008</v>
      </c>
    </row>
    <row r="4128" spans="1:9" x14ac:dyDescent="0.25">
      <c r="A4128" s="753">
        <v>301708</v>
      </c>
      <c r="B4128" s="130">
        <v>2809</v>
      </c>
      <c r="C4128" s="131" t="s">
        <v>1306</v>
      </c>
      <c r="D4128" s="131">
        <v>16</v>
      </c>
      <c r="E4128" s="131" t="s">
        <v>1306</v>
      </c>
      <c r="F4128" s="767">
        <v>25281</v>
      </c>
      <c r="G4128" s="767">
        <v>2809</v>
      </c>
      <c r="H4128" s="767">
        <v>28090</v>
      </c>
      <c r="I4128" s="768" t="s">
        <v>2009</v>
      </c>
    </row>
    <row r="4129" spans="1:9" x14ac:dyDescent="0.25">
      <c r="A4129" s="753">
        <v>301710</v>
      </c>
      <c r="B4129" s="130">
        <v>28090</v>
      </c>
      <c r="C4129" s="131" t="s">
        <v>1306</v>
      </c>
      <c r="D4129" s="131">
        <v>16</v>
      </c>
      <c r="E4129" s="131" t="s">
        <v>1306</v>
      </c>
      <c r="F4129" s="767">
        <v>25281</v>
      </c>
      <c r="G4129" s="767">
        <v>2809</v>
      </c>
      <c r="H4129" s="767">
        <v>28090</v>
      </c>
      <c r="I4129" s="768" t="s">
        <v>2009</v>
      </c>
    </row>
    <row r="4130" spans="1:9" x14ac:dyDescent="0.25">
      <c r="A4130" s="753">
        <v>301712</v>
      </c>
      <c r="B4130" s="130">
        <v>0</v>
      </c>
      <c r="E4130" s="131"/>
    </row>
    <row r="4131" spans="1:9" x14ac:dyDescent="0.25">
      <c r="A4131" s="753">
        <v>301714</v>
      </c>
      <c r="B4131" s="130">
        <v>0</v>
      </c>
      <c r="E4131" s="131"/>
    </row>
    <row r="4132" spans="1:9" x14ac:dyDescent="0.25">
      <c r="A4132" s="753">
        <v>301716</v>
      </c>
      <c r="B4132" s="130">
        <v>0</v>
      </c>
      <c r="E4132" s="131"/>
    </row>
    <row r="4133" spans="1:9" x14ac:dyDescent="0.25">
      <c r="A4133" s="753">
        <v>301718</v>
      </c>
      <c r="B4133" s="130">
        <v>0</v>
      </c>
      <c r="E4133" s="131"/>
    </row>
    <row r="4134" spans="1:9" x14ac:dyDescent="0.25">
      <c r="A4134" s="753">
        <v>301804</v>
      </c>
      <c r="B4134" s="130">
        <v>7007</v>
      </c>
      <c r="C4134" s="131" t="s">
        <v>1199</v>
      </c>
      <c r="D4134" s="131">
        <v>16</v>
      </c>
      <c r="E4134" s="131" t="s">
        <v>1199</v>
      </c>
      <c r="F4134" s="767">
        <v>71942.679999999993</v>
      </c>
      <c r="G4134" s="767">
        <v>7007.4</v>
      </c>
      <c r="H4134" s="767">
        <v>78950.080000000002</v>
      </c>
      <c r="I4134" s="768" t="s">
        <v>2010</v>
      </c>
    </row>
    <row r="4135" spans="1:9" x14ac:dyDescent="0.25">
      <c r="A4135" s="753">
        <v>301806</v>
      </c>
      <c r="B4135" s="130">
        <v>78950</v>
      </c>
      <c r="C4135" s="131" t="s">
        <v>1199</v>
      </c>
      <c r="D4135" s="131">
        <v>16</v>
      </c>
      <c r="E4135" s="131" t="s">
        <v>1199</v>
      </c>
      <c r="F4135" s="767">
        <v>71942.679999999993</v>
      </c>
      <c r="G4135" s="767">
        <v>7007.4</v>
      </c>
      <c r="H4135" s="767">
        <v>78950.080000000002</v>
      </c>
      <c r="I4135" s="768" t="s">
        <v>2010</v>
      </c>
    </row>
    <row r="4136" spans="1:9" x14ac:dyDescent="0.25">
      <c r="A4136" s="753">
        <v>301808</v>
      </c>
      <c r="B4136" s="130">
        <v>3482</v>
      </c>
      <c r="C4136" s="131" t="s">
        <v>1307</v>
      </c>
      <c r="D4136" s="131">
        <v>16</v>
      </c>
      <c r="E4136" s="131" t="s">
        <v>1307</v>
      </c>
      <c r="F4136" s="767">
        <v>33556.519999999997</v>
      </c>
      <c r="G4136" s="767">
        <v>3482.38</v>
      </c>
      <c r="H4136" s="767">
        <v>37038.9</v>
      </c>
      <c r="I4136" s="768" t="s">
        <v>2011</v>
      </c>
    </row>
    <row r="4137" spans="1:9" x14ac:dyDescent="0.25">
      <c r="A4137" s="753">
        <v>301810</v>
      </c>
      <c r="B4137" s="130">
        <v>37039</v>
      </c>
      <c r="C4137" s="131" t="s">
        <v>1307</v>
      </c>
      <c r="D4137" s="131">
        <v>16</v>
      </c>
      <c r="E4137" s="131" t="s">
        <v>1307</v>
      </c>
      <c r="F4137" s="767">
        <v>33556.519999999997</v>
      </c>
      <c r="G4137" s="767">
        <v>3482.38</v>
      </c>
      <c r="H4137" s="767">
        <v>37038.9</v>
      </c>
      <c r="I4137" s="768" t="s">
        <v>2011</v>
      </c>
    </row>
    <row r="4138" spans="1:9" x14ac:dyDescent="0.25">
      <c r="A4138" s="753">
        <v>301812</v>
      </c>
      <c r="B4138" s="130">
        <v>0</v>
      </c>
      <c r="E4138" s="131"/>
    </row>
    <row r="4139" spans="1:9" x14ac:dyDescent="0.25">
      <c r="A4139" s="753">
        <v>301814</v>
      </c>
      <c r="B4139" s="130">
        <v>0</v>
      </c>
      <c r="E4139" s="131"/>
    </row>
    <row r="4140" spans="1:9" x14ac:dyDescent="0.25">
      <c r="A4140" s="753">
        <v>301816</v>
      </c>
      <c r="B4140" s="130">
        <v>0</v>
      </c>
      <c r="E4140" s="131"/>
    </row>
    <row r="4141" spans="1:9" x14ac:dyDescent="0.25">
      <c r="A4141" s="753">
        <v>301818</v>
      </c>
      <c r="B4141" s="130">
        <v>0</v>
      </c>
      <c r="E4141" s="131"/>
    </row>
    <row r="4142" spans="1:9" x14ac:dyDescent="0.25">
      <c r="A4142" s="753">
        <v>301904</v>
      </c>
      <c r="B4142" s="130">
        <v>7096</v>
      </c>
      <c r="C4142" s="131" t="s">
        <v>1308</v>
      </c>
      <c r="D4142" s="131">
        <v>16</v>
      </c>
      <c r="E4142" s="131" t="s">
        <v>1308</v>
      </c>
      <c r="F4142" s="767">
        <v>80884.210000000006</v>
      </c>
      <c r="G4142" s="767">
        <v>7096.33</v>
      </c>
      <c r="H4142" s="767">
        <v>87980.54</v>
      </c>
      <c r="I4142" s="768" t="s">
        <v>2012</v>
      </c>
    </row>
    <row r="4143" spans="1:9" x14ac:dyDescent="0.25">
      <c r="A4143" s="753">
        <v>301906</v>
      </c>
      <c r="B4143" s="130">
        <v>87981</v>
      </c>
      <c r="C4143" s="131" t="s">
        <v>1308</v>
      </c>
      <c r="D4143" s="131">
        <v>16</v>
      </c>
      <c r="E4143" s="131" t="s">
        <v>1308</v>
      </c>
      <c r="F4143" s="767">
        <v>80884.210000000006</v>
      </c>
      <c r="G4143" s="767">
        <v>7096.33</v>
      </c>
      <c r="H4143" s="767">
        <v>87980.54</v>
      </c>
      <c r="I4143" s="768" t="s">
        <v>2012</v>
      </c>
    </row>
    <row r="4144" spans="1:9" x14ac:dyDescent="0.25">
      <c r="A4144" s="753">
        <v>301908</v>
      </c>
      <c r="B4144" s="130">
        <v>2574</v>
      </c>
      <c r="C4144" s="131" t="s">
        <v>1309</v>
      </c>
      <c r="D4144" s="131">
        <v>16</v>
      </c>
      <c r="E4144" s="131" t="s">
        <v>1309</v>
      </c>
      <c r="F4144" s="767">
        <v>32524.22</v>
      </c>
      <c r="G4144" s="767">
        <v>2573.73</v>
      </c>
      <c r="H4144" s="767">
        <v>35097.949999999997</v>
      </c>
      <c r="I4144" s="768" t="s">
        <v>2013</v>
      </c>
    </row>
    <row r="4145" spans="1:9" x14ac:dyDescent="0.25">
      <c r="A4145" s="753">
        <v>301910</v>
      </c>
      <c r="B4145" s="130">
        <v>35098</v>
      </c>
      <c r="C4145" s="131" t="s">
        <v>1309</v>
      </c>
      <c r="D4145" s="131">
        <v>16</v>
      </c>
      <c r="E4145" s="131" t="s">
        <v>1309</v>
      </c>
      <c r="F4145" s="767">
        <v>32524.22</v>
      </c>
      <c r="G4145" s="767">
        <v>2573.73</v>
      </c>
      <c r="H4145" s="767">
        <v>35097.949999999997</v>
      </c>
      <c r="I4145" s="768" t="s">
        <v>2013</v>
      </c>
    </row>
    <row r="4146" spans="1:9" x14ac:dyDescent="0.25">
      <c r="A4146" s="753">
        <v>301912</v>
      </c>
      <c r="B4146" s="130">
        <v>0</v>
      </c>
      <c r="E4146" s="131"/>
    </row>
    <row r="4147" spans="1:9" x14ac:dyDescent="0.25">
      <c r="A4147" s="753">
        <v>301914</v>
      </c>
      <c r="B4147" s="130">
        <v>0</v>
      </c>
      <c r="E4147" s="131"/>
    </row>
    <row r="4148" spans="1:9" x14ac:dyDescent="0.25">
      <c r="A4148" s="753">
        <v>301916</v>
      </c>
      <c r="B4148" s="130">
        <v>0</v>
      </c>
      <c r="E4148" s="131"/>
    </row>
    <row r="4149" spans="1:9" x14ac:dyDescent="0.25">
      <c r="A4149" s="753">
        <v>301918</v>
      </c>
      <c r="B4149" s="130">
        <v>0</v>
      </c>
      <c r="E4149" s="131"/>
    </row>
    <row r="4150" spans="1:9" x14ac:dyDescent="0.25">
      <c r="A4150" s="753">
        <v>302004</v>
      </c>
      <c r="B4150" s="130">
        <v>5644</v>
      </c>
      <c r="C4150" s="131" t="s">
        <v>1310</v>
      </c>
      <c r="D4150" s="131">
        <v>16</v>
      </c>
      <c r="E4150" s="131" t="s">
        <v>1310</v>
      </c>
      <c r="F4150" s="767">
        <v>39343.120000000003</v>
      </c>
      <c r="G4150" s="767">
        <v>5643.58</v>
      </c>
      <c r="H4150" s="767">
        <v>44986.7</v>
      </c>
      <c r="I4150" s="768" t="s">
        <v>2014</v>
      </c>
    </row>
    <row r="4151" spans="1:9" x14ac:dyDescent="0.25">
      <c r="A4151" s="753">
        <v>302006</v>
      </c>
      <c r="B4151" s="130">
        <v>44987</v>
      </c>
      <c r="C4151" s="131" t="s">
        <v>1310</v>
      </c>
      <c r="D4151" s="131">
        <v>16</v>
      </c>
      <c r="E4151" s="131" t="s">
        <v>1310</v>
      </c>
      <c r="F4151" s="767">
        <v>39343.120000000003</v>
      </c>
      <c r="G4151" s="767">
        <v>5643.58</v>
      </c>
      <c r="H4151" s="767">
        <v>44986.7</v>
      </c>
      <c r="I4151" s="768" t="s">
        <v>2014</v>
      </c>
    </row>
    <row r="4152" spans="1:9" x14ac:dyDescent="0.25">
      <c r="A4152" s="753">
        <v>302008</v>
      </c>
      <c r="B4152" s="130">
        <v>2765</v>
      </c>
      <c r="C4152" s="131" t="s">
        <v>1311</v>
      </c>
      <c r="D4152" s="131">
        <v>16</v>
      </c>
      <c r="E4152" s="131" t="s">
        <v>1311</v>
      </c>
      <c r="F4152" s="767">
        <v>18688.45</v>
      </c>
      <c r="G4152" s="767">
        <v>2765.28</v>
      </c>
      <c r="H4152" s="767">
        <v>21453.73</v>
      </c>
      <c r="I4152" s="768" t="s">
        <v>2015</v>
      </c>
    </row>
    <row r="4153" spans="1:9" x14ac:dyDescent="0.25">
      <c r="A4153" s="753">
        <v>302010</v>
      </c>
      <c r="B4153" s="130">
        <v>21454</v>
      </c>
      <c r="C4153" s="131" t="s">
        <v>1311</v>
      </c>
      <c r="D4153" s="131">
        <v>16</v>
      </c>
      <c r="E4153" s="131" t="s">
        <v>1311</v>
      </c>
      <c r="F4153" s="767">
        <v>18688.45</v>
      </c>
      <c r="G4153" s="767">
        <v>2765.28</v>
      </c>
      <c r="H4153" s="767">
        <v>21453.73</v>
      </c>
      <c r="I4153" s="768" t="s">
        <v>2015</v>
      </c>
    </row>
    <row r="4154" spans="1:9" x14ac:dyDescent="0.25">
      <c r="A4154" s="753">
        <v>302012</v>
      </c>
      <c r="B4154" s="130">
        <v>0</v>
      </c>
      <c r="E4154" s="131"/>
    </row>
    <row r="4155" spans="1:9" x14ac:dyDescent="0.25">
      <c r="A4155" s="753">
        <v>302014</v>
      </c>
      <c r="B4155" s="130">
        <v>0</v>
      </c>
      <c r="E4155" s="131"/>
    </row>
    <row r="4156" spans="1:9" x14ac:dyDescent="0.25">
      <c r="A4156" s="753">
        <v>302016</v>
      </c>
      <c r="B4156" s="130">
        <v>0</v>
      </c>
      <c r="E4156" s="131"/>
    </row>
    <row r="4157" spans="1:9" x14ac:dyDescent="0.25">
      <c r="A4157" s="753">
        <v>302018</v>
      </c>
      <c r="B4157" s="130">
        <v>0</v>
      </c>
      <c r="E4157" s="131"/>
    </row>
    <row r="4158" spans="1:9" x14ac:dyDescent="0.25">
      <c r="A4158" s="753">
        <v>302104</v>
      </c>
      <c r="B4158" s="130">
        <v>142</v>
      </c>
      <c r="C4158" s="131" t="s">
        <v>1312</v>
      </c>
      <c r="D4158" s="131">
        <v>16</v>
      </c>
      <c r="E4158" s="131" t="s">
        <v>1312</v>
      </c>
      <c r="F4158" s="767">
        <v>7855.18</v>
      </c>
      <c r="G4158" s="767">
        <v>142.19999999999999</v>
      </c>
      <c r="H4158" s="767">
        <v>7997.38</v>
      </c>
      <c r="I4158" s="768" t="s">
        <v>2016</v>
      </c>
    </row>
    <row r="4159" spans="1:9" x14ac:dyDescent="0.25">
      <c r="A4159" s="753">
        <v>302106</v>
      </c>
      <c r="B4159" s="130">
        <v>7997</v>
      </c>
      <c r="C4159" s="131" t="s">
        <v>1312</v>
      </c>
      <c r="D4159" s="131">
        <v>16</v>
      </c>
      <c r="E4159" s="131" t="s">
        <v>1312</v>
      </c>
      <c r="F4159" s="767">
        <v>7855.18</v>
      </c>
      <c r="G4159" s="767">
        <v>142.19999999999999</v>
      </c>
      <c r="H4159" s="767">
        <v>7997.38</v>
      </c>
      <c r="I4159" s="768" t="s">
        <v>2016</v>
      </c>
    </row>
    <row r="4160" spans="1:9" x14ac:dyDescent="0.25">
      <c r="A4160" s="753">
        <v>302108</v>
      </c>
      <c r="B4160" s="130">
        <v>49</v>
      </c>
      <c r="C4160" s="131" t="s">
        <v>1313</v>
      </c>
      <c r="D4160" s="131">
        <v>16</v>
      </c>
      <c r="E4160" s="131" t="s">
        <v>1313</v>
      </c>
      <c r="F4160" s="767">
        <v>3990.4</v>
      </c>
      <c r="G4160" s="767">
        <v>48.92</v>
      </c>
      <c r="H4160" s="767">
        <v>4039.32</v>
      </c>
      <c r="I4160" s="768" t="s">
        <v>2017</v>
      </c>
    </row>
    <row r="4161" spans="1:9" x14ac:dyDescent="0.25">
      <c r="A4161" s="753">
        <v>302110</v>
      </c>
      <c r="B4161" s="130">
        <v>4039</v>
      </c>
      <c r="C4161" s="131" t="s">
        <v>1313</v>
      </c>
      <c r="D4161" s="131">
        <v>16</v>
      </c>
      <c r="E4161" s="131" t="s">
        <v>1313</v>
      </c>
      <c r="F4161" s="767">
        <v>3990.4</v>
      </c>
      <c r="G4161" s="767">
        <v>48.92</v>
      </c>
      <c r="H4161" s="767">
        <v>4039.32</v>
      </c>
      <c r="I4161" s="768" t="s">
        <v>2017</v>
      </c>
    </row>
    <row r="4162" spans="1:9" x14ac:dyDescent="0.25">
      <c r="A4162" s="753">
        <v>302112</v>
      </c>
      <c r="B4162" s="130">
        <v>0</v>
      </c>
      <c r="E4162" s="131"/>
    </row>
    <row r="4163" spans="1:9" x14ac:dyDescent="0.25">
      <c r="A4163" s="753">
        <v>302114</v>
      </c>
      <c r="B4163" s="130">
        <v>0</v>
      </c>
      <c r="E4163" s="131"/>
    </row>
    <row r="4164" spans="1:9" x14ac:dyDescent="0.25">
      <c r="A4164" s="753">
        <v>302116</v>
      </c>
      <c r="B4164" s="130">
        <v>0</v>
      </c>
      <c r="E4164" s="131"/>
    </row>
    <row r="4165" spans="1:9" x14ac:dyDescent="0.25">
      <c r="A4165" s="753">
        <v>302118</v>
      </c>
      <c r="B4165" s="130">
        <v>0</v>
      </c>
      <c r="E4165" s="131"/>
    </row>
    <row r="4166" spans="1:9" x14ac:dyDescent="0.25">
      <c r="A4166" s="753">
        <v>302204</v>
      </c>
      <c r="B4166" s="130">
        <v>0</v>
      </c>
      <c r="E4166" s="131"/>
    </row>
    <row r="4167" spans="1:9" x14ac:dyDescent="0.25">
      <c r="A4167" s="753">
        <v>302206</v>
      </c>
      <c r="B4167" s="130">
        <v>0</v>
      </c>
      <c r="E4167" s="131"/>
    </row>
    <row r="4168" spans="1:9" x14ac:dyDescent="0.25">
      <c r="A4168" s="753">
        <v>302208</v>
      </c>
      <c r="B4168" s="130">
        <v>0</v>
      </c>
      <c r="E4168" s="131"/>
    </row>
    <row r="4169" spans="1:9" x14ac:dyDescent="0.25">
      <c r="A4169" s="753">
        <v>302210</v>
      </c>
      <c r="B4169" s="130">
        <v>0</v>
      </c>
      <c r="E4169" s="131"/>
    </row>
    <row r="4170" spans="1:9" x14ac:dyDescent="0.25">
      <c r="A4170" s="753">
        <v>302212</v>
      </c>
      <c r="B4170" s="130">
        <v>0</v>
      </c>
      <c r="E4170" s="131"/>
    </row>
    <row r="4171" spans="1:9" x14ac:dyDescent="0.25">
      <c r="A4171" s="753">
        <v>302214</v>
      </c>
      <c r="B4171" s="130">
        <v>0</v>
      </c>
      <c r="E4171" s="131"/>
    </row>
    <row r="4172" spans="1:9" x14ac:dyDescent="0.25">
      <c r="A4172" s="753">
        <v>302216</v>
      </c>
      <c r="B4172" s="130">
        <v>0</v>
      </c>
      <c r="E4172" s="131"/>
    </row>
    <row r="4173" spans="1:9" x14ac:dyDescent="0.25">
      <c r="A4173" s="753">
        <v>302218</v>
      </c>
      <c r="B4173" s="130">
        <v>0</v>
      </c>
      <c r="E4173" s="131"/>
    </row>
    <row r="4174" spans="1:9" x14ac:dyDescent="0.25">
      <c r="A4174" s="753">
        <v>302304</v>
      </c>
      <c r="B4174" s="130">
        <v>50885</v>
      </c>
      <c r="E4174" s="131"/>
    </row>
    <row r="4175" spans="1:9" x14ac:dyDescent="0.25">
      <c r="A4175" s="753">
        <v>302306</v>
      </c>
      <c r="B4175" s="130">
        <v>493144</v>
      </c>
      <c r="E4175" s="131"/>
    </row>
    <row r="4176" spans="1:9" x14ac:dyDescent="0.25">
      <c r="A4176" s="753">
        <v>302308</v>
      </c>
      <c r="B4176" s="130">
        <v>21349</v>
      </c>
      <c r="E4176" s="131"/>
    </row>
    <row r="4177" spans="1:9" x14ac:dyDescent="0.25">
      <c r="A4177" s="753">
        <v>302310</v>
      </c>
      <c r="B4177" s="130">
        <v>208875</v>
      </c>
      <c r="E4177" s="131"/>
    </row>
    <row r="4178" spans="1:9" x14ac:dyDescent="0.25">
      <c r="A4178" s="753">
        <v>302312</v>
      </c>
      <c r="B4178" s="130">
        <v>0</v>
      </c>
      <c r="E4178" s="131"/>
    </row>
    <row r="4179" spans="1:9" x14ac:dyDescent="0.25">
      <c r="A4179" s="753">
        <v>302314</v>
      </c>
      <c r="B4179" s="130">
        <v>0</v>
      </c>
      <c r="E4179" s="131"/>
    </row>
    <row r="4180" spans="1:9" x14ac:dyDescent="0.25">
      <c r="A4180" s="753">
        <v>302316</v>
      </c>
      <c r="B4180" s="130">
        <v>0</v>
      </c>
      <c r="E4180" s="131"/>
    </row>
    <row r="4181" spans="1:9" x14ac:dyDescent="0.25">
      <c r="A4181" s="753">
        <v>302318</v>
      </c>
      <c r="B4181" s="130">
        <v>0</v>
      </c>
      <c r="E4181" s="131"/>
    </row>
    <row r="4182" spans="1:9" x14ac:dyDescent="0.25">
      <c r="A4182" s="753">
        <v>302404</v>
      </c>
      <c r="B4182" s="130">
        <v>0</v>
      </c>
      <c r="C4182" s="131" t="s">
        <v>1314</v>
      </c>
      <c r="D4182" s="131">
        <v>16</v>
      </c>
      <c r="E4182" s="131" t="s">
        <v>1314</v>
      </c>
      <c r="F4182" s="767">
        <v>554.66</v>
      </c>
      <c r="G4182" s="767">
        <v>0</v>
      </c>
      <c r="H4182" s="767">
        <v>554.66</v>
      </c>
      <c r="I4182" s="768" t="s">
        <v>2018</v>
      </c>
    </row>
    <row r="4183" spans="1:9" x14ac:dyDescent="0.25">
      <c r="A4183" s="753">
        <v>302406</v>
      </c>
      <c r="B4183" s="130">
        <v>555</v>
      </c>
      <c r="C4183" s="131" t="s">
        <v>1314</v>
      </c>
      <c r="D4183" s="131">
        <v>16</v>
      </c>
      <c r="E4183" s="131" t="s">
        <v>1314</v>
      </c>
      <c r="F4183" s="767">
        <v>554.66</v>
      </c>
      <c r="G4183" s="767">
        <v>0</v>
      </c>
      <c r="H4183" s="767">
        <v>554.66</v>
      </c>
      <c r="I4183" s="768" t="s">
        <v>2018</v>
      </c>
    </row>
    <row r="4184" spans="1:9" x14ac:dyDescent="0.25">
      <c r="A4184" s="753">
        <v>302408</v>
      </c>
      <c r="B4184" s="130">
        <v>0</v>
      </c>
      <c r="C4184" s="131" t="s">
        <v>1315</v>
      </c>
      <c r="D4184" s="131">
        <v>16</v>
      </c>
      <c r="E4184" s="131" t="s">
        <v>1315</v>
      </c>
      <c r="F4184" s="767">
        <v>185.07</v>
      </c>
      <c r="G4184" s="767">
        <v>0</v>
      </c>
      <c r="H4184" s="767">
        <v>185.07</v>
      </c>
      <c r="I4184" s="768" t="s">
        <v>2019</v>
      </c>
    </row>
    <row r="4185" spans="1:9" x14ac:dyDescent="0.25">
      <c r="A4185" s="753">
        <v>302410</v>
      </c>
      <c r="B4185" s="130">
        <v>185</v>
      </c>
      <c r="C4185" s="131" t="s">
        <v>1315</v>
      </c>
      <c r="D4185" s="131">
        <v>16</v>
      </c>
      <c r="E4185" s="131" t="s">
        <v>1315</v>
      </c>
      <c r="F4185" s="767">
        <v>185.07</v>
      </c>
      <c r="G4185" s="767">
        <v>0</v>
      </c>
      <c r="H4185" s="767">
        <v>185.07</v>
      </c>
      <c r="I4185" s="768" t="s">
        <v>2019</v>
      </c>
    </row>
    <row r="4186" spans="1:9" x14ac:dyDescent="0.25">
      <c r="A4186" s="753">
        <v>302412</v>
      </c>
      <c r="B4186" s="130">
        <v>0</v>
      </c>
      <c r="E4186" s="131"/>
    </row>
    <row r="4187" spans="1:9" x14ac:dyDescent="0.25">
      <c r="A4187" s="753">
        <v>302414</v>
      </c>
      <c r="B4187" s="130">
        <v>0</v>
      </c>
      <c r="E4187" s="131"/>
    </row>
    <row r="4188" spans="1:9" x14ac:dyDescent="0.25">
      <c r="A4188" s="753">
        <v>302416</v>
      </c>
      <c r="B4188" s="130">
        <v>0</v>
      </c>
      <c r="E4188" s="131"/>
    </row>
    <row r="4189" spans="1:9" x14ac:dyDescent="0.25">
      <c r="A4189" s="753">
        <v>302418</v>
      </c>
      <c r="B4189" s="130">
        <v>0</v>
      </c>
      <c r="E4189" s="131"/>
    </row>
    <row r="4190" spans="1:9" x14ac:dyDescent="0.25">
      <c r="A4190" s="753">
        <v>302504</v>
      </c>
      <c r="B4190" s="130">
        <v>8050</v>
      </c>
      <c r="C4190" s="131" t="s">
        <v>1316</v>
      </c>
      <c r="D4190" s="131">
        <v>16</v>
      </c>
      <c r="E4190" s="131" t="s">
        <v>1316</v>
      </c>
      <c r="F4190" s="767">
        <v>60444.09</v>
      </c>
      <c r="G4190" s="767">
        <v>8049.91</v>
      </c>
      <c r="H4190" s="767">
        <v>68494</v>
      </c>
      <c r="I4190" s="768" t="s">
        <v>2020</v>
      </c>
    </row>
    <row r="4191" spans="1:9" x14ac:dyDescent="0.25">
      <c r="A4191" s="753">
        <v>302506</v>
      </c>
      <c r="B4191" s="130">
        <v>68494</v>
      </c>
      <c r="C4191" s="131" t="s">
        <v>1316</v>
      </c>
      <c r="D4191" s="131">
        <v>16</v>
      </c>
      <c r="E4191" s="131" t="s">
        <v>1316</v>
      </c>
      <c r="F4191" s="767">
        <v>60444.09</v>
      </c>
      <c r="G4191" s="767">
        <v>8049.91</v>
      </c>
      <c r="H4191" s="767">
        <v>68494</v>
      </c>
      <c r="I4191" s="768" t="s">
        <v>2020</v>
      </c>
    </row>
    <row r="4192" spans="1:9" x14ac:dyDescent="0.25">
      <c r="A4192" s="753">
        <v>302508</v>
      </c>
      <c r="B4192" s="130">
        <v>1075</v>
      </c>
      <c r="C4192" s="131" t="s">
        <v>1317</v>
      </c>
      <c r="D4192" s="131">
        <v>16</v>
      </c>
      <c r="E4192" s="131" t="s">
        <v>1317</v>
      </c>
      <c r="F4192" s="767">
        <v>9669.11</v>
      </c>
      <c r="G4192" s="767">
        <v>1075.23</v>
      </c>
      <c r="H4192" s="767">
        <v>10744.34</v>
      </c>
      <c r="I4192" s="768" t="s">
        <v>2021</v>
      </c>
    </row>
    <row r="4193" spans="1:9" x14ac:dyDescent="0.25">
      <c r="A4193" s="753">
        <v>302510</v>
      </c>
      <c r="B4193" s="130">
        <v>10744</v>
      </c>
      <c r="C4193" s="131" t="s">
        <v>1317</v>
      </c>
      <c r="D4193" s="131">
        <v>16</v>
      </c>
      <c r="E4193" s="131" t="s">
        <v>1317</v>
      </c>
      <c r="F4193" s="767">
        <v>9669.11</v>
      </c>
      <c r="G4193" s="767">
        <v>1075.23</v>
      </c>
      <c r="H4193" s="767">
        <v>10744.34</v>
      </c>
      <c r="I4193" s="768" t="s">
        <v>2021</v>
      </c>
    </row>
    <row r="4194" spans="1:9" x14ac:dyDescent="0.25">
      <c r="A4194" s="753">
        <v>302512</v>
      </c>
      <c r="B4194" s="130">
        <v>0</v>
      </c>
      <c r="E4194" s="131"/>
    </row>
    <row r="4195" spans="1:9" x14ac:dyDescent="0.25">
      <c r="A4195" s="753">
        <v>302514</v>
      </c>
      <c r="B4195" s="130">
        <v>0</v>
      </c>
      <c r="E4195" s="131"/>
    </row>
    <row r="4196" spans="1:9" x14ac:dyDescent="0.25">
      <c r="A4196" s="753">
        <v>302516</v>
      </c>
      <c r="B4196" s="130">
        <v>0</v>
      </c>
      <c r="E4196" s="131"/>
    </row>
    <row r="4197" spans="1:9" x14ac:dyDescent="0.25">
      <c r="A4197" s="753">
        <v>302518</v>
      </c>
      <c r="B4197" s="130">
        <v>0</v>
      </c>
      <c r="E4197" s="131"/>
    </row>
    <row r="4198" spans="1:9" x14ac:dyDescent="0.25">
      <c r="A4198" s="753">
        <v>302604</v>
      </c>
      <c r="B4198" s="130">
        <v>857</v>
      </c>
      <c r="C4198" s="131" t="s">
        <v>1318</v>
      </c>
      <c r="D4198" s="131">
        <v>16</v>
      </c>
      <c r="E4198" s="131" t="s">
        <v>1318</v>
      </c>
      <c r="F4198" s="767">
        <v>5116.8500000000004</v>
      </c>
      <c r="G4198" s="767">
        <v>856.73</v>
      </c>
      <c r="H4198" s="767">
        <v>5973.58</v>
      </c>
      <c r="I4198" s="768" t="s">
        <v>2022</v>
      </c>
    </row>
    <row r="4199" spans="1:9" x14ac:dyDescent="0.25">
      <c r="A4199" s="753">
        <v>302606</v>
      </c>
      <c r="B4199" s="130">
        <v>5974</v>
      </c>
      <c r="C4199" s="131" t="s">
        <v>1318</v>
      </c>
      <c r="D4199" s="131">
        <v>16</v>
      </c>
      <c r="E4199" s="131" t="s">
        <v>1318</v>
      </c>
      <c r="F4199" s="767">
        <v>5116.8500000000004</v>
      </c>
      <c r="G4199" s="767">
        <v>856.73</v>
      </c>
      <c r="H4199" s="767">
        <v>5973.58</v>
      </c>
      <c r="I4199" s="768" t="s">
        <v>2022</v>
      </c>
    </row>
    <row r="4200" spans="1:9" x14ac:dyDescent="0.25">
      <c r="A4200" s="753">
        <v>302608</v>
      </c>
      <c r="B4200" s="130">
        <v>190</v>
      </c>
      <c r="C4200" s="131" t="s">
        <v>1319</v>
      </c>
      <c r="D4200" s="131">
        <v>16</v>
      </c>
      <c r="E4200" s="131" t="s">
        <v>1319</v>
      </c>
      <c r="F4200" s="767">
        <v>1388.4</v>
      </c>
      <c r="G4200" s="767">
        <v>190.39</v>
      </c>
      <c r="H4200" s="767">
        <v>1578.79</v>
      </c>
      <c r="I4200" s="768" t="s">
        <v>2023</v>
      </c>
    </row>
    <row r="4201" spans="1:9" x14ac:dyDescent="0.25">
      <c r="A4201" s="753">
        <v>302610</v>
      </c>
      <c r="B4201" s="130">
        <v>1579</v>
      </c>
      <c r="C4201" s="131" t="s">
        <v>1319</v>
      </c>
      <c r="D4201" s="131">
        <v>16</v>
      </c>
      <c r="E4201" s="131" t="s">
        <v>1319</v>
      </c>
      <c r="F4201" s="767">
        <v>1388.4</v>
      </c>
      <c r="G4201" s="767">
        <v>190.39</v>
      </c>
      <c r="H4201" s="767">
        <v>1578.79</v>
      </c>
      <c r="I4201" s="768" t="s">
        <v>2023</v>
      </c>
    </row>
    <row r="4202" spans="1:9" x14ac:dyDescent="0.25">
      <c r="A4202" s="753">
        <v>302612</v>
      </c>
      <c r="B4202" s="130">
        <v>0</v>
      </c>
      <c r="E4202" s="131"/>
    </row>
    <row r="4203" spans="1:9" x14ac:dyDescent="0.25">
      <c r="A4203" s="753">
        <v>302614</v>
      </c>
      <c r="B4203" s="130">
        <v>0</v>
      </c>
      <c r="E4203" s="131"/>
    </row>
    <row r="4204" spans="1:9" x14ac:dyDescent="0.25">
      <c r="A4204" s="753">
        <v>302616</v>
      </c>
      <c r="B4204" s="130">
        <v>0</v>
      </c>
      <c r="E4204" s="131"/>
    </row>
    <row r="4205" spans="1:9" x14ac:dyDescent="0.25">
      <c r="A4205" s="753">
        <v>302618</v>
      </c>
      <c r="B4205" s="130">
        <v>0</v>
      </c>
      <c r="E4205" s="131"/>
    </row>
    <row r="4206" spans="1:9" x14ac:dyDescent="0.25">
      <c r="A4206" s="753">
        <v>302704</v>
      </c>
      <c r="B4206" s="130">
        <v>302</v>
      </c>
      <c r="C4206" s="131" t="s">
        <v>1320</v>
      </c>
      <c r="D4206" s="131">
        <v>16</v>
      </c>
      <c r="E4206" s="131" t="s">
        <v>1320</v>
      </c>
      <c r="F4206" s="767">
        <v>129.35</v>
      </c>
      <c r="G4206" s="767">
        <v>301.85000000000002</v>
      </c>
      <c r="H4206" s="767">
        <v>431.2</v>
      </c>
      <c r="I4206" s="768" t="s">
        <v>2024</v>
      </c>
    </row>
    <row r="4207" spans="1:9" x14ac:dyDescent="0.25">
      <c r="A4207" s="753">
        <v>302706</v>
      </c>
      <c r="B4207" s="130">
        <v>431</v>
      </c>
      <c r="C4207" s="131" t="s">
        <v>1320</v>
      </c>
      <c r="D4207" s="131">
        <v>16</v>
      </c>
      <c r="E4207" s="131" t="s">
        <v>1320</v>
      </c>
      <c r="F4207" s="767">
        <v>129.35</v>
      </c>
      <c r="G4207" s="767">
        <v>301.85000000000002</v>
      </c>
      <c r="H4207" s="767">
        <v>431.2</v>
      </c>
      <c r="I4207" s="768" t="s">
        <v>2024</v>
      </c>
    </row>
    <row r="4208" spans="1:9" x14ac:dyDescent="0.25">
      <c r="A4208" s="753">
        <v>302708</v>
      </c>
      <c r="B4208" s="130">
        <v>168</v>
      </c>
      <c r="C4208" s="131" t="s">
        <v>1321</v>
      </c>
      <c r="D4208" s="131">
        <v>16</v>
      </c>
      <c r="E4208" s="131" t="s">
        <v>1321</v>
      </c>
      <c r="F4208" s="767">
        <v>5</v>
      </c>
      <c r="G4208" s="767">
        <v>167.94</v>
      </c>
      <c r="H4208" s="767">
        <v>172.94</v>
      </c>
      <c r="I4208" s="768" t="s">
        <v>2025</v>
      </c>
    </row>
    <row r="4209" spans="1:9" x14ac:dyDescent="0.25">
      <c r="A4209" s="753">
        <v>302710</v>
      </c>
      <c r="B4209" s="130">
        <v>173</v>
      </c>
      <c r="C4209" s="131" t="s">
        <v>1321</v>
      </c>
      <c r="D4209" s="131">
        <v>16</v>
      </c>
      <c r="E4209" s="131" t="s">
        <v>1321</v>
      </c>
      <c r="F4209" s="767">
        <v>5</v>
      </c>
      <c r="G4209" s="767">
        <v>167.94</v>
      </c>
      <c r="H4209" s="767">
        <v>172.94</v>
      </c>
      <c r="I4209" s="768" t="s">
        <v>2025</v>
      </c>
    </row>
    <row r="4210" spans="1:9" x14ac:dyDescent="0.25">
      <c r="A4210" s="753">
        <v>302712</v>
      </c>
      <c r="B4210" s="130">
        <v>0</v>
      </c>
      <c r="E4210" s="131"/>
    </row>
    <row r="4211" spans="1:9" x14ac:dyDescent="0.25">
      <c r="A4211" s="753">
        <v>302714</v>
      </c>
      <c r="B4211" s="130">
        <v>0</v>
      </c>
      <c r="E4211" s="131"/>
    </row>
    <row r="4212" spans="1:9" x14ac:dyDescent="0.25">
      <c r="A4212" s="753">
        <v>302716</v>
      </c>
      <c r="B4212" s="130">
        <v>0</v>
      </c>
      <c r="E4212" s="131"/>
    </row>
    <row r="4213" spans="1:9" x14ac:dyDescent="0.25">
      <c r="A4213" s="753">
        <v>302718</v>
      </c>
      <c r="B4213" s="130">
        <v>0</v>
      </c>
      <c r="E4213" s="131"/>
    </row>
    <row r="4214" spans="1:9" x14ac:dyDescent="0.25">
      <c r="A4214" s="753">
        <v>302804</v>
      </c>
      <c r="B4214" s="130">
        <v>0</v>
      </c>
      <c r="E4214" s="131"/>
    </row>
    <row r="4215" spans="1:9" x14ac:dyDescent="0.25">
      <c r="A4215" s="753">
        <v>302806</v>
      </c>
      <c r="B4215" s="130">
        <v>0</v>
      </c>
      <c r="E4215" s="131"/>
    </row>
    <row r="4216" spans="1:9" x14ac:dyDescent="0.25">
      <c r="A4216" s="753">
        <v>302808</v>
      </c>
      <c r="B4216" s="130">
        <v>0</v>
      </c>
      <c r="E4216" s="131"/>
    </row>
    <row r="4217" spans="1:9" x14ac:dyDescent="0.25">
      <c r="A4217" s="753">
        <v>302810</v>
      </c>
      <c r="B4217" s="130">
        <v>0</v>
      </c>
      <c r="E4217" s="131"/>
    </row>
    <row r="4218" spans="1:9" x14ac:dyDescent="0.25">
      <c r="A4218" s="753">
        <v>302812</v>
      </c>
      <c r="B4218" s="130">
        <v>0</v>
      </c>
      <c r="E4218" s="131"/>
    </row>
    <row r="4219" spans="1:9" x14ac:dyDescent="0.25">
      <c r="A4219" s="753">
        <v>302814</v>
      </c>
      <c r="B4219" s="130">
        <v>0</v>
      </c>
      <c r="E4219" s="131"/>
    </row>
    <row r="4220" spans="1:9" x14ac:dyDescent="0.25">
      <c r="A4220" s="753">
        <v>302816</v>
      </c>
      <c r="B4220" s="130">
        <v>0</v>
      </c>
      <c r="E4220" s="131"/>
    </row>
    <row r="4221" spans="1:9" x14ac:dyDescent="0.25">
      <c r="A4221" s="753">
        <v>302818</v>
      </c>
      <c r="B4221" s="130">
        <v>0</v>
      </c>
      <c r="E4221" s="131"/>
    </row>
    <row r="4222" spans="1:9" x14ac:dyDescent="0.25">
      <c r="A4222" s="753">
        <v>302904</v>
      </c>
      <c r="B4222" s="130">
        <v>0</v>
      </c>
      <c r="E4222" s="131"/>
    </row>
    <row r="4223" spans="1:9" x14ac:dyDescent="0.25">
      <c r="A4223" s="753">
        <v>302906</v>
      </c>
      <c r="B4223" s="130">
        <v>0</v>
      </c>
      <c r="E4223" s="131"/>
    </row>
    <row r="4224" spans="1:9" x14ac:dyDescent="0.25">
      <c r="A4224" s="753">
        <v>302908</v>
      </c>
      <c r="B4224" s="130">
        <v>0</v>
      </c>
      <c r="E4224" s="131"/>
    </row>
    <row r="4225" spans="1:9" x14ac:dyDescent="0.25">
      <c r="A4225" s="753">
        <v>302910</v>
      </c>
      <c r="B4225" s="130">
        <v>0</v>
      </c>
      <c r="E4225" s="131"/>
    </row>
    <row r="4226" spans="1:9" x14ac:dyDescent="0.25">
      <c r="A4226" s="753">
        <v>302912</v>
      </c>
      <c r="B4226" s="130">
        <v>0</v>
      </c>
      <c r="E4226" s="131"/>
    </row>
    <row r="4227" spans="1:9" x14ac:dyDescent="0.25">
      <c r="A4227" s="753">
        <v>302914</v>
      </c>
      <c r="B4227" s="130">
        <v>0</v>
      </c>
      <c r="E4227" s="131"/>
    </row>
    <row r="4228" spans="1:9" x14ac:dyDescent="0.25">
      <c r="A4228" s="753">
        <v>302916</v>
      </c>
      <c r="B4228" s="130">
        <v>0</v>
      </c>
      <c r="E4228" s="131"/>
    </row>
    <row r="4229" spans="1:9" x14ac:dyDescent="0.25">
      <c r="A4229" s="753">
        <v>302918</v>
      </c>
      <c r="B4229" s="130">
        <v>0</v>
      </c>
      <c r="E4229" s="131"/>
    </row>
    <row r="4230" spans="1:9" x14ac:dyDescent="0.25">
      <c r="A4230" s="753">
        <v>303004</v>
      </c>
      <c r="B4230" s="130">
        <v>694</v>
      </c>
      <c r="C4230" s="131" t="s">
        <v>1322</v>
      </c>
      <c r="D4230" s="131">
        <v>16</v>
      </c>
      <c r="E4230" s="131" t="s">
        <v>1322</v>
      </c>
      <c r="F4230" s="767">
        <v>6926.32</v>
      </c>
      <c r="G4230" s="767">
        <v>693.96</v>
      </c>
      <c r="H4230" s="767">
        <v>7620.28</v>
      </c>
      <c r="I4230" s="768" t="s">
        <v>2026</v>
      </c>
    </row>
    <row r="4231" spans="1:9" x14ac:dyDescent="0.25">
      <c r="A4231" s="753">
        <v>303006</v>
      </c>
      <c r="B4231" s="130">
        <v>7620</v>
      </c>
      <c r="C4231" s="131" t="s">
        <v>1322</v>
      </c>
      <c r="D4231" s="131">
        <v>16</v>
      </c>
      <c r="E4231" s="131" t="s">
        <v>1322</v>
      </c>
      <c r="F4231" s="767">
        <v>6926.32</v>
      </c>
      <c r="G4231" s="767">
        <v>693.96</v>
      </c>
      <c r="H4231" s="767">
        <v>7620.28</v>
      </c>
      <c r="I4231" s="768" t="s">
        <v>2026</v>
      </c>
    </row>
    <row r="4232" spans="1:9" x14ac:dyDescent="0.25">
      <c r="A4232" s="753">
        <v>303008</v>
      </c>
      <c r="B4232" s="130">
        <v>1202</v>
      </c>
      <c r="C4232" s="131" t="s">
        <v>1323</v>
      </c>
      <c r="D4232" s="131">
        <v>16</v>
      </c>
      <c r="E4232" s="131" t="s">
        <v>1323</v>
      </c>
      <c r="F4232" s="767">
        <v>15577.43</v>
      </c>
      <c r="G4232" s="767">
        <v>1202.49</v>
      </c>
      <c r="H4232" s="767">
        <v>16779.919999999998</v>
      </c>
      <c r="I4232" s="768" t="s">
        <v>2027</v>
      </c>
    </row>
    <row r="4233" spans="1:9" x14ac:dyDescent="0.25">
      <c r="A4233" s="753">
        <v>303010</v>
      </c>
      <c r="B4233" s="130">
        <v>16780</v>
      </c>
      <c r="C4233" s="131" t="s">
        <v>1323</v>
      </c>
      <c r="D4233" s="131">
        <v>16</v>
      </c>
      <c r="E4233" s="131" t="s">
        <v>1323</v>
      </c>
      <c r="F4233" s="767">
        <v>15577.43</v>
      </c>
      <c r="G4233" s="767">
        <v>1202.49</v>
      </c>
      <c r="H4233" s="767">
        <v>16779.919999999998</v>
      </c>
      <c r="I4233" s="768" t="s">
        <v>2027</v>
      </c>
    </row>
    <row r="4234" spans="1:9" x14ac:dyDescent="0.25">
      <c r="A4234" s="753">
        <v>303012</v>
      </c>
      <c r="B4234" s="130">
        <v>0</v>
      </c>
      <c r="E4234" s="131"/>
    </row>
    <row r="4235" spans="1:9" x14ac:dyDescent="0.25">
      <c r="A4235" s="753">
        <v>303014</v>
      </c>
      <c r="B4235" s="130">
        <v>0</v>
      </c>
      <c r="E4235" s="131"/>
    </row>
    <row r="4236" spans="1:9" x14ac:dyDescent="0.25">
      <c r="A4236" s="753">
        <v>303016</v>
      </c>
      <c r="B4236" s="130">
        <v>0</v>
      </c>
      <c r="E4236" s="131"/>
    </row>
    <row r="4237" spans="1:9" x14ac:dyDescent="0.25">
      <c r="A4237" s="753">
        <v>303018</v>
      </c>
      <c r="B4237" s="130">
        <v>0</v>
      </c>
      <c r="E4237" s="131"/>
    </row>
    <row r="4238" spans="1:9" x14ac:dyDescent="0.25">
      <c r="A4238" s="753">
        <v>303104</v>
      </c>
      <c r="B4238" s="130">
        <v>4885</v>
      </c>
      <c r="C4238" s="131" t="s">
        <v>1324</v>
      </c>
      <c r="D4238" s="131">
        <v>16</v>
      </c>
      <c r="E4238" s="131" t="s">
        <v>1324</v>
      </c>
      <c r="F4238" s="767">
        <v>41057.599999999999</v>
      </c>
      <c r="G4238" s="767">
        <v>4885.13</v>
      </c>
      <c r="H4238" s="767">
        <v>45942.73</v>
      </c>
      <c r="I4238" s="768" t="s">
        <v>2028</v>
      </c>
    </row>
    <row r="4239" spans="1:9" x14ac:dyDescent="0.25">
      <c r="A4239" s="753">
        <v>303106</v>
      </c>
      <c r="B4239" s="130">
        <v>45943</v>
      </c>
      <c r="C4239" s="131" t="s">
        <v>1324</v>
      </c>
      <c r="D4239" s="131">
        <v>16</v>
      </c>
      <c r="E4239" s="131" t="s">
        <v>1324</v>
      </c>
      <c r="F4239" s="767">
        <v>41057.599999999999</v>
      </c>
      <c r="G4239" s="767">
        <v>4885.13</v>
      </c>
      <c r="H4239" s="767">
        <v>45942.73</v>
      </c>
      <c r="I4239" s="768" t="s">
        <v>2028</v>
      </c>
    </row>
    <row r="4240" spans="1:9" x14ac:dyDescent="0.25">
      <c r="A4240" s="753">
        <v>303108</v>
      </c>
      <c r="B4240" s="130">
        <v>1690</v>
      </c>
      <c r="C4240" s="131" t="s">
        <v>1325</v>
      </c>
      <c r="D4240" s="131">
        <v>16</v>
      </c>
      <c r="E4240" s="131" t="s">
        <v>1325</v>
      </c>
      <c r="F4240" s="767">
        <v>13275.68</v>
      </c>
      <c r="G4240" s="767">
        <v>1689.63</v>
      </c>
      <c r="H4240" s="767">
        <v>14965.31</v>
      </c>
      <c r="I4240" s="768" t="s">
        <v>2029</v>
      </c>
    </row>
    <row r="4241" spans="1:9" x14ac:dyDescent="0.25">
      <c r="A4241" s="753">
        <v>303110</v>
      </c>
      <c r="B4241" s="130">
        <v>14965</v>
      </c>
      <c r="C4241" s="131" t="s">
        <v>1325</v>
      </c>
      <c r="D4241" s="131">
        <v>16</v>
      </c>
      <c r="E4241" s="131" t="s">
        <v>1325</v>
      </c>
      <c r="F4241" s="767">
        <v>13275.68</v>
      </c>
      <c r="G4241" s="767">
        <v>1689.63</v>
      </c>
      <c r="H4241" s="767">
        <v>14965.31</v>
      </c>
      <c r="I4241" s="768" t="s">
        <v>2029</v>
      </c>
    </row>
    <row r="4242" spans="1:9" x14ac:dyDescent="0.25">
      <c r="A4242" s="753">
        <v>303112</v>
      </c>
      <c r="B4242" s="130">
        <v>0</v>
      </c>
      <c r="E4242" s="131"/>
    </row>
    <row r="4243" spans="1:9" x14ac:dyDescent="0.25">
      <c r="A4243" s="753">
        <v>303114</v>
      </c>
      <c r="B4243" s="130">
        <v>0</v>
      </c>
      <c r="E4243" s="131"/>
    </row>
    <row r="4244" spans="1:9" x14ac:dyDescent="0.25">
      <c r="A4244" s="753">
        <v>303116</v>
      </c>
      <c r="B4244" s="130">
        <v>0</v>
      </c>
      <c r="E4244" s="131"/>
    </row>
    <row r="4245" spans="1:9" x14ac:dyDescent="0.25">
      <c r="A4245" s="753">
        <v>303118</v>
      </c>
      <c r="B4245" s="130">
        <v>0</v>
      </c>
      <c r="E4245" s="131"/>
    </row>
    <row r="4246" spans="1:9" x14ac:dyDescent="0.25">
      <c r="A4246" s="753">
        <v>303204</v>
      </c>
      <c r="B4246" s="130">
        <v>3077</v>
      </c>
      <c r="C4246" s="131" t="s">
        <v>1326</v>
      </c>
      <c r="D4246" s="131">
        <v>16</v>
      </c>
      <c r="E4246" s="131" t="s">
        <v>1326</v>
      </c>
      <c r="F4246" s="767">
        <v>29846.62</v>
      </c>
      <c r="G4246" s="767">
        <v>3076.7</v>
      </c>
      <c r="H4246" s="767">
        <v>32923.32</v>
      </c>
      <c r="I4246" s="768" t="s">
        <v>2030</v>
      </c>
    </row>
    <row r="4247" spans="1:9" x14ac:dyDescent="0.25">
      <c r="A4247" s="753">
        <v>303206</v>
      </c>
      <c r="B4247" s="130">
        <v>32923</v>
      </c>
      <c r="C4247" s="131" t="s">
        <v>1326</v>
      </c>
      <c r="D4247" s="131">
        <v>16</v>
      </c>
      <c r="E4247" s="131" t="s">
        <v>1326</v>
      </c>
      <c r="F4247" s="767">
        <v>29846.62</v>
      </c>
      <c r="G4247" s="767">
        <v>3076.7</v>
      </c>
      <c r="H4247" s="767">
        <v>32923.32</v>
      </c>
      <c r="I4247" s="768" t="s">
        <v>2030</v>
      </c>
    </row>
    <row r="4248" spans="1:9" x14ac:dyDescent="0.25">
      <c r="A4248" s="753">
        <v>303208</v>
      </c>
      <c r="B4248" s="130">
        <v>896</v>
      </c>
      <c r="C4248" s="131" t="s">
        <v>1328</v>
      </c>
      <c r="D4248" s="131">
        <v>16</v>
      </c>
      <c r="E4248" s="131" t="s">
        <v>1328</v>
      </c>
      <c r="F4248" s="767">
        <v>7793.18</v>
      </c>
      <c r="G4248" s="767">
        <v>896.26</v>
      </c>
      <c r="H4248" s="767">
        <v>8689.44</v>
      </c>
      <c r="I4248" s="768" t="s">
        <v>2031</v>
      </c>
    </row>
    <row r="4249" spans="1:9" x14ac:dyDescent="0.25">
      <c r="A4249" s="753">
        <v>303210</v>
      </c>
      <c r="B4249" s="130">
        <v>8689</v>
      </c>
      <c r="C4249" s="131" t="s">
        <v>1328</v>
      </c>
      <c r="D4249" s="131">
        <v>16</v>
      </c>
      <c r="E4249" s="131" t="s">
        <v>1328</v>
      </c>
      <c r="F4249" s="767">
        <v>7793.18</v>
      </c>
      <c r="G4249" s="767">
        <v>896.26</v>
      </c>
      <c r="H4249" s="767">
        <v>8689.44</v>
      </c>
      <c r="I4249" s="768" t="s">
        <v>2031</v>
      </c>
    </row>
    <row r="4250" spans="1:9" x14ac:dyDescent="0.25">
      <c r="A4250" s="753">
        <v>303212</v>
      </c>
      <c r="B4250" s="130">
        <v>0</v>
      </c>
      <c r="E4250" s="131"/>
    </row>
    <row r="4251" spans="1:9" x14ac:dyDescent="0.25">
      <c r="A4251" s="753">
        <v>303214</v>
      </c>
      <c r="B4251" s="130">
        <v>0</v>
      </c>
      <c r="E4251" s="131"/>
    </row>
    <row r="4252" spans="1:9" x14ac:dyDescent="0.25">
      <c r="A4252" s="753">
        <v>303216</v>
      </c>
      <c r="B4252" s="130">
        <v>0</v>
      </c>
      <c r="E4252" s="131"/>
    </row>
    <row r="4253" spans="1:9" x14ac:dyDescent="0.25">
      <c r="A4253" s="753">
        <v>303218</v>
      </c>
      <c r="B4253" s="130">
        <v>0</v>
      </c>
      <c r="E4253" s="131"/>
    </row>
    <row r="4254" spans="1:9" x14ac:dyDescent="0.25">
      <c r="A4254" s="753">
        <v>303304</v>
      </c>
      <c r="B4254" s="130">
        <v>874</v>
      </c>
      <c r="C4254" s="131" t="s">
        <v>1329</v>
      </c>
      <c r="D4254" s="131">
        <v>16</v>
      </c>
      <c r="E4254" s="131" t="s">
        <v>1329</v>
      </c>
      <c r="F4254" s="767">
        <v>11861.03</v>
      </c>
      <c r="G4254" s="767">
        <v>874.14</v>
      </c>
      <c r="H4254" s="767">
        <v>12735.17</v>
      </c>
      <c r="I4254" s="768" t="s">
        <v>2032</v>
      </c>
    </row>
    <row r="4255" spans="1:9" x14ac:dyDescent="0.25">
      <c r="A4255" s="753">
        <v>303306</v>
      </c>
      <c r="B4255" s="130">
        <v>12735</v>
      </c>
      <c r="C4255" s="131" t="s">
        <v>1329</v>
      </c>
      <c r="D4255" s="131">
        <v>16</v>
      </c>
      <c r="E4255" s="131" t="s">
        <v>1329</v>
      </c>
      <c r="F4255" s="767">
        <v>11861.03</v>
      </c>
      <c r="G4255" s="767">
        <v>874.14</v>
      </c>
      <c r="H4255" s="767">
        <v>12735.17</v>
      </c>
      <c r="I4255" s="768" t="s">
        <v>2032</v>
      </c>
    </row>
    <row r="4256" spans="1:9" x14ac:dyDescent="0.25">
      <c r="A4256" s="753">
        <v>303308</v>
      </c>
      <c r="B4256" s="130">
        <v>224</v>
      </c>
      <c r="C4256" s="131" t="s">
        <v>1330</v>
      </c>
      <c r="D4256" s="131">
        <v>16</v>
      </c>
      <c r="E4256" s="131" t="s">
        <v>1330</v>
      </c>
      <c r="F4256" s="767">
        <v>1447.36</v>
      </c>
      <c r="G4256" s="767">
        <v>224.01</v>
      </c>
      <c r="H4256" s="767">
        <v>1671.37</v>
      </c>
      <c r="I4256" s="768" t="s">
        <v>2033</v>
      </c>
    </row>
    <row r="4257" spans="1:9" x14ac:dyDescent="0.25">
      <c r="A4257" s="753">
        <v>303310</v>
      </c>
      <c r="B4257" s="130">
        <v>1671</v>
      </c>
      <c r="C4257" s="131" t="s">
        <v>1330</v>
      </c>
      <c r="D4257" s="131">
        <v>16</v>
      </c>
      <c r="E4257" s="131" t="s">
        <v>1330</v>
      </c>
      <c r="F4257" s="767">
        <v>1447.36</v>
      </c>
      <c r="G4257" s="767">
        <v>224.01</v>
      </c>
      <c r="H4257" s="767">
        <v>1671.37</v>
      </c>
      <c r="I4257" s="768" t="s">
        <v>2033</v>
      </c>
    </row>
    <row r="4258" spans="1:9" x14ac:dyDescent="0.25">
      <c r="A4258" s="753">
        <v>303312</v>
      </c>
      <c r="B4258" s="130">
        <v>0</v>
      </c>
      <c r="E4258" s="131"/>
    </row>
    <row r="4259" spans="1:9" x14ac:dyDescent="0.25">
      <c r="A4259" s="753">
        <v>303314</v>
      </c>
      <c r="B4259" s="130">
        <v>0</v>
      </c>
      <c r="E4259" s="131"/>
    </row>
    <row r="4260" spans="1:9" x14ac:dyDescent="0.25">
      <c r="A4260" s="753">
        <v>303316</v>
      </c>
      <c r="B4260" s="130">
        <v>0</v>
      </c>
      <c r="E4260" s="131"/>
    </row>
    <row r="4261" spans="1:9" x14ac:dyDescent="0.25">
      <c r="A4261" s="753">
        <v>303318</v>
      </c>
      <c r="B4261" s="130">
        <v>0</v>
      </c>
      <c r="E4261" s="131"/>
    </row>
    <row r="4262" spans="1:9" x14ac:dyDescent="0.25">
      <c r="A4262" s="753">
        <v>303404</v>
      </c>
      <c r="B4262" s="130">
        <v>127</v>
      </c>
      <c r="C4262" s="131" t="s">
        <v>1331</v>
      </c>
      <c r="D4262" s="131">
        <v>16</v>
      </c>
      <c r="E4262" s="131" t="s">
        <v>1331</v>
      </c>
      <c r="F4262" s="767">
        <v>1510.65</v>
      </c>
      <c r="G4262" s="767">
        <v>127.35</v>
      </c>
      <c r="H4262" s="767">
        <v>1638</v>
      </c>
      <c r="I4262" s="768" t="s">
        <v>2034</v>
      </c>
    </row>
    <row r="4263" spans="1:9" x14ac:dyDescent="0.25">
      <c r="A4263" s="753">
        <v>303406</v>
      </c>
      <c r="B4263" s="130">
        <v>1638</v>
      </c>
      <c r="C4263" s="131" t="s">
        <v>1331</v>
      </c>
      <c r="D4263" s="131">
        <v>16</v>
      </c>
      <c r="E4263" s="131" t="s">
        <v>1331</v>
      </c>
      <c r="F4263" s="767">
        <v>1510.65</v>
      </c>
      <c r="G4263" s="767">
        <v>127.35</v>
      </c>
      <c r="H4263" s="767">
        <v>1638</v>
      </c>
      <c r="I4263" s="768" t="s">
        <v>2034</v>
      </c>
    </row>
    <row r="4264" spans="1:9" x14ac:dyDescent="0.25">
      <c r="A4264" s="753">
        <v>303408</v>
      </c>
      <c r="B4264" s="130">
        <v>28</v>
      </c>
      <c r="C4264" s="131" t="s">
        <v>1332</v>
      </c>
      <c r="D4264" s="131">
        <v>16</v>
      </c>
      <c r="E4264" s="131" t="s">
        <v>1332</v>
      </c>
      <c r="F4264" s="767">
        <v>335.7</v>
      </c>
      <c r="G4264" s="767">
        <v>28.3</v>
      </c>
      <c r="H4264" s="767">
        <v>364</v>
      </c>
      <c r="I4264" s="768" t="s">
        <v>2035</v>
      </c>
    </row>
    <row r="4265" spans="1:9" x14ac:dyDescent="0.25">
      <c r="A4265" s="753">
        <v>303410</v>
      </c>
      <c r="B4265" s="130">
        <v>364</v>
      </c>
      <c r="C4265" s="131" t="s">
        <v>1332</v>
      </c>
      <c r="D4265" s="131">
        <v>16</v>
      </c>
      <c r="E4265" s="131" t="s">
        <v>1332</v>
      </c>
      <c r="F4265" s="767">
        <v>335.7</v>
      </c>
      <c r="G4265" s="767">
        <v>28.3</v>
      </c>
      <c r="H4265" s="767">
        <v>364</v>
      </c>
      <c r="I4265" s="768" t="s">
        <v>2035</v>
      </c>
    </row>
    <row r="4266" spans="1:9" x14ac:dyDescent="0.25">
      <c r="A4266" s="753">
        <v>303412</v>
      </c>
      <c r="B4266" s="130">
        <v>0</v>
      </c>
      <c r="E4266" s="131"/>
    </row>
    <row r="4267" spans="1:9" x14ac:dyDescent="0.25">
      <c r="A4267" s="753">
        <v>303414</v>
      </c>
      <c r="B4267" s="130">
        <v>0</v>
      </c>
      <c r="E4267" s="131"/>
    </row>
    <row r="4268" spans="1:9" x14ac:dyDescent="0.25">
      <c r="A4268" s="753">
        <v>303416</v>
      </c>
      <c r="B4268" s="130">
        <v>0</v>
      </c>
      <c r="E4268" s="131"/>
    </row>
    <row r="4269" spans="1:9" x14ac:dyDescent="0.25">
      <c r="A4269" s="753">
        <v>303418</v>
      </c>
      <c r="B4269" s="130">
        <v>0</v>
      </c>
      <c r="E4269" s="131"/>
    </row>
    <row r="4270" spans="1:9" x14ac:dyDescent="0.25">
      <c r="A4270" s="753">
        <v>303504</v>
      </c>
      <c r="B4270" s="130">
        <v>2838</v>
      </c>
      <c r="C4270" s="131" t="s">
        <v>1333</v>
      </c>
      <c r="D4270" s="131">
        <v>16</v>
      </c>
      <c r="E4270" s="131" t="s">
        <v>1333</v>
      </c>
      <c r="F4270" s="767">
        <v>25544.7</v>
      </c>
      <c r="G4270" s="767">
        <v>2838.3</v>
      </c>
      <c r="H4270" s="767">
        <v>28383</v>
      </c>
      <c r="I4270" s="768" t="s">
        <v>2036</v>
      </c>
    </row>
    <row r="4271" spans="1:9" x14ac:dyDescent="0.25">
      <c r="A4271" s="753">
        <v>303506</v>
      </c>
      <c r="B4271" s="130">
        <v>28383</v>
      </c>
      <c r="C4271" s="131" t="s">
        <v>1333</v>
      </c>
      <c r="D4271" s="131">
        <v>16</v>
      </c>
      <c r="E4271" s="131" t="s">
        <v>1333</v>
      </c>
      <c r="F4271" s="767">
        <v>25544.7</v>
      </c>
      <c r="G4271" s="767">
        <v>2838.3</v>
      </c>
      <c r="H4271" s="767">
        <v>28383</v>
      </c>
      <c r="I4271" s="768" t="s">
        <v>2036</v>
      </c>
    </row>
    <row r="4272" spans="1:9" x14ac:dyDescent="0.25">
      <c r="A4272" s="753">
        <v>303508</v>
      </c>
      <c r="B4272" s="130">
        <v>631</v>
      </c>
      <c r="C4272" s="131" t="s">
        <v>1334</v>
      </c>
      <c r="D4272" s="131">
        <v>16</v>
      </c>
      <c r="E4272" s="131" t="s">
        <v>1334</v>
      </c>
      <c r="F4272" s="767">
        <v>5676.57</v>
      </c>
      <c r="G4272" s="767">
        <v>630.73</v>
      </c>
      <c r="H4272" s="767">
        <v>6307.3</v>
      </c>
      <c r="I4272" s="768" t="s">
        <v>2037</v>
      </c>
    </row>
    <row r="4273" spans="1:9" x14ac:dyDescent="0.25">
      <c r="A4273" s="753">
        <v>303510</v>
      </c>
      <c r="B4273" s="130">
        <v>6307</v>
      </c>
      <c r="C4273" s="131" t="s">
        <v>1334</v>
      </c>
      <c r="D4273" s="131">
        <v>16</v>
      </c>
      <c r="E4273" s="131" t="s">
        <v>1334</v>
      </c>
      <c r="F4273" s="767">
        <v>5676.57</v>
      </c>
      <c r="G4273" s="767">
        <v>630.73</v>
      </c>
      <c r="H4273" s="767">
        <v>6307.3</v>
      </c>
      <c r="I4273" s="768" t="s">
        <v>2037</v>
      </c>
    </row>
    <row r="4274" spans="1:9" x14ac:dyDescent="0.25">
      <c r="A4274" s="753">
        <v>303512</v>
      </c>
      <c r="B4274" s="130">
        <v>0</v>
      </c>
      <c r="E4274" s="131"/>
    </row>
    <row r="4275" spans="1:9" x14ac:dyDescent="0.25">
      <c r="A4275" s="753">
        <v>303514</v>
      </c>
      <c r="B4275" s="130">
        <v>0</v>
      </c>
      <c r="E4275" s="131"/>
    </row>
    <row r="4276" spans="1:9" x14ac:dyDescent="0.25">
      <c r="A4276" s="753">
        <v>303516</v>
      </c>
      <c r="B4276" s="130">
        <v>0</v>
      </c>
      <c r="E4276" s="131"/>
    </row>
    <row r="4277" spans="1:9" x14ac:dyDescent="0.25">
      <c r="A4277" s="753">
        <v>303518</v>
      </c>
      <c r="B4277" s="130">
        <v>0</v>
      </c>
      <c r="E4277" s="131"/>
    </row>
    <row r="4278" spans="1:9" x14ac:dyDescent="0.25">
      <c r="A4278" s="753">
        <v>303604</v>
      </c>
      <c r="B4278" s="130">
        <v>213</v>
      </c>
      <c r="C4278" s="131" t="s">
        <v>1335</v>
      </c>
      <c r="D4278" s="131">
        <v>16</v>
      </c>
      <c r="E4278" s="131" t="s">
        <v>1335</v>
      </c>
      <c r="F4278" s="767">
        <v>2099.87</v>
      </c>
      <c r="G4278" s="767">
        <v>213.35</v>
      </c>
      <c r="H4278" s="767">
        <v>2313.2199999999998</v>
      </c>
      <c r="I4278" s="768" t="s">
        <v>2038</v>
      </c>
    </row>
    <row r="4279" spans="1:9" x14ac:dyDescent="0.25">
      <c r="A4279" s="753">
        <v>303606</v>
      </c>
      <c r="B4279" s="130">
        <v>2313</v>
      </c>
      <c r="C4279" s="131" t="s">
        <v>1335</v>
      </c>
      <c r="D4279" s="131">
        <v>16</v>
      </c>
      <c r="E4279" s="131" t="s">
        <v>1335</v>
      </c>
      <c r="F4279" s="767">
        <v>2099.87</v>
      </c>
      <c r="G4279" s="767">
        <v>213.35</v>
      </c>
      <c r="H4279" s="767">
        <v>2313.2199999999998</v>
      </c>
      <c r="I4279" s="768" t="s">
        <v>2038</v>
      </c>
    </row>
    <row r="4280" spans="1:9" x14ac:dyDescent="0.25">
      <c r="A4280" s="753">
        <v>303608</v>
      </c>
      <c r="B4280" s="130">
        <v>77</v>
      </c>
      <c r="C4280" s="131" t="s">
        <v>1336</v>
      </c>
      <c r="D4280" s="131">
        <v>16</v>
      </c>
      <c r="E4280" s="131" t="s">
        <v>1336</v>
      </c>
      <c r="F4280" s="767">
        <v>749.24</v>
      </c>
      <c r="G4280" s="767">
        <v>76.97</v>
      </c>
      <c r="H4280" s="767">
        <v>826.21</v>
      </c>
      <c r="I4280" s="768" t="s">
        <v>2039</v>
      </c>
    </row>
    <row r="4281" spans="1:9" x14ac:dyDescent="0.25">
      <c r="A4281" s="753">
        <v>303610</v>
      </c>
      <c r="B4281" s="130">
        <v>826</v>
      </c>
      <c r="C4281" s="131" t="s">
        <v>1336</v>
      </c>
      <c r="D4281" s="131">
        <v>16</v>
      </c>
      <c r="E4281" s="131" t="s">
        <v>1336</v>
      </c>
      <c r="F4281" s="767">
        <v>749.24</v>
      </c>
      <c r="G4281" s="767">
        <v>76.97</v>
      </c>
      <c r="H4281" s="767">
        <v>826.21</v>
      </c>
      <c r="I4281" s="768" t="s">
        <v>2039</v>
      </c>
    </row>
    <row r="4282" spans="1:9" x14ac:dyDescent="0.25">
      <c r="A4282" s="753">
        <v>303612</v>
      </c>
      <c r="B4282" s="130">
        <v>0</v>
      </c>
      <c r="E4282" s="131"/>
    </row>
    <row r="4283" spans="1:9" x14ac:dyDescent="0.25">
      <c r="A4283" s="753">
        <v>303614</v>
      </c>
      <c r="B4283" s="130">
        <v>0</v>
      </c>
      <c r="E4283" s="131"/>
    </row>
    <row r="4284" spans="1:9" x14ac:dyDescent="0.25">
      <c r="A4284" s="753">
        <v>303616</v>
      </c>
      <c r="B4284" s="130">
        <v>0</v>
      </c>
      <c r="E4284" s="131"/>
    </row>
    <row r="4285" spans="1:9" x14ac:dyDescent="0.25">
      <c r="A4285" s="753">
        <v>303618</v>
      </c>
      <c r="B4285" s="130">
        <v>0</v>
      </c>
      <c r="E4285" s="131"/>
    </row>
    <row r="4286" spans="1:9" x14ac:dyDescent="0.25">
      <c r="A4286" s="753">
        <v>303704</v>
      </c>
      <c r="B4286" s="130">
        <v>424</v>
      </c>
      <c r="C4286" s="131" t="s">
        <v>1337</v>
      </c>
      <c r="D4286" s="131">
        <v>16</v>
      </c>
      <c r="E4286" s="131" t="s">
        <v>1337</v>
      </c>
      <c r="F4286" s="767">
        <v>1600.84</v>
      </c>
      <c r="G4286" s="767">
        <v>423.95</v>
      </c>
      <c r="H4286" s="767">
        <v>2024.79</v>
      </c>
      <c r="I4286" s="768" t="s">
        <v>2040</v>
      </c>
    </row>
    <row r="4287" spans="1:9" x14ac:dyDescent="0.25">
      <c r="A4287" s="753">
        <v>303706</v>
      </c>
      <c r="B4287" s="130">
        <v>2025</v>
      </c>
      <c r="C4287" s="131" t="s">
        <v>1337</v>
      </c>
      <c r="D4287" s="131">
        <v>16</v>
      </c>
      <c r="E4287" s="131" t="s">
        <v>1337</v>
      </c>
      <c r="F4287" s="767">
        <v>1600.84</v>
      </c>
      <c r="G4287" s="767">
        <v>423.95</v>
      </c>
      <c r="H4287" s="767">
        <v>2024.79</v>
      </c>
      <c r="I4287" s="768" t="s">
        <v>2040</v>
      </c>
    </row>
    <row r="4288" spans="1:9" x14ac:dyDescent="0.25">
      <c r="A4288" s="753">
        <v>303708</v>
      </c>
      <c r="B4288" s="130">
        <v>59</v>
      </c>
      <c r="C4288" s="131" t="s">
        <v>1338</v>
      </c>
      <c r="D4288" s="131">
        <v>16</v>
      </c>
      <c r="E4288" s="131" t="s">
        <v>1338</v>
      </c>
      <c r="F4288" s="767">
        <v>623.21</v>
      </c>
      <c r="G4288" s="767">
        <v>59.02</v>
      </c>
      <c r="H4288" s="767">
        <v>682.23</v>
      </c>
      <c r="I4288" s="768" t="s">
        <v>2041</v>
      </c>
    </row>
    <row r="4289" spans="1:9" x14ac:dyDescent="0.25">
      <c r="A4289" s="753">
        <v>303710</v>
      </c>
      <c r="B4289" s="130">
        <v>682</v>
      </c>
      <c r="C4289" s="131" t="s">
        <v>1338</v>
      </c>
      <c r="D4289" s="131">
        <v>16</v>
      </c>
      <c r="E4289" s="131" t="s">
        <v>1338</v>
      </c>
      <c r="F4289" s="767">
        <v>623.21</v>
      </c>
      <c r="G4289" s="767">
        <v>59.02</v>
      </c>
      <c r="H4289" s="767">
        <v>682.23</v>
      </c>
      <c r="I4289" s="768" t="s">
        <v>2041</v>
      </c>
    </row>
    <row r="4290" spans="1:9" x14ac:dyDescent="0.25">
      <c r="A4290" s="753">
        <v>303712</v>
      </c>
      <c r="B4290" s="130">
        <v>0</v>
      </c>
      <c r="E4290" s="131"/>
    </row>
    <row r="4291" spans="1:9" x14ac:dyDescent="0.25">
      <c r="A4291" s="753">
        <v>303714</v>
      </c>
      <c r="B4291" s="130">
        <v>0</v>
      </c>
      <c r="E4291" s="131"/>
    </row>
    <row r="4292" spans="1:9" x14ac:dyDescent="0.25">
      <c r="A4292" s="753">
        <v>303716</v>
      </c>
      <c r="B4292" s="130">
        <v>0</v>
      </c>
      <c r="E4292" s="131"/>
    </row>
    <row r="4293" spans="1:9" x14ac:dyDescent="0.25">
      <c r="A4293" s="753">
        <v>303718</v>
      </c>
      <c r="B4293" s="130">
        <v>0</v>
      </c>
      <c r="E4293" s="131"/>
    </row>
    <row r="4294" spans="1:9" x14ac:dyDescent="0.25">
      <c r="A4294" s="753">
        <v>303804</v>
      </c>
      <c r="B4294" s="130">
        <v>523</v>
      </c>
      <c r="C4294" s="131" t="s">
        <v>1339</v>
      </c>
      <c r="D4294" s="131">
        <v>16</v>
      </c>
      <c r="E4294" s="131" t="s">
        <v>1339</v>
      </c>
      <c r="F4294" s="767">
        <v>5099.32</v>
      </c>
      <c r="G4294" s="767">
        <v>523.35</v>
      </c>
      <c r="H4294" s="767">
        <v>5622.67</v>
      </c>
      <c r="I4294" s="768" t="s">
        <v>2042</v>
      </c>
    </row>
    <row r="4295" spans="1:9" x14ac:dyDescent="0.25">
      <c r="A4295" s="753">
        <v>303806</v>
      </c>
      <c r="B4295" s="130">
        <v>5623</v>
      </c>
      <c r="C4295" s="131" t="s">
        <v>1339</v>
      </c>
      <c r="D4295" s="131">
        <v>16</v>
      </c>
      <c r="E4295" s="131" t="s">
        <v>1339</v>
      </c>
      <c r="F4295" s="767">
        <v>5099.32</v>
      </c>
      <c r="G4295" s="767">
        <v>523.35</v>
      </c>
      <c r="H4295" s="767">
        <v>5622.67</v>
      </c>
      <c r="I4295" s="768" t="s">
        <v>2042</v>
      </c>
    </row>
    <row r="4296" spans="1:9" x14ac:dyDescent="0.25">
      <c r="A4296" s="753">
        <v>303808</v>
      </c>
      <c r="B4296" s="130">
        <v>116</v>
      </c>
      <c r="C4296" s="131" t="s">
        <v>1340</v>
      </c>
      <c r="D4296" s="131">
        <v>16</v>
      </c>
      <c r="E4296" s="131" t="s">
        <v>1340</v>
      </c>
      <c r="F4296" s="767">
        <v>1133.18</v>
      </c>
      <c r="G4296" s="767">
        <v>116.3</v>
      </c>
      <c r="H4296" s="767">
        <v>1249.48</v>
      </c>
      <c r="I4296" s="768" t="s">
        <v>2043</v>
      </c>
    </row>
    <row r="4297" spans="1:9" x14ac:dyDescent="0.25">
      <c r="A4297" s="753">
        <v>303810</v>
      </c>
      <c r="B4297" s="130">
        <v>1249</v>
      </c>
      <c r="C4297" s="131" t="s">
        <v>1340</v>
      </c>
      <c r="D4297" s="131">
        <v>16</v>
      </c>
      <c r="E4297" s="131" t="s">
        <v>1340</v>
      </c>
      <c r="F4297" s="767">
        <v>1133.18</v>
      </c>
      <c r="G4297" s="767">
        <v>116.3</v>
      </c>
      <c r="H4297" s="767">
        <v>1249.48</v>
      </c>
      <c r="I4297" s="768" t="s">
        <v>2043</v>
      </c>
    </row>
    <row r="4298" spans="1:9" x14ac:dyDescent="0.25">
      <c r="A4298" s="753">
        <v>303812</v>
      </c>
      <c r="B4298" s="130">
        <v>0</v>
      </c>
      <c r="E4298" s="131"/>
    </row>
    <row r="4299" spans="1:9" x14ac:dyDescent="0.25">
      <c r="A4299" s="753">
        <v>303814</v>
      </c>
      <c r="B4299" s="130">
        <v>0</v>
      </c>
      <c r="E4299" s="131"/>
    </row>
    <row r="4300" spans="1:9" x14ac:dyDescent="0.25">
      <c r="A4300" s="753">
        <v>303816</v>
      </c>
      <c r="B4300" s="130">
        <v>0</v>
      </c>
      <c r="E4300" s="131"/>
    </row>
    <row r="4301" spans="1:9" x14ac:dyDescent="0.25">
      <c r="A4301" s="753">
        <v>303818</v>
      </c>
      <c r="B4301" s="130">
        <v>0</v>
      </c>
      <c r="E4301" s="131"/>
    </row>
    <row r="4302" spans="1:9" x14ac:dyDescent="0.25">
      <c r="A4302" s="753">
        <v>303904</v>
      </c>
      <c r="B4302" s="130">
        <v>83</v>
      </c>
      <c r="C4302" s="131" t="s">
        <v>1341</v>
      </c>
      <c r="D4302" s="131">
        <v>16</v>
      </c>
      <c r="E4302" s="131" t="s">
        <v>1341</v>
      </c>
      <c r="F4302" s="767">
        <v>1642.91</v>
      </c>
      <c r="G4302" s="767">
        <v>82.64</v>
      </c>
      <c r="H4302" s="767">
        <v>1725.55</v>
      </c>
      <c r="I4302" s="768" t="s">
        <v>2044</v>
      </c>
    </row>
    <row r="4303" spans="1:9" x14ac:dyDescent="0.25">
      <c r="A4303" s="753">
        <v>303906</v>
      </c>
      <c r="B4303" s="130">
        <v>1726</v>
      </c>
      <c r="C4303" s="131" t="s">
        <v>1341</v>
      </c>
      <c r="D4303" s="131">
        <v>16</v>
      </c>
      <c r="E4303" s="131" t="s">
        <v>1341</v>
      </c>
      <c r="F4303" s="767">
        <v>1642.91</v>
      </c>
      <c r="G4303" s="767">
        <v>82.64</v>
      </c>
      <c r="H4303" s="767">
        <v>1725.55</v>
      </c>
      <c r="I4303" s="768" t="s">
        <v>2044</v>
      </c>
    </row>
    <row r="4304" spans="1:9" x14ac:dyDescent="0.25">
      <c r="A4304" s="753">
        <v>303908</v>
      </c>
      <c r="B4304" s="130">
        <v>136</v>
      </c>
      <c r="C4304" s="131" t="s">
        <v>1342</v>
      </c>
      <c r="D4304" s="131">
        <v>16</v>
      </c>
      <c r="E4304" s="131" t="s">
        <v>1342</v>
      </c>
      <c r="F4304" s="767">
        <v>1396.9</v>
      </c>
      <c r="G4304" s="767">
        <v>135.56</v>
      </c>
      <c r="H4304" s="767">
        <v>1532.46</v>
      </c>
      <c r="I4304" s="768" t="s">
        <v>2045</v>
      </c>
    </row>
    <row r="4305" spans="1:9" x14ac:dyDescent="0.25">
      <c r="A4305" s="753">
        <v>303910</v>
      </c>
      <c r="B4305" s="130">
        <v>1532</v>
      </c>
      <c r="C4305" s="131" t="s">
        <v>1342</v>
      </c>
      <c r="D4305" s="131">
        <v>16</v>
      </c>
      <c r="E4305" s="131" t="s">
        <v>1342</v>
      </c>
      <c r="F4305" s="767">
        <v>1396.9</v>
      </c>
      <c r="G4305" s="767">
        <v>135.56</v>
      </c>
      <c r="H4305" s="767">
        <v>1532.46</v>
      </c>
      <c r="I4305" s="768" t="s">
        <v>2045</v>
      </c>
    </row>
    <row r="4306" spans="1:9" x14ac:dyDescent="0.25">
      <c r="A4306" s="753">
        <v>303912</v>
      </c>
      <c r="B4306" s="130">
        <v>0</v>
      </c>
      <c r="E4306" s="131"/>
    </row>
    <row r="4307" spans="1:9" x14ac:dyDescent="0.25">
      <c r="A4307" s="753">
        <v>303914</v>
      </c>
      <c r="B4307" s="130">
        <v>0</v>
      </c>
      <c r="E4307" s="131"/>
    </row>
    <row r="4308" spans="1:9" x14ac:dyDescent="0.25">
      <c r="A4308" s="753">
        <v>303916</v>
      </c>
      <c r="B4308" s="130">
        <v>0</v>
      </c>
      <c r="E4308" s="131"/>
    </row>
    <row r="4309" spans="1:9" x14ac:dyDescent="0.25">
      <c r="A4309" s="753">
        <v>303918</v>
      </c>
      <c r="B4309" s="130">
        <v>0</v>
      </c>
      <c r="E4309" s="131"/>
    </row>
    <row r="4310" spans="1:9" x14ac:dyDescent="0.25">
      <c r="A4310" s="753">
        <v>304004</v>
      </c>
      <c r="B4310" s="130">
        <v>0</v>
      </c>
      <c r="E4310" s="131"/>
    </row>
    <row r="4311" spans="1:9" x14ac:dyDescent="0.25">
      <c r="A4311" s="753">
        <v>304006</v>
      </c>
      <c r="B4311" s="130">
        <v>0</v>
      </c>
      <c r="E4311" s="131"/>
    </row>
    <row r="4312" spans="1:9" x14ac:dyDescent="0.25">
      <c r="A4312" s="753">
        <v>304008</v>
      </c>
      <c r="B4312" s="130">
        <v>0</v>
      </c>
      <c r="E4312" s="131"/>
    </row>
    <row r="4313" spans="1:9" x14ac:dyDescent="0.25">
      <c r="A4313" s="753">
        <v>304010</v>
      </c>
      <c r="B4313" s="130">
        <v>0</v>
      </c>
      <c r="E4313" s="131"/>
    </row>
    <row r="4314" spans="1:9" x14ac:dyDescent="0.25">
      <c r="A4314" s="753">
        <v>304012</v>
      </c>
      <c r="B4314" s="130">
        <v>0</v>
      </c>
      <c r="E4314" s="131"/>
    </row>
    <row r="4315" spans="1:9" x14ac:dyDescent="0.25">
      <c r="A4315" s="753">
        <v>304014</v>
      </c>
      <c r="B4315" s="130">
        <v>0</v>
      </c>
      <c r="E4315" s="131"/>
    </row>
    <row r="4316" spans="1:9" x14ac:dyDescent="0.25">
      <c r="A4316" s="753">
        <v>304016</v>
      </c>
      <c r="B4316" s="130">
        <v>0</v>
      </c>
      <c r="E4316" s="131"/>
    </row>
    <row r="4317" spans="1:9" x14ac:dyDescent="0.25">
      <c r="A4317" s="753">
        <v>304018</v>
      </c>
      <c r="B4317" s="130">
        <v>0</v>
      </c>
      <c r="E4317" s="131"/>
    </row>
    <row r="4318" spans="1:9" x14ac:dyDescent="0.25">
      <c r="A4318" s="753">
        <v>304104</v>
      </c>
      <c r="B4318" s="130">
        <v>3949</v>
      </c>
      <c r="C4318" s="131" t="s">
        <v>1343</v>
      </c>
      <c r="D4318" s="131">
        <v>16</v>
      </c>
      <c r="E4318" s="131" t="s">
        <v>1343</v>
      </c>
      <c r="F4318" s="767">
        <v>24588.99</v>
      </c>
      <c r="G4318" s="767">
        <v>3948.54</v>
      </c>
      <c r="H4318" s="767">
        <v>28537.53</v>
      </c>
      <c r="I4318" s="768" t="s">
        <v>2046</v>
      </c>
    </row>
    <row r="4319" spans="1:9" x14ac:dyDescent="0.25">
      <c r="A4319" s="753">
        <v>304106</v>
      </c>
      <c r="B4319" s="130">
        <v>28538</v>
      </c>
      <c r="C4319" s="131" t="s">
        <v>1343</v>
      </c>
      <c r="D4319" s="131">
        <v>16</v>
      </c>
      <c r="E4319" s="131" t="s">
        <v>1343</v>
      </c>
      <c r="F4319" s="767">
        <v>24588.99</v>
      </c>
      <c r="G4319" s="767">
        <v>3948.54</v>
      </c>
      <c r="H4319" s="767">
        <v>28537.53</v>
      </c>
      <c r="I4319" s="768" t="s">
        <v>2046</v>
      </c>
    </row>
    <row r="4320" spans="1:9" x14ac:dyDescent="0.25">
      <c r="A4320" s="753">
        <v>304108</v>
      </c>
      <c r="B4320" s="130">
        <v>877</v>
      </c>
      <c r="C4320" s="131" t="s">
        <v>1344</v>
      </c>
      <c r="D4320" s="131">
        <v>16</v>
      </c>
      <c r="E4320" s="131" t="s">
        <v>1344</v>
      </c>
      <c r="F4320" s="767">
        <v>5464.23</v>
      </c>
      <c r="G4320" s="767">
        <v>877.44</v>
      </c>
      <c r="H4320" s="767">
        <v>6341.67</v>
      </c>
      <c r="I4320" s="768" t="s">
        <v>2047</v>
      </c>
    </row>
    <row r="4321" spans="1:9" x14ac:dyDescent="0.25">
      <c r="A4321" s="753">
        <v>304110</v>
      </c>
      <c r="B4321" s="130">
        <v>6342</v>
      </c>
      <c r="C4321" s="131" t="s">
        <v>1344</v>
      </c>
      <c r="D4321" s="131">
        <v>16</v>
      </c>
      <c r="E4321" s="131" t="s">
        <v>1344</v>
      </c>
      <c r="F4321" s="767">
        <v>5464.23</v>
      </c>
      <c r="G4321" s="767">
        <v>877.44</v>
      </c>
      <c r="H4321" s="767">
        <v>6341.67</v>
      </c>
      <c r="I4321" s="768" t="s">
        <v>2047</v>
      </c>
    </row>
    <row r="4322" spans="1:9" x14ac:dyDescent="0.25">
      <c r="A4322" s="753">
        <v>304112</v>
      </c>
      <c r="B4322" s="130">
        <v>0</v>
      </c>
      <c r="E4322" s="131"/>
    </row>
    <row r="4323" spans="1:9" x14ac:dyDescent="0.25">
      <c r="A4323" s="753">
        <v>304114</v>
      </c>
      <c r="B4323" s="130">
        <v>0</v>
      </c>
      <c r="E4323" s="131"/>
    </row>
    <row r="4324" spans="1:9" x14ac:dyDescent="0.25">
      <c r="A4324" s="753">
        <v>304116</v>
      </c>
      <c r="B4324" s="130">
        <v>0</v>
      </c>
      <c r="E4324" s="131"/>
    </row>
    <row r="4325" spans="1:9" x14ac:dyDescent="0.25">
      <c r="A4325" s="753">
        <v>304118</v>
      </c>
      <c r="B4325" s="130">
        <v>0</v>
      </c>
      <c r="E4325" s="131"/>
    </row>
    <row r="4326" spans="1:9" x14ac:dyDescent="0.25">
      <c r="A4326" s="753">
        <v>304204</v>
      </c>
      <c r="B4326" s="130">
        <v>0</v>
      </c>
      <c r="E4326" s="131"/>
    </row>
    <row r="4327" spans="1:9" x14ac:dyDescent="0.25">
      <c r="A4327" s="753">
        <v>304206</v>
      </c>
      <c r="B4327" s="130">
        <v>0</v>
      </c>
      <c r="E4327" s="131"/>
    </row>
    <row r="4328" spans="1:9" x14ac:dyDescent="0.25">
      <c r="A4328" s="753">
        <v>304208</v>
      </c>
      <c r="B4328" s="130">
        <v>0</v>
      </c>
      <c r="E4328" s="131"/>
    </row>
    <row r="4329" spans="1:9" x14ac:dyDescent="0.25">
      <c r="A4329" s="753">
        <v>304210</v>
      </c>
      <c r="B4329" s="130">
        <v>0</v>
      </c>
      <c r="E4329" s="131"/>
    </row>
    <row r="4330" spans="1:9" x14ac:dyDescent="0.25">
      <c r="A4330" s="753">
        <v>304212</v>
      </c>
      <c r="B4330" s="130">
        <v>0</v>
      </c>
      <c r="E4330" s="131"/>
    </row>
    <row r="4331" spans="1:9" x14ac:dyDescent="0.25">
      <c r="A4331" s="753">
        <v>304214</v>
      </c>
      <c r="B4331" s="130">
        <v>0</v>
      </c>
      <c r="E4331" s="131"/>
    </row>
    <row r="4332" spans="1:9" x14ac:dyDescent="0.25">
      <c r="A4332" s="753">
        <v>304216</v>
      </c>
      <c r="B4332" s="130">
        <v>0</v>
      </c>
      <c r="E4332" s="131"/>
    </row>
    <row r="4333" spans="1:9" x14ac:dyDescent="0.25">
      <c r="A4333" s="753">
        <v>304218</v>
      </c>
      <c r="B4333" s="130">
        <v>0</v>
      </c>
      <c r="E4333" s="131"/>
    </row>
    <row r="4334" spans="1:9" x14ac:dyDescent="0.25">
      <c r="A4334" s="753">
        <v>304304</v>
      </c>
      <c r="B4334" s="130">
        <v>26896</v>
      </c>
      <c r="E4334" s="131"/>
    </row>
    <row r="4335" spans="1:9" x14ac:dyDescent="0.25">
      <c r="A4335" s="753">
        <v>304306</v>
      </c>
      <c r="B4335" s="130">
        <v>244921</v>
      </c>
      <c r="E4335" s="131"/>
    </row>
    <row r="4336" spans="1:9" x14ac:dyDescent="0.25">
      <c r="A4336" s="753">
        <v>304308</v>
      </c>
      <c r="B4336" s="130">
        <v>7369</v>
      </c>
      <c r="E4336" s="131"/>
    </row>
    <row r="4337" spans="1:9" x14ac:dyDescent="0.25">
      <c r="A4337" s="753">
        <v>304310</v>
      </c>
      <c r="B4337" s="130">
        <v>72088</v>
      </c>
      <c r="E4337" s="131"/>
    </row>
    <row r="4338" spans="1:9" x14ac:dyDescent="0.25">
      <c r="A4338" s="753">
        <v>304312</v>
      </c>
      <c r="B4338" s="130">
        <v>0</v>
      </c>
      <c r="E4338" s="131"/>
    </row>
    <row r="4339" spans="1:9" x14ac:dyDescent="0.25">
      <c r="A4339" s="753">
        <v>304314</v>
      </c>
      <c r="B4339" s="130">
        <v>0</v>
      </c>
      <c r="E4339" s="131"/>
    </row>
    <row r="4340" spans="1:9" x14ac:dyDescent="0.25">
      <c r="A4340" s="753">
        <v>304316</v>
      </c>
      <c r="B4340" s="130">
        <v>0</v>
      </c>
      <c r="E4340" s="131"/>
    </row>
    <row r="4341" spans="1:9" x14ac:dyDescent="0.25">
      <c r="A4341" s="753">
        <v>304318</v>
      </c>
      <c r="B4341" s="130">
        <v>0</v>
      </c>
      <c r="E4341" s="131"/>
    </row>
    <row r="4342" spans="1:9" x14ac:dyDescent="0.25">
      <c r="A4342" s="753">
        <v>304404</v>
      </c>
      <c r="B4342" s="130">
        <v>22500</v>
      </c>
      <c r="C4342" s="131" t="s">
        <v>1345</v>
      </c>
      <c r="D4342" s="131">
        <v>16</v>
      </c>
      <c r="E4342" s="131" t="s">
        <v>1345</v>
      </c>
      <c r="F4342" s="767">
        <v>202500</v>
      </c>
      <c r="G4342" s="767">
        <v>22500</v>
      </c>
      <c r="H4342" s="767">
        <v>225000</v>
      </c>
      <c r="I4342" s="768" t="s">
        <v>2048</v>
      </c>
    </row>
    <row r="4343" spans="1:9" x14ac:dyDescent="0.25">
      <c r="A4343" s="753">
        <v>304406</v>
      </c>
      <c r="B4343" s="130">
        <v>225000</v>
      </c>
      <c r="C4343" s="131" t="s">
        <v>1345</v>
      </c>
      <c r="D4343" s="131">
        <v>16</v>
      </c>
      <c r="E4343" s="131" t="s">
        <v>1345</v>
      </c>
      <c r="F4343" s="767">
        <v>202500</v>
      </c>
      <c r="G4343" s="767">
        <v>22500</v>
      </c>
      <c r="H4343" s="767">
        <v>225000</v>
      </c>
      <c r="I4343" s="768" t="s">
        <v>2048</v>
      </c>
    </row>
    <row r="4344" spans="1:9" x14ac:dyDescent="0.25">
      <c r="A4344" s="753">
        <v>304408</v>
      </c>
      <c r="B4344" s="130">
        <v>5000</v>
      </c>
      <c r="C4344" s="131" t="s">
        <v>1346</v>
      </c>
      <c r="D4344" s="131">
        <v>16</v>
      </c>
      <c r="E4344" s="131" t="s">
        <v>1346</v>
      </c>
      <c r="F4344" s="767">
        <v>45000</v>
      </c>
      <c r="G4344" s="767">
        <v>5000</v>
      </c>
      <c r="H4344" s="767">
        <v>50000</v>
      </c>
      <c r="I4344" s="768" t="s">
        <v>2049</v>
      </c>
    </row>
    <row r="4345" spans="1:9" x14ac:dyDescent="0.25">
      <c r="A4345" s="753">
        <v>304410</v>
      </c>
      <c r="B4345" s="130">
        <v>50000</v>
      </c>
      <c r="C4345" s="131" t="s">
        <v>1346</v>
      </c>
      <c r="D4345" s="131">
        <v>16</v>
      </c>
      <c r="E4345" s="131" t="s">
        <v>1346</v>
      </c>
      <c r="F4345" s="767">
        <v>45000</v>
      </c>
      <c r="G4345" s="767">
        <v>5000</v>
      </c>
      <c r="H4345" s="767">
        <v>50000</v>
      </c>
      <c r="I4345" s="768" t="s">
        <v>2049</v>
      </c>
    </row>
    <row r="4346" spans="1:9" x14ac:dyDescent="0.25">
      <c r="A4346" s="753">
        <v>304412</v>
      </c>
      <c r="B4346" s="130">
        <v>0</v>
      </c>
      <c r="E4346" s="131"/>
    </row>
    <row r="4347" spans="1:9" x14ac:dyDescent="0.25">
      <c r="A4347" s="753">
        <v>304414</v>
      </c>
      <c r="B4347" s="130">
        <v>0</v>
      </c>
      <c r="E4347" s="131"/>
    </row>
    <row r="4348" spans="1:9" x14ac:dyDescent="0.25">
      <c r="A4348" s="753">
        <v>304416</v>
      </c>
      <c r="B4348" s="130">
        <v>0</v>
      </c>
      <c r="E4348" s="131"/>
    </row>
    <row r="4349" spans="1:9" x14ac:dyDescent="0.25">
      <c r="A4349" s="753">
        <v>304418</v>
      </c>
      <c r="B4349" s="130">
        <v>0</v>
      </c>
      <c r="E4349" s="131"/>
    </row>
    <row r="4350" spans="1:9" x14ac:dyDescent="0.25">
      <c r="A4350" s="753">
        <v>304504</v>
      </c>
      <c r="B4350" s="130">
        <v>4820</v>
      </c>
      <c r="C4350" s="131" t="s">
        <v>1347</v>
      </c>
      <c r="D4350" s="131">
        <v>16</v>
      </c>
      <c r="E4350" s="131" t="s">
        <v>1347</v>
      </c>
      <c r="F4350" s="767">
        <v>43375.5</v>
      </c>
      <c r="G4350" s="767">
        <v>4819.5</v>
      </c>
      <c r="H4350" s="767">
        <v>48195</v>
      </c>
      <c r="I4350" s="768" t="s">
        <v>2050</v>
      </c>
    </row>
    <row r="4351" spans="1:9" x14ac:dyDescent="0.25">
      <c r="A4351" s="753">
        <v>304506</v>
      </c>
      <c r="B4351" s="130">
        <v>48195</v>
      </c>
      <c r="C4351" s="131" t="s">
        <v>1347</v>
      </c>
      <c r="D4351" s="131">
        <v>16</v>
      </c>
      <c r="E4351" s="131" t="s">
        <v>1347</v>
      </c>
      <c r="F4351" s="767">
        <v>43375.5</v>
      </c>
      <c r="G4351" s="767">
        <v>4819.5</v>
      </c>
      <c r="H4351" s="767">
        <v>48195</v>
      </c>
      <c r="I4351" s="768" t="s">
        <v>2050</v>
      </c>
    </row>
    <row r="4352" spans="1:9" x14ac:dyDescent="0.25">
      <c r="A4352" s="753">
        <v>304508</v>
      </c>
      <c r="B4352" s="130">
        <v>1071</v>
      </c>
      <c r="C4352" s="131" t="s">
        <v>1348</v>
      </c>
      <c r="D4352" s="131">
        <v>16</v>
      </c>
      <c r="E4352" s="131" t="s">
        <v>1348</v>
      </c>
      <c r="F4352" s="767">
        <v>9639</v>
      </c>
      <c r="G4352" s="767">
        <v>1071</v>
      </c>
      <c r="H4352" s="767">
        <v>10710</v>
      </c>
      <c r="I4352" s="768" t="s">
        <v>2051</v>
      </c>
    </row>
    <row r="4353" spans="1:9" x14ac:dyDescent="0.25">
      <c r="A4353" s="753">
        <v>304510</v>
      </c>
      <c r="B4353" s="130">
        <v>10710</v>
      </c>
      <c r="C4353" s="131" t="s">
        <v>1348</v>
      </c>
      <c r="D4353" s="131">
        <v>16</v>
      </c>
      <c r="E4353" s="131" t="s">
        <v>1348</v>
      </c>
      <c r="F4353" s="767">
        <v>9639</v>
      </c>
      <c r="G4353" s="767">
        <v>1071</v>
      </c>
      <c r="H4353" s="767">
        <v>10710</v>
      </c>
      <c r="I4353" s="768" t="s">
        <v>2051</v>
      </c>
    </row>
    <row r="4354" spans="1:9" x14ac:dyDescent="0.25">
      <c r="A4354" s="753">
        <v>304512</v>
      </c>
      <c r="B4354" s="130">
        <v>0</v>
      </c>
      <c r="E4354" s="131"/>
    </row>
    <row r="4355" spans="1:9" x14ac:dyDescent="0.25">
      <c r="A4355" s="753">
        <v>304514</v>
      </c>
      <c r="B4355" s="130">
        <v>0</v>
      </c>
      <c r="E4355" s="131"/>
    </row>
    <row r="4356" spans="1:9" x14ac:dyDescent="0.25">
      <c r="A4356" s="753">
        <v>304516</v>
      </c>
      <c r="B4356" s="130">
        <v>0</v>
      </c>
      <c r="E4356" s="131"/>
    </row>
    <row r="4357" spans="1:9" x14ac:dyDescent="0.25">
      <c r="A4357" s="753">
        <v>304518</v>
      </c>
      <c r="B4357" s="130">
        <v>0</v>
      </c>
      <c r="E4357" s="131"/>
    </row>
    <row r="4358" spans="1:9" x14ac:dyDescent="0.25">
      <c r="A4358" s="753">
        <v>304604</v>
      </c>
      <c r="B4358" s="130">
        <v>0</v>
      </c>
      <c r="E4358" s="131"/>
    </row>
    <row r="4359" spans="1:9" x14ac:dyDescent="0.25">
      <c r="A4359" s="753">
        <v>304606</v>
      </c>
      <c r="B4359" s="130">
        <v>0</v>
      </c>
      <c r="E4359" s="131"/>
    </row>
    <row r="4360" spans="1:9" x14ac:dyDescent="0.25">
      <c r="A4360" s="753">
        <v>304608</v>
      </c>
      <c r="B4360" s="130">
        <v>0</v>
      </c>
      <c r="E4360" s="131"/>
    </row>
    <row r="4361" spans="1:9" x14ac:dyDescent="0.25">
      <c r="A4361" s="753">
        <v>304610</v>
      </c>
      <c r="B4361" s="130">
        <v>0</v>
      </c>
      <c r="E4361" s="131"/>
    </row>
    <row r="4362" spans="1:9" x14ac:dyDescent="0.25">
      <c r="A4362" s="753">
        <v>304612</v>
      </c>
      <c r="B4362" s="130">
        <v>0</v>
      </c>
      <c r="E4362" s="131"/>
    </row>
    <row r="4363" spans="1:9" x14ac:dyDescent="0.25">
      <c r="A4363" s="753">
        <v>304614</v>
      </c>
      <c r="B4363" s="130">
        <v>0</v>
      </c>
      <c r="E4363" s="131"/>
    </row>
    <row r="4364" spans="1:9" x14ac:dyDescent="0.25">
      <c r="A4364" s="753">
        <v>304616</v>
      </c>
      <c r="B4364" s="130">
        <v>0</v>
      </c>
      <c r="E4364" s="131"/>
    </row>
    <row r="4365" spans="1:9" x14ac:dyDescent="0.25">
      <c r="A4365" s="753">
        <v>304618</v>
      </c>
      <c r="B4365" s="130">
        <v>0</v>
      </c>
      <c r="E4365" s="131"/>
    </row>
    <row r="4366" spans="1:9" x14ac:dyDescent="0.25">
      <c r="A4366" s="753">
        <v>304704</v>
      </c>
      <c r="B4366" s="130">
        <v>0</v>
      </c>
      <c r="E4366" s="131"/>
    </row>
    <row r="4367" spans="1:9" x14ac:dyDescent="0.25">
      <c r="A4367" s="753">
        <v>304706</v>
      </c>
      <c r="B4367" s="130">
        <v>0</v>
      </c>
      <c r="E4367" s="131"/>
    </row>
    <row r="4368" spans="1:9" x14ac:dyDescent="0.25">
      <c r="A4368" s="753">
        <v>304708</v>
      </c>
      <c r="B4368" s="130">
        <v>0</v>
      </c>
      <c r="E4368" s="131"/>
    </row>
    <row r="4369" spans="1:9" x14ac:dyDescent="0.25">
      <c r="A4369" s="753">
        <v>304710</v>
      </c>
      <c r="B4369" s="130">
        <v>0</v>
      </c>
      <c r="E4369" s="131"/>
    </row>
    <row r="4370" spans="1:9" x14ac:dyDescent="0.25">
      <c r="A4370" s="753">
        <v>304712</v>
      </c>
      <c r="B4370" s="130">
        <v>0</v>
      </c>
      <c r="E4370" s="131"/>
    </row>
    <row r="4371" spans="1:9" x14ac:dyDescent="0.25">
      <c r="A4371" s="753">
        <v>304714</v>
      </c>
      <c r="B4371" s="130">
        <v>0</v>
      </c>
      <c r="E4371" s="131"/>
    </row>
    <row r="4372" spans="1:9" x14ac:dyDescent="0.25">
      <c r="A4372" s="753">
        <v>304716</v>
      </c>
      <c r="B4372" s="130">
        <v>0</v>
      </c>
      <c r="E4372" s="131"/>
    </row>
    <row r="4373" spans="1:9" x14ac:dyDescent="0.25">
      <c r="A4373" s="753">
        <v>304718</v>
      </c>
      <c r="B4373" s="130">
        <v>0</v>
      </c>
      <c r="E4373" s="131"/>
    </row>
    <row r="4374" spans="1:9" x14ac:dyDescent="0.25">
      <c r="A4374" s="753">
        <v>304804</v>
      </c>
      <c r="B4374" s="130">
        <v>2491</v>
      </c>
      <c r="C4374" s="131" t="s">
        <v>1349</v>
      </c>
      <c r="D4374" s="131">
        <v>16</v>
      </c>
      <c r="E4374" s="131" t="s">
        <v>1349</v>
      </c>
      <c r="F4374" s="767">
        <v>23327.7</v>
      </c>
      <c r="G4374" s="767">
        <v>2490.98</v>
      </c>
      <c r="H4374" s="767">
        <v>25818.68</v>
      </c>
      <c r="I4374" s="768" t="s">
        <v>2052</v>
      </c>
    </row>
    <row r="4375" spans="1:9" x14ac:dyDescent="0.25">
      <c r="A4375" s="753">
        <v>304806</v>
      </c>
      <c r="B4375" s="130">
        <v>25819</v>
      </c>
      <c r="C4375" s="131" t="s">
        <v>1349</v>
      </c>
      <c r="D4375" s="131">
        <v>16</v>
      </c>
      <c r="E4375" s="131" t="s">
        <v>1349</v>
      </c>
      <c r="F4375" s="767">
        <v>23327.7</v>
      </c>
      <c r="G4375" s="767">
        <v>2490.98</v>
      </c>
      <c r="H4375" s="767">
        <v>25818.68</v>
      </c>
      <c r="I4375" s="768" t="s">
        <v>2052</v>
      </c>
    </row>
    <row r="4376" spans="1:9" x14ac:dyDescent="0.25">
      <c r="A4376" s="753">
        <v>304808</v>
      </c>
      <c r="B4376" s="130">
        <v>554</v>
      </c>
      <c r="C4376" s="131" t="s">
        <v>1350</v>
      </c>
      <c r="D4376" s="131">
        <v>16</v>
      </c>
      <c r="E4376" s="131" t="s">
        <v>1350</v>
      </c>
      <c r="F4376" s="767">
        <v>5183.91</v>
      </c>
      <c r="G4376" s="767">
        <v>553.54999999999995</v>
      </c>
      <c r="H4376" s="767">
        <v>5737.46</v>
      </c>
      <c r="I4376" s="768" t="s">
        <v>2053</v>
      </c>
    </row>
    <row r="4377" spans="1:9" x14ac:dyDescent="0.25">
      <c r="A4377" s="753">
        <v>304810</v>
      </c>
      <c r="B4377" s="130">
        <v>5737</v>
      </c>
      <c r="C4377" s="131" t="s">
        <v>1350</v>
      </c>
      <c r="D4377" s="131">
        <v>16</v>
      </c>
      <c r="E4377" s="131" t="s">
        <v>1350</v>
      </c>
      <c r="F4377" s="767">
        <v>5183.91</v>
      </c>
      <c r="G4377" s="767">
        <v>553.54999999999995</v>
      </c>
      <c r="H4377" s="767">
        <v>5737.46</v>
      </c>
      <c r="I4377" s="768" t="s">
        <v>2053</v>
      </c>
    </row>
    <row r="4378" spans="1:9" x14ac:dyDescent="0.25">
      <c r="A4378" s="753">
        <v>304812</v>
      </c>
      <c r="B4378" s="130">
        <v>0</v>
      </c>
      <c r="E4378" s="131"/>
    </row>
    <row r="4379" spans="1:9" x14ac:dyDescent="0.25">
      <c r="A4379" s="753">
        <v>304814</v>
      </c>
      <c r="B4379" s="130">
        <v>0</v>
      </c>
      <c r="E4379" s="131"/>
    </row>
    <row r="4380" spans="1:9" x14ac:dyDescent="0.25">
      <c r="A4380" s="753">
        <v>304816</v>
      </c>
      <c r="B4380" s="130">
        <v>0</v>
      </c>
      <c r="E4380" s="131"/>
    </row>
    <row r="4381" spans="1:9" x14ac:dyDescent="0.25">
      <c r="A4381" s="753">
        <v>304818</v>
      </c>
      <c r="B4381" s="130">
        <v>0</v>
      </c>
      <c r="E4381" s="131"/>
    </row>
    <row r="4382" spans="1:9" x14ac:dyDescent="0.25">
      <c r="A4382" s="753">
        <v>304904</v>
      </c>
      <c r="B4382" s="130">
        <v>1957</v>
      </c>
      <c r="C4382" s="131" t="s">
        <v>1351</v>
      </c>
      <c r="D4382" s="131">
        <v>16</v>
      </c>
      <c r="E4382" s="131" t="s">
        <v>1351</v>
      </c>
      <c r="F4382" s="767">
        <v>17616.509999999998</v>
      </c>
      <c r="G4382" s="767">
        <v>1957.39</v>
      </c>
      <c r="H4382" s="767">
        <v>19573.900000000001</v>
      </c>
      <c r="I4382" s="768" t="s">
        <v>2054</v>
      </c>
    </row>
    <row r="4383" spans="1:9" x14ac:dyDescent="0.25">
      <c r="A4383" s="753">
        <v>304906</v>
      </c>
      <c r="B4383" s="130">
        <v>19574</v>
      </c>
      <c r="C4383" s="131" t="s">
        <v>1351</v>
      </c>
      <c r="D4383" s="131">
        <v>16</v>
      </c>
      <c r="E4383" s="131" t="s">
        <v>1351</v>
      </c>
      <c r="F4383" s="767">
        <v>17616.509999999998</v>
      </c>
      <c r="G4383" s="767">
        <v>1957.39</v>
      </c>
      <c r="H4383" s="767">
        <v>19573.900000000001</v>
      </c>
      <c r="I4383" s="768" t="s">
        <v>2054</v>
      </c>
    </row>
    <row r="4384" spans="1:9" x14ac:dyDescent="0.25">
      <c r="A4384" s="753">
        <v>304908</v>
      </c>
      <c r="B4384" s="130">
        <v>435</v>
      </c>
      <c r="C4384" s="131" t="s">
        <v>1352</v>
      </c>
      <c r="D4384" s="131">
        <v>16</v>
      </c>
      <c r="E4384" s="131" t="s">
        <v>1352</v>
      </c>
      <c r="F4384" s="767">
        <v>3914.82</v>
      </c>
      <c r="G4384" s="767">
        <v>434.98</v>
      </c>
      <c r="H4384" s="767">
        <v>4349.8</v>
      </c>
      <c r="I4384" s="768" t="s">
        <v>2055</v>
      </c>
    </row>
    <row r="4385" spans="1:9" x14ac:dyDescent="0.25">
      <c r="A4385" s="753">
        <v>304910</v>
      </c>
      <c r="B4385" s="130">
        <v>4350</v>
      </c>
      <c r="C4385" s="131" t="s">
        <v>1352</v>
      </c>
      <c r="D4385" s="131">
        <v>16</v>
      </c>
      <c r="E4385" s="131" t="s">
        <v>1352</v>
      </c>
      <c r="F4385" s="767">
        <v>3914.82</v>
      </c>
      <c r="G4385" s="767">
        <v>434.98</v>
      </c>
      <c r="H4385" s="767">
        <v>4349.8</v>
      </c>
      <c r="I4385" s="768" t="s">
        <v>2055</v>
      </c>
    </row>
    <row r="4386" spans="1:9" x14ac:dyDescent="0.25">
      <c r="A4386" s="753">
        <v>304912</v>
      </c>
      <c r="B4386" s="130">
        <v>0</v>
      </c>
      <c r="E4386" s="131"/>
    </row>
    <row r="4387" spans="1:9" x14ac:dyDescent="0.25">
      <c r="A4387" s="753">
        <v>304914</v>
      </c>
      <c r="B4387" s="130">
        <v>0</v>
      </c>
      <c r="E4387" s="131"/>
    </row>
    <row r="4388" spans="1:9" x14ac:dyDescent="0.25">
      <c r="A4388" s="753">
        <v>304916</v>
      </c>
      <c r="B4388" s="130">
        <v>0</v>
      </c>
      <c r="E4388" s="131"/>
    </row>
    <row r="4389" spans="1:9" x14ac:dyDescent="0.25">
      <c r="A4389" s="753">
        <v>304918</v>
      </c>
      <c r="B4389" s="130">
        <v>0</v>
      </c>
      <c r="E4389" s="131"/>
    </row>
    <row r="4390" spans="1:9" x14ac:dyDescent="0.25">
      <c r="A4390" s="753">
        <v>305004</v>
      </c>
      <c r="B4390" s="130">
        <v>1825</v>
      </c>
      <c r="C4390" s="131" t="s">
        <v>1353</v>
      </c>
      <c r="D4390" s="131">
        <v>16</v>
      </c>
      <c r="E4390" s="131" t="s">
        <v>1353</v>
      </c>
      <c r="F4390" s="767">
        <v>20023.59</v>
      </c>
      <c r="G4390" s="767">
        <v>1824.55</v>
      </c>
      <c r="H4390" s="767">
        <v>21848.14</v>
      </c>
      <c r="I4390" s="768" t="s">
        <v>2056</v>
      </c>
    </row>
    <row r="4391" spans="1:9" x14ac:dyDescent="0.25">
      <c r="A4391" s="753">
        <v>305006</v>
      </c>
      <c r="B4391" s="130">
        <v>21848</v>
      </c>
      <c r="C4391" s="131" t="s">
        <v>1353</v>
      </c>
      <c r="D4391" s="131">
        <v>16</v>
      </c>
      <c r="E4391" s="131" t="s">
        <v>1353</v>
      </c>
      <c r="F4391" s="767">
        <v>20023.59</v>
      </c>
      <c r="G4391" s="767">
        <v>1824.55</v>
      </c>
      <c r="H4391" s="767">
        <v>21848.14</v>
      </c>
      <c r="I4391" s="768" t="s">
        <v>2056</v>
      </c>
    </row>
    <row r="4392" spans="1:9" x14ac:dyDescent="0.25">
      <c r="A4392" s="753">
        <v>305008</v>
      </c>
      <c r="B4392" s="130">
        <v>405</v>
      </c>
      <c r="C4392" s="131" t="s">
        <v>1354</v>
      </c>
      <c r="D4392" s="131">
        <v>16</v>
      </c>
      <c r="E4392" s="131" t="s">
        <v>1354</v>
      </c>
      <c r="F4392" s="767">
        <v>4449.6899999999996</v>
      </c>
      <c r="G4392" s="767">
        <v>405.46</v>
      </c>
      <c r="H4392" s="767">
        <v>4855.1499999999996</v>
      </c>
      <c r="I4392" s="768" t="s">
        <v>2057</v>
      </c>
    </row>
    <row r="4393" spans="1:9" x14ac:dyDescent="0.25">
      <c r="A4393" s="753">
        <v>305010</v>
      </c>
      <c r="B4393" s="130">
        <v>4855</v>
      </c>
      <c r="C4393" s="131" t="s">
        <v>1354</v>
      </c>
      <c r="D4393" s="131">
        <v>16</v>
      </c>
      <c r="E4393" s="131" t="s">
        <v>1354</v>
      </c>
      <c r="F4393" s="767">
        <v>4449.6899999999996</v>
      </c>
      <c r="G4393" s="767">
        <v>405.46</v>
      </c>
      <c r="H4393" s="767">
        <v>4855.1499999999996</v>
      </c>
      <c r="I4393" s="768" t="s">
        <v>2057</v>
      </c>
    </row>
    <row r="4394" spans="1:9" x14ac:dyDescent="0.25">
      <c r="A4394" s="753">
        <v>305012</v>
      </c>
      <c r="B4394" s="130">
        <v>0</v>
      </c>
      <c r="E4394" s="131"/>
    </row>
    <row r="4395" spans="1:9" x14ac:dyDescent="0.25">
      <c r="A4395" s="753">
        <v>305014</v>
      </c>
      <c r="B4395" s="130">
        <v>0</v>
      </c>
      <c r="E4395" s="131"/>
    </row>
    <row r="4396" spans="1:9" x14ac:dyDescent="0.25">
      <c r="A4396" s="753">
        <v>305016</v>
      </c>
      <c r="B4396" s="130">
        <v>0</v>
      </c>
      <c r="E4396" s="131"/>
    </row>
    <row r="4397" spans="1:9" x14ac:dyDescent="0.25">
      <c r="A4397" s="753">
        <v>305018</v>
      </c>
      <c r="B4397" s="130">
        <v>0</v>
      </c>
      <c r="E4397" s="131"/>
    </row>
    <row r="4398" spans="1:9" x14ac:dyDescent="0.25">
      <c r="A4398" s="753">
        <v>305104</v>
      </c>
      <c r="B4398" s="130">
        <v>33593</v>
      </c>
      <c r="E4398" s="131"/>
    </row>
    <row r="4399" spans="1:9" x14ac:dyDescent="0.25">
      <c r="A4399" s="753">
        <v>305106</v>
      </c>
      <c r="B4399" s="130">
        <v>340436</v>
      </c>
      <c r="E4399" s="131"/>
    </row>
    <row r="4400" spans="1:9" x14ac:dyDescent="0.25">
      <c r="A4400" s="753">
        <v>305108</v>
      </c>
      <c r="B4400" s="130">
        <v>7465</v>
      </c>
      <c r="E4400" s="131"/>
    </row>
    <row r="4401" spans="1:9" x14ac:dyDescent="0.25">
      <c r="A4401" s="753">
        <v>305110</v>
      </c>
      <c r="B4401" s="130">
        <v>75652</v>
      </c>
      <c r="E4401" s="131"/>
    </row>
    <row r="4402" spans="1:9" x14ac:dyDescent="0.25">
      <c r="A4402" s="753">
        <v>305112</v>
      </c>
      <c r="B4402" s="130">
        <v>0</v>
      </c>
      <c r="E4402" s="131"/>
    </row>
    <row r="4403" spans="1:9" x14ac:dyDescent="0.25">
      <c r="A4403" s="753">
        <v>305114</v>
      </c>
      <c r="B4403" s="130">
        <v>0</v>
      </c>
      <c r="E4403" s="131"/>
    </row>
    <row r="4404" spans="1:9" x14ac:dyDescent="0.25">
      <c r="A4404" s="753">
        <v>305116</v>
      </c>
      <c r="B4404" s="130">
        <v>0</v>
      </c>
      <c r="E4404" s="131"/>
    </row>
    <row r="4405" spans="1:9" x14ac:dyDescent="0.25">
      <c r="A4405" s="753">
        <v>305118</v>
      </c>
      <c r="B4405" s="130">
        <v>0</v>
      </c>
      <c r="E4405" s="131"/>
    </row>
    <row r="4406" spans="1:9" x14ac:dyDescent="0.25">
      <c r="A4406" s="753">
        <v>305204</v>
      </c>
      <c r="B4406" s="130">
        <v>0</v>
      </c>
      <c r="C4406" s="131" t="s">
        <v>2316</v>
      </c>
      <c r="D4406" s="131">
        <v>16</v>
      </c>
      <c r="E4406" s="131" t="s">
        <v>2316</v>
      </c>
      <c r="F4406" s="767">
        <v>591.04999999999995</v>
      </c>
      <c r="G4406" s="767">
        <v>0</v>
      </c>
      <c r="H4406" s="767">
        <v>591.04999999999995</v>
      </c>
      <c r="I4406" s="768" t="s">
        <v>2317</v>
      </c>
    </row>
    <row r="4407" spans="1:9" x14ac:dyDescent="0.25">
      <c r="A4407" s="753">
        <v>305206</v>
      </c>
      <c r="B4407" s="130">
        <v>591</v>
      </c>
      <c r="C4407" s="131" t="s">
        <v>2316</v>
      </c>
      <c r="D4407" s="131">
        <v>16</v>
      </c>
      <c r="E4407" s="131" t="s">
        <v>2316</v>
      </c>
      <c r="F4407" s="767">
        <v>591.04999999999995</v>
      </c>
      <c r="G4407" s="767">
        <v>0</v>
      </c>
      <c r="H4407" s="767">
        <v>591.04999999999995</v>
      </c>
      <c r="I4407" s="768" t="s">
        <v>2317</v>
      </c>
    </row>
    <row r="4408" spans="1:9" x14ac:dyDescent="0.25">
      <c r="A4408" s="753">
        <v>305208</v>
      </c>
      <c r="B4408" s="130">
        <v>0</v>
      </c>
      <c r="C4408" s="131" t="s">
        <v>2318</v>
      </c>
      <c r="D4408" s="131">
        <v>16</v>
      </c>
      <c r="E4408" s="131" t="s">
        <v>2318</v>
      </c>
      <c r="F4408" s="767">
        <v>131.35</v>
      </c>
      <c r="G4408" s="767">
        <v>0</v>
      </c>
      <c r="H4408" s="767">
        <v>131.35</v>
      </c>
      <c r="I4408" s="768" t="s">
        <v>2319</v>
      </c>
    </row>
    <row r="4409" spans="1:9" x14ac:dyDescent="0.25">
      <c r="A4409" s="753">
        <v>305210</v>
      </c>
      <c r="B4409" s="130">
        <v>131</v>
      </c>
      <c r="C4409" s="131" t="s">
        <v>2318</v>
      </c>
      <c r="D4409" s="131">
        <v>16</v>
      </c>
      <c r="E4409" s="131" t="s">
        <v>2318</v>
      </c>
      <c r="F4409" s="767">
        <v>131.35</v>
      </c>
      <c r="G4409" s="767">
        <v>0</v>
      </c>
      <c r="H4409" s="767">
        <v>131.35</v>
      </c>
      <c r="I4409" s="768" t="s">
        <v>2319</v>
      </c>
    </row>
    <row r="4410" spans="1:9" x14ac:dyDescent="0.25">
      <c r="A4410" s="753">
        <v>305212</v>
      </c>
      <c r="B4410" s="130">
        <v>0</v>
      </c>
      <c r="E4410" s="131"/>
    </row>
    <row r="4411" spans="1:9" x14ac:dyDescent="0.25">
      <c r="A4411" s="753">
        <v>305214</v>
      </c>
      <c r="B4411" s="130">
        <v>0</v>
      </c>
      <c r="E4411" s="131"/>
    </row>
    <row r="4412" spans="1:9" x14ac:dyDescent="0.25">
      <c r="A4412" s="753">
        <v>305216</v>
      </c>
      <c r="B4412" s="130">
        <v>0</v>
      </c>
      <c r="E4412" s="131"/>
    </row>
    <row r="4413" spans="1:9" x14ac:dyDescent="0.25">
      <c r="A4413" s="753">
        <v>305218</v>
      </c>
      <c r="B4413" s="130">
        <v>0</v>
      </c>
      <c r="E4413" s="131"/>
    </row>
    <row r="4414" spans="1:9" x14ac:dyDescent="0.25">
      <c r="A4414" s="753">
        <v>305304</v>
      </c>
      <c r="B4414" s="130">
        <v>1068</v>
      </c>
      <c r="C4414" s="131" t="s">
        <v>1355</v>
      </c>
      <c r="D4414" s="131">
        <v>16</v>
      </c>
      <c r="E4414" s="131" t="s">
        <v>1355</v>
      </c>
      <c r="F4414" s="767">
        <v>9997.56</v>
      </c>
      <c r="G4414" s="767">
        <v>1067.56</v>
      </c>
      <c r="H4414" s="767">
        <v>11065.12</v>
      </c>
      <c r="I4414" s="768" t="s">
        <v>2058</v>
      </c>
    </row>
    <row r="4415" spans="1:9" x14ac:dyDescent="0.25">
      <c r="A4415" s="753">
        <v>305306</v>
      </c>
      <c r="B4415" s="130">
        <v>11065</v>
      </c>
      <c r="C4415" s="131" t="s">
        <v>1355</v>
      </c>
      <c r="D4415" s="131">
        <v>16</v>
      </c>
      <c r="E4415" s="131" t="s">
        <v>1355</v>
      </c>
      <c r="F4415" s="767">
        <v>9997.56</v>
      </c>
      <c r="G4415" s="767">
        <v>1067.56</v>
      </c>
      <c r="H4415" s="767">
        <v>11065.12</v>
      </c>
      <c r="I4415" s="768" t="s">
        <v>2058</v>
      </c>
    </row>
    <row r="4416" spans="1:9" x14ac:dyDescent="0.25">
      <c r="A4416" s="753">
        <v>305308</v>
      </c>
      <c r="B4416" s="130">
        <v>237</v>
      </c>
      <c r="C4416" s="131" t="s">
        <v>1356</v>
      </c>
      <c r="D4416" s="131">
        <v>16</v>
      </c>
      <c r="E4416" s="131" t="s">
        <v>1356</v>
      </c>
      <c r="F4416" s="767">
        <v>2221.6799999999998</v>
      </c>
      <c r="G4416" s="767">
        <v>237.24</v>
      </c>
      <c r="H4416" s="767">
        <v>2458.92</v>
      </c>
      <c r="I4416" s="768" t="s">
        <v>2059</v>
      </c>
    </row>
    <row r="4417" spans="1:9" x14ac:dyDescent="0.25">
      <c r="A4417" s="753">
        <v>305310</v>
      </c>
      <c r="B4417" s="130">
        <v>2459</v>
      </c>
      <c r="C4417" s="131" t="s">
        <v>1356</v>
      </c>
      <c r="D4417" s="131">
        <v>16</v>
      </c>
      <c r="E4417" s="131" t="s">
        <v>1356</v>
      </c>
      <c r="F4417" s="767">
        <v>2221.6799999999998</v>
      </c>
      <c r="G4417" s="767">
        <v>237.24</v>
      </c>
      <c r="H4417" s="767">
        <v>2458.92</v>
      </c>
      <c r="I4417" s="768" t="s">
        <v>2059</v>
      </c>
    </row>
    <row r="4418" spans="1:9" x14ac:dyDescent="0.25">
      <c r="A4418" s="753">
        <v>305312</v>
      </c>
      <c r="B4418" s="130">
        <v>0</v>
      </c>
      <c r="E4418" s="131"/>
    </row>
    <row r="4419" spans="1:9" x14ac:dyDescent="0.25">
      <c r="A4419" s="753">
        <v>305314</v>
      </c>
      <c r="B4419" s="130">
        <v>0</v>
      </c>
      <c r="E4419" s="131"/>
    </row>
    <row r="4420" spans="1:9" x14ac:dyDescent="0.25">
      <c r="A4420" s="753">
        <v>305316</v>
      </c>
      <c r="B4420" s="130">
        <v>0</v>
      </c>
      <c r="E4420" s="131"/>
    </row>
    <row r="4421" spans="1:9" x14ac:dyDescent="0.25">
      <c r="A4421" s="753">
        <v>305318</v>
      </c>
      <c r="B4421" s="130">
        <v>0</v>
      </c>
      <c r="E4421" s="131"/>
    </row>
    <row r="4422" spans="1:9" x14ac:dyDescent="0.25">
      <c r="A4422" s="753">
        <v>305404</v>
      </c>
      <c r="B4422" s="130">
        <v>0</v>
      </c>
      <c r="E4422" s="131"/>
    </row>
    <row r="4423" spans="1:9" x14ac:dyDescent="0.25">
      <c r="A4423" s="753">
        <v>305406</v>
      </c>
      <c r="B4423" s="130">
        <v>0</v>
      </c>
      <c r="E4423" s="131"/>
    </row>
    <row r="4424" spans="1:9" x14ac:dyDescent="0.25">
      <c r="A4424" s="753">
        <v>305408</v>
      </c>
      <c r="B4424" s="130">
        <v>0</v>
      </c>
      <c r="E4424" s="131"/>
    </row>
    <row r="4425" spans="1:9" x14ac:dyDescent="0.25">
      <c r="A4425" s="753">
        <v>305410</v>
      </c>
      <c r="B4425" s="130">
        <v>0</v>
      </c>
      <c r="E4425" s="131"/>
    </row>
    <row r="4426" spans="1:9" x14ac:dyDescent="0.25">
      <c r="A4426" s="753">
        <v>305412</v>
      </c>
      <c r="B4426" s="130">
        <v>0</v>
      </c>
      <c r="E4426" s="131"/>
    </row>
    <row r="4427" spans="1:9" x14ac:dyDescent="0.25">
      <c r="A4427" s="753">
        <v>305414</v>
      </c>
      <c r="B4427" s="130">
        <v>0</v>
      </c>
      <c r="E4427" s="131"/>
    </row>
    <row r="4428" spans="1:9" x14ac:dyDescent="0.25">
      <c r="A4428" s="753">
        <v>305416</v>
      </c>
      <c r="B4428" s="130">
        <v>0</v>
      </c>
      <c r="E4428" s="131"/>
    </row>
    <row r="4429" spans="1:9" x14ac:dyDescent="0.25">
      <c r="A4429" s="753">
        <v>305418</v>
      </c>
      <c r="B4429" s="130">
        <v>0</v>
      </c>
      <c r="E4429" s="131"/>
    </row>
    <row r="4430" spans="1:9" x14ac:dyDescent="0.25">
      <c r="A4430" s="753">
        <v>305504</v>
      </c>
      <c r="B4430" s="130">
        <v>2077</v>
      </c>
      <c r="C4430" s="131" t="s">
        <v>1357</v>
      </c>
      <c r="D4430" s="131">
        <v>16</v>
      </c>
      <c r="E4430" s="131" t="s">
        <v>1357</v>
      </c>
      <c r="F4430" s="767">
        <v>18690.75</v>
      </c>
      <c r="G4430" s="767">
        <v>2076.75</v>
      </c>
      <c r="H4430" s="767">
        <v>20767.5</v>
      </c>
      <c r="I4430" s="768" t="s">
        <v>2060</v>
      </c>
    </row>
    <row r="4431" spans="1:9" x14ac:dyDescent="0.25">
      <c r="A4431" s="753">
        <v>305506</v>
      </c>
      <c r="B4431" s="130">
        <v>20768</v>
      </c>
      <c r="C4431" s="131" t="s">
        <v>1357</v>
      </c>
      <c r="D4431" s="131">
        <v>16</v>
      </c>
      <c r="E4431" s="131" t="s">
        <v>1357</v>
      </c>
      <c r="F4431" s="767">
        <v>18690.75</v>
      </c>
      <c r="G4431" s="767">
        <v>2076.75</v>
      </c>
      <c r="H4431" s="767">
        <v>20767.5</v>
      </c>
      <c r="I4431" s="768" t="s">
        <v>2060</v>
      </c>
    </row>
    <row r="4432" spans="1:9" x14ac:dyDescent="0.25">
      <c r="A4432" s="753">
        <v>305508</v>
      </c>
      <c r="B4432" s="130">
        <v>462</v>
      </c>
      <c r="C4432" s="131" t="s">
        <v>1358</v>
      </c>
      <c r="D4432" s="131">
        <v>16</v>
      </c>
      <c r="E4432" s="131" t="s">
        <v>1358</v>
      </c>
      <c r="F4432" s="767">
        <v>4153.5</v>
      </c>
      <c r="G4432" s="767">
        <v>461.5</v>
      </c>
      <c r="H4432" s="767">
        <v>4615</v>
      </c>
      <c r="I4432" s="768" t="s">
        <v>2061</v>
      </c>
    </row>
    <row r="4433" spans="1:9" x14ac:dyDescent="0.25">
      <c r="A4433" s="753">
        <v>305510</v>
      </c>
      <c r="B4433" s="130">
        <v>4615</v>
      </c>
      <c r="C4433" s="131" t="s">
        <v>1358</v>
      </c>
      <c r="D4433" s="131">
        <v>16</v>
      </c>
      <c r="E4433" s="131" t="s">
        <v>1358</v>
      </c>
      <c r="F4433" s="767">
        <v>4153.5</v>
      </c>
      <c r="G4433" s="767">
        <v>461.5</v>
      </c>
      <c r="H4433" s="767">
        <v>4615</v>
      </c>
      <c r="I4433" s="768" t="s">
        <v>2061</v>
      </c>
    </row>
    <row r="4434" spans="1:9" x14ac:dyDescent="0.25">
      <c r="A4434" s="753">
        <v>305512</v>
      </c>
      <c r="B4434" s="130">
        <v>0</v>
      </c>
      <c r="E4434" s="131"/>
    </row>
    <row r="4435" spans="1:9" x14ac:dyDescent="0.25">
      <c r="A4435" s="753">
        <v>305514</v>
      </c>
      <c r="B4435" s="130">
        <v>0</v>
      </c>
      <c r="E4435" s="131"/>
    </row>
    <row r="4436" spans="1:9" x14ac:dyDescent="0.25">
      <c r="A4436" s="753">
        <v>305516</v>
      </c>
      <c r="B4436" s="130">
        <v>0</v>
      </c>
      <c r="E4436" s="131"/>
    </row>
    <row r="4437" spans="1:9" x14ac:dyDescent="0.25">
      <c r="A4437" s="753">
        <v>305518</v>
      </c>
      <c r="B4437" s="130">
        <v>0</v>
      </c>
      <c r="E4437" s="131"/>
    </row>
    <row r="4438" spans="1:9" x14ac:dyDescent="0.25">
      <c r="A4438" s="753">
        <v>305604</v>
      </c>
      <c r="B4438" s="130">
        <v>78</v>
      </c>
      <c r="C4438" s="131" t="s">
        <v>1359</v>
      </c>
      <c r="D4438" s="131">
        <v>16</v>
      </c>
      <c r="E4438" s="131" t="s">
        <v>1359</v>
      </c>
      <c r="F4438" s="767">
        <v>704.52</v>
      </c>
      <c r="G4438" s="767">
        <v>78.28</v>
      </c>
      <c r="H4438" s="767">
        <v>782.8</v>
      </c>
      <c r="I4438" s="768" t="s">
        <v>2062</v>
      </c>
    </row>
    <row r="4439" spans="1:9" x14ac:dyDescent="0.25">
      <c r="A4439" s="753">
        <v>305606</v>
      </c>
      <c r="B4439" s="130">
        <v>783</v>
      </c>
      <c r="C4439" s="131" t="s">
        <v>1359</v>
      </c>
      <c r="D4439" s="131">
        <v>16</v>
      </c>
      <c r="E4439" s="131" t="s">
        <v>1359</v>
      </c>
      <c r="F4439" s="767">
        <v>704.52</v>
      </c>
      <c r="G4439" s="767">
        <v>78.28</v>
      </c>
      <c r="H4439" s="767">
        <v>782.8</v>
      </c>
      <c r="I4439" s="768" t="s">
        <v>2062</v>
      </c>
    </row>
    <row r="4440" spans="1:9" x14ac:dyDescent="0.25">
      <c r="A4440" s="753">
        <v>305608</v>
      </c>
      <c r="B4440" s="130">
        <v>17</v>
      </c>
      <c r="C4440" s="131" t="s">
        <v>1360</v>
      </c>
      <c r="D4440" s="131">
        <v>16</v>
      </c>
      <c r="E4440" s="131" t="s">
        <v>1360</v>
      </c>
      <c r="F4440" s="767">
        <v>156.6</v>
      </c>
      <c r="G4440" s="767">
        <v>17.399999999999999</v>
      </c>
      <c r="H4440" s="767">
        <v>174</v>
      </c>
      <c r="I4440" s="768" t="s">
        <v>2063</v>
      </c>
    </row>
    <row r="4441" spans="1:9" x14ac:dyDescent="0.25">
      <c r="A4441" s="753">
        <v>305610</v>
      </c>
      <c r="B4441" s="130">
        <v>174</v>
      </c>
      <c r="C4441" s="131" t="s">
        <v>1360</v>
      </c>
      <c r="D4441" s="131">
        <v>16</v>
      </c>
      <c r="E4441" s="131" t="s">
        <v>1360</v>
      </c>
      <c r="F4441" s="767">
        <v>156.6</v>
      </c>
      <c r="G4441" s="767">
        <v>17.399999999999999</v>
      </c>
      <c r="H4441" s="767">
        <v>174</v>
      </c>
      <c r="I4441" s="768" t="s">
        <v>2063</v>
      </c>
    </row>
    <row r="4442" spans="1:9" x14ac:dyDescent="0.25">
      <c r="A4442" s="753">
        <v>305612</v>
      </c>
      <c r="B4442" s="130">
        <v>0</v>
      </c>
      <c r="E4442" s="131"/>
    </row>
    <row r="4443" spans="1:9" x14ac:dyDescent="0.25">
      <c r="A4443" s="753">
        <v>305614</v>
      </c>
      <c r="B4443" s="130">
        <v>0</v>
      </c>
      <c r="E4443" s="131"/>
    </row>
    <row r="4444" spans="1:9" x14ac:dyDescent="0.25">
      <c r="A4444" s="753">
        <v>305616</v>
      </c>
      <c r="B4444" s="130">
        <v>0</v>
      </c>
      <c r="E4444" s="131"/>
    </row>
    <row r="4445" spans="1:9" x14ac:dyDescent="0.25">
      <c r="A4445" s="753">
        <v>305618</v>
      </c>
      <c r="B4445" s="130">
        <v>0</v>
      </c>
      <c r="E4445" s="131"/>
    </row>
    <row r="4446" spans="1:9" x14ac:dyDescent="0.25">
      <c r="A4446" s="753">
        <v>305704</v>
      </c>
      <c r="B4446" s="130">
        <v>36816</v>
      </c>
      <c r="E4446" s="131"/>
    </row>
    <row r="4447" spans="1:9" x14ac:dyDescent="0.25">
      <c r="A4447" s="753">
        <v>305706</v>
      </c>
      <c r="B4447" s="130">
        <v>373643</v>
      </c>
      <c r="E4447" s="131"/>
    </row>
    <row r="4448" spans="1:9" x14ac:dyDescent="0.25">
      <c r="A4448" s="753">
        <v>305708</v>
      </c>
      <c r="B4448" s="130">
        <v>8181</v>
      </c>
      <c r="E4448" s="131"/>
    </row>
    <row r="4449" spans="1:5" x14ac:dyDescent="0.25">
      <c r="A4449" s="753">
        <v>305710</v>
      </c>
      <c r="B4449" s="130">
        <v>83031</v>
      </c>
      <c r="E4449" s="131"/>
    </row>
    <row r="4450" spans="1:5" x14ac:dyDescent="0.25">
      <c r="A4450" s="753">
        <v>305712</v>
      </c>
      <c r="B4450" s="130">
        <v>0</v>
      </c>
      <c r="E4450" s="131"/>
    </row>
    <row r="4451" spans="1:5" x14ac:dyDescent="0.25">
      <c r="A4451" s="753">
        <v>305714</v>
      </c>
      <c r="B4451" s="130">
        <v>0</v>
      </c>
      <c r="E4451" s="131"/>
    </row>
    <row r="4452" spans="1:5" x14ac:dyDescent="0.25">
      <c r="A4452" s="753">
        <v>305716</v>
      </c>
      <c r="B4452" s="130">
        <v>0</v>
      </c>
      <c r="E4452" s="131"/>
    </row>
    <row r="4453" spans="1:5" x14ac:dyDescent="0.25">
      <c r="A4453" s="753">
        <v>305718</v>
      </c>
      <c r="B4453" s="130">
        <v>0</v>
      </c>
      <c r="E4453" s="131"/>
    </row>
    <row r="4454" spans="1:5" x14ac:dyDescent="0.25">
      <c r="A4454" s="753">
        <v>305804</v>
      </c>
      <c r="B4454" s="130">
        <v>114597</v>
      </c>
      <c r="E4454" s="131"/>
    </row>
    <row r="4455" spans="1:5" x14ac:dyDescent="0.25">
      <c r="A4455" s="753">
        <v>305806</v>
      </c>
      <c r="B4455" s="130">
        <v>1111708</v>
      </c>
      <c r="E4455" s="131"/>
    </row>
    <row r="4456" spans="1:5" x14ac:dyDescent="0.25">
      <c r="A4456" s="753">
        <v>305808</v>
      </c>
      <c r="B4456" s="130">
        <v>36899</v>
      </c>
      <c r="E4456" s="131"/>
    </row>
    <row r="4457" spans="1:5" x14ac:dyDescent="0.25">
      <c r="A4457" s="753">
        <v>305810</v>
      </c>
      <c r="B4457" s="130">
        <v>363994</v>
      </c>
      <c r="E4457" s="131"/>
    </row>
    <row r="4458" spans="1:5" x14ac:dyDescent="0.25">
      <c r="A4458" s="753">
        <v>305812</v>
      </c>
      <c r="B4458" s="130">
        <v>0</v>
      </c>
      <c r="E4458" s="131"/>
    </row>
    <row r="4459" spans="1:5" x14ac:dyDescent="0.25">
      <c r="A4459" s="753">
        <v>305814</v>
      </c>
      <c r="B4459" s="130">
        <v>0</v>
      </c>
      <c r="E4459" s="131"/>
    </row>
    <row r="4460" spans="1:5" x14ac:dyDescent="0.25">
      <c r="A4460" s="753">
        <v>305816</v>
      </c>
      <c r="B4460" s="130">
        <v>0</v>
      </c>
      <c r="E4460" s="131"/>
    </row>
    <row r="4461" spans="1:5" x14ac:dyDescent="0.25">
      <c r="A4461" s="753">
        <v>305818</v>
      </c>
      <c r="B4461" s="130">
        <v>0</v>
      </c>
      <c r="E4461" s="131"/>
    </row>
    <row r="4462" spans="1:5" x14ac:dyDescent="0.25">
      <c r="A4462" s="753">
        <v>305904</v>
      </c>
      <c r="B4462" s="130">
        <v>195151</v>
      </c>
      <c r="E4462" s="131"/>
    </row>
    <row r="4463" spans="1:5" x14ac:dyDescent="0.25">
      <c r="A4463" s="753">
        <v>305906</v>
      </c>
      <c r="B4463" s="130">
        <v>1911544</v>
      </c>
      <c r="E4463" s="131"/>
    </row>
    <row r="4464" spans="1:5" x14ac:dyDescent="0.25">
      <c r="A4464" s="753">
        <v>305908</v>
      </c>
      <c r="B4464" s="130">
        <v>68773</v>
      </c>
      <c r="E4464" s="131"/>
    </row>
    <row r="4465" spans="1:9" x14ac:dyDescent="0.25">
      <c r="A4465" s="753">
        <v>305910</v>
      </c>
      <c r="B4465" s="130">
        <v>728071</v>
      </c>
      <c r="E4465" s="131"/>
    </row>
    <row r="4466" spans="1:9" x14ac:dyDescent="0.25">
      <c r="A4466" s="753">
        <v>305912</v>
      </c>
      <c r="B4466" s="130">
        <v>0</v>
      </c>
      <c r="E4466" s="131"/>
    </row>
    <row r="4467" spans="1:9" x14ac:dyDescent="0.25">
      <c r="A4467" s="753">
        <v>305914</v>
      </c>
      <c r="B4467" s="130">
        <v>0</v>
      </c>
      <c r="E4467" s="131"/>
    </row>
    <row r="4468" spans="1:9" x14ac:dyDescent="0.25">
      <c r="A4468" s="753">
        <v>305916</v>
      </c>
      <c r="B4468" s="130">
        <v>0</v>
      </c>
      <c r="E4468" s="131"/>
    </row>
    <row r="4469" spans="1:9" x14ac:dyDescent="0.25">
      <c r="A4469" s="753">
        <v>305918</v>
      </c>
      <c r="B4469" s="130">
        <v>0</v>
      </c>
      <c r="E4469" s="131"/>
    </row>
    <row r="4470" spans="1:9" x14ac:dyDescent="0.25">
      <c r="A4470" s="753">
        <v>306204</v>
      </c>
      <c r="B4470" s="130">
        <v>0</v>
      </c>
      <c r="E4470" s="131"/>
    </row>
    <row r="4471" spans="1:9" x14ac:dyDescent="0.25">
      <c r="A4471" s="753">
        <v>306206</v>
      </c>
      <c r="B4471" s="130">
        <v>0</v>
      </c>
      <c r="E4471" s="131"/>
    </row>
    <row r="4472" spans="1:9" x14ac:dyDescent="0.25">
      <c r="A4472" s="753">
        <v>306208</v>
      </c>
      <c r="B4472" s="130">
        <v>0</v>
      </c>
      <c r="E4472" s="131"/>
    </row>
    <row r="4473" spans="1:9" x14ac:dyDescent="0.25">
      <c r="A4473" s="753">
        <v>306210</v>
      </c>
      <c r="B4473" s="130">
        <v>0</v>
      </c>
      <c r="E4473" s="131"/>
    </row>
    <row r="4474" spans="1:9" x14ac:dyDescent="0.25">
      <c r="A4474" s="753">
        <v>306212</v>
      </c>
      <c r="B4474" s="130">
        <v>0</v>
      </c>
      <c r="E4474" s="131"/>
    </row>
    <row r="4475" spans="1:9" x14ac:dyDescent="0.25">
      <c r="A4475" s="753">
        <v>306214</v>
      </c>
      <c r="B4475" s="130">
        <v>0</v>
      </c>
      <c r="E4475" s="131"/>
    </row>
    <row r="4476" spans="1:9" x14ac:dyDescent="0.25">
      <c r="A4476" s="753">
        <v>306216</v>
      </c>
      <c r="B4476" s="130">
        <v>0</v>
      </c>
      <c r="E4476" s="131"/>
    </row>
    <row r="4477" spans="1:9" x14ac:dyDescent="0.25">
      <c r="A4477" s="753">
        <v>306218</v>
      </c>
      <c r="B4477" s="130">
        <v>0</v>
      </c>
      <c r="E4477" s="131"/>
    </row>
    <row r="4478" spans="1:9" x14ac:dyDescent="0.25">
      <c r="A4478" s="753">
        <v>206604</v>
      </c>
      <c r="B4478" s="130">
        <v>0</v>
      </c>
      <c r="E4478" s="131"/>
    </row>
    <row r="4479" spans="1:9" x14ac:dyDescent="0.25">
      <c r="A4479" s="753">
        <v>206608</v>
      </c>
      <c r="B4479" s="130">
        <v>0</v>
      </c>
      <c r="E4479" s="131"/>
    </row>
    <row r="4480" spans="1:9" x14ac:dyDescent="0.25">
      <c r="A4480" s="753">
        <v>207004</v>
      </c>
      <c r="B4480" s="130">
        <v>28662</v>
      </c>
      <c r="C4480" s="131">
        <v>99</v>
      </c>
      <c r="D4480" s="131">
        <v>16</v>
      </c>
      <c r="E4480" s="131">
        <v>99</v>
      </c>
      <c r="F4480" s="767">
        <v>106032.05</v>
      </c>
      <c r="G4480" s="767">
        <v>28661.79</v>
      </c>
      <c r="H4480" s="767">
        <v>134693.84</v>
      </c>
      <c r="I4480" s="768" t="s">
        <v>2064</v>
      </c>
    </row>
    <row r="4481" spans="1:9" x14ac:dyDescent="0.25">
      <c r="A4481" s="753">
        <v>207008</v>
      </c>
      <c r="B4481" s="130">
        <v>134694</v>
      </c>
      <c r="C4481" s="131">
        <v>99</v>
      </c>
      <c r="D4481" s="131">
        <v>16</v>
      </c>
      <c r="E4481" s="131">
        <v>99</v>
      </c>
      <c r="F4481" s="767">
        <v>106032.05</v>
      </c>
      <c r="G4481" s="767">
        <v>28661.79</v>
      </c>
      <c r="H4481" s="767">
        <v>134693.84</v>
      </c>
      <c r="I4481" s="768" t="s">
        <v>2064</v>
      </c>
    </row>
    <row r="4482" spans="1:9" x14ac:dyDescent="0.25">
      <c r="A4482" s="753">
        <v>100308</v>
      </c>
      <c r="B4482" s="130">
        <v>700</v>
      </c>
      <c r="C4482" s="131">
        <v>200</v>
      </c>
      <c r="D4482" s="131">
        <v>16</v>
      </c>
      <c r="E4482" s="131">
        <v>200</v>
      </c>
      <c r="F4482" s="767">
        <v>700</v>
      </c>
      <c r="G4482" s="767">
        <v>0</v>
      </c>
      <c r="H4482" s="767">
        <v>700</v>
      </c>
      <c r="I4482" s="768" t="s">
        <v>2065</v>
      </c>
    </row>
    <row r="4483" spans="1:9" x14ac:dyDescent="0.25">
      <c r="A4483" s="753">
        <v>100318</v>
      </c>
      <c r="B4483" s="130">
        <v>150645</v>
      </c>
      <c r="C4483" s="131">
        <v>300</v>
      </c>
      <c r="D4483" s="131">
        <v>16</v>
      </c>
      <c r="E4483" s="131">
        <v>300</v>
      </c>
      <c r="F4483" s="767">
        <v>-124480.63</v>
      </c>
      <c r="G4483" s="767">
        <v>-51305.71</v>
      </c>
      <c r="H4483" s="767">
        <v>-175786.34</v>
      </c>
      <c r="I4483" s="768" t="s">
        <v>2066</v>
      </c>
    </row>
    <row r="4484" spans="1:9" x14ac:dyDescent="0.25">
      <c r="A4484" s="753"/>
      <c r="C4484" s="131">
        <v>300</v>
      </c>
      <c r="D4484" s="131">
        <v>16</v>
      </c>
      <c r="E4484" s="131" t="s">
        <v>2067</v>
      </c>
      <c r="F4484" s="767">
        <v>-252.04</v>
      </c>
      <c r="G4484" s="767">
        <v>172081.03</v>
      </c>
      <c r="H4484" s="767">
        <v>171828.99</v>
      </c>
      <c r="I4484" s="768" t="s">
        <v>2068</v>
      </c>
    </row>
    <row r="4485" spans="1:9" x14ac:dyDescent="0.25">
      <c r="A4485" s="753"/>
      <c r="C4485" s="131">
        <v>300</v>
      </c>
      <c r="D4485" s="131">
        <v>16</v>
      </c>
      <c r="E4485" s="131" t="s">
        <v>2069</v>
      </c>
      <c r="F4485" s="767">
        <v>-20190</v>
      </c>
      <c r="G4485" s="767">
        <v>-4238.83</v>
      </c>
      <c r="H4485" s="767">
        <v>-24428.83</v>
      </c>
      <c r="I4485" s="768" t="s">
        <v>2070</v>
      </c>
    </row>
    <row r="4486" spans="1:9" x14ac:dyDescent="0.25">
      <c r="A4486" s="753"/>
      <c r="C4486" s="131">
        <v>300</v>
      </c>
      <c r="D4486" s="131">
        <v>16</v>
      </c>
      <c r="E4486" s="131" t="s">
        <v>2071</v>
      </c>
      <c r="F4486" s="767">
        <v>0</v>
      </c>
      <c r="G4486" s="767">
        <v>-1315.3</v>
      </c>
      <c r="H4486" s="767">
        <v>-1315.3</v>
      </c>
      <c r="I4486" s="768" t="s">
        <v>2072</v>
      </c>
    </row>
    <row r="4487" spans="1:9" x14ac:dyDescent="0.25">
      <c r="A4487" s="753"/>
      <c r="C4487" s="131">
        <v>300</v>
      </c>
      <c r="D4487" s="131">
        <v>16</v>
      </c>
      <c r="E4487" s="131" t="s">
        <v>2320</v>
      </c>
      <c r="F4487" s="767">
        <v>0</v>
      </c>
      <c r="G4487" s="767">
        <v>-882.05</v>
      </c>
      <c r="H4487" s="767">
        <v>-882.05</v>
      </c>
      <c r="I4487" s="768" t="s">
        <v>2321</v>
      </c>
    </row>
    <row r="4488" spans="1:9" x14ac:dyDescent="0.25">
      <c r="A4488" s="753"/>
      <c r="C4488" s="131">
        <v>300</v>
      </c>
      <c r="D4488" s="131">
        <v>16</v>
      </c>
      <c r="E4488" s="131" t="s">
        <v>2073</v>
      </c>
      <c r="F4488" s="767">
        <v>-97670.15</v>
      </c>
      <c r="G4488" s="767">
        <v>97670.15</v>
      </c>
      <c r="H4488" s="767">
        <v>0</v>
      </c>
      <c r="I4488" s="768" t="s">
        <v>2074</v>
      </c>
    </row>
    <row r="4489" spans="1:9" x14ac:dyDescent="0.25">
      <c r="A4489" s="753"/>
      <c r="C4489" s="131">
        <v>300</v>
      </c>
      <c r="D4489" s="131">
        <v>16</v>
      </c>
      <c r="E4489" s="131" t="s">
        <v>2075</v>
      </c>
      <c r="F4489" s="767">
        <v>-20278.849999999999</v>
      </c>
      <c r="G4489" s="767">
        <v>8618.85</v>
      </c>
      <c r="H4489" s="767">
        <v>-11660</v>
      </c>
      <c r="I4489" s="768" t="s">
        <v>2076</v>
      </c>
    </row>
    <row r="4490" spans="1:9" x14ac:dyDescent="0.25">
      <c r="A4490" s="753"/>
      <c r="C4490" s="131">
        <v>300</v>
      </c>
      <c r="D4490" s="131">
        <v>16</v>
      </c>
      <c r="E4490" s="131" t="s">
        <v>2077</v>
      </c>
      <c r="F4490" s="767">
        <v>-1000</v>
      </c>
      <c r="G4490" s="767">
        <v>-38964.6</v>
      </c>
      <c r="H4490" s="767">
        <v>-39964.6</v>
      </c>
      <c r="I4490" s="768" t="s">
        <v>2078</v>
      </c>
    </row>
    <row r="4491" spans="1:9" x14ac:dyDescent="0.25">
      <c r="A4491" s="753"/>
      <c r="C4491" s="131">
        <v>300</v>
      </c>
      <c r="D4491" s="131">
        <v>16</v>
      </c>
      <c r="E4491" s="131" t="s">
        <v>2079</v>
      </c>
      <c r="F4491" s="767">
        <v>-53371.360000000001</v>
      </c>
      <c r="G4491" s="767">
        <v>-10548.59</v>
      </c>
      <c r="H4491" s="767">
        <v>-63919.95</v>
      </c>
      <c r="I4491" s="768" t="s">
        <v>2080</v>
      </c>
    </row>
    <row r="4492" spans="1:9" x14ac:dyDescent="0.25">
      <c r="A4492" s="753"/>
      <c r="C4492" s="131">
        <v>300</v>
      </c>
      <c r="D4492" s="131">
        <v>16</v>
      </c>
      <c r="E4492" s="131" t="s">
        <v>2081</v>
      </c>
      <c r="F4492" s="767">
        <v>-21.17</v>
      </c>
      <c r="G4492" s="767">
        <v>-35.700000000000003</v>
      </c>
      <c r="H4492" s="767">
        <v>-56.87</v>
      </c>
      <c r="I4492" s="768" t="s">
        <v>2082</v>
      </c>
    </row>
    <row r="4493" spans="1:9" x14ac:dyDescent="0.25">
      <c r="A4493" s="753"/>
      <c r="C4493" s="131">
        <v>300</v>
      </c>
      <c r="D4493" s="131">
        <v>16</v>
      </c>
      <c r="E4493" s="131" t="s">
        <v>2083</v>
      </c>
      <c r="F4493" s="767">
        <v>-4249.8999999999996</v>
      </c>
      <c r="G4493" s="767">
        <v>-210.32</v>
      </c>
      <c r="H4493" s="767">
        <v>-4460.22</v>
      </c>
      <c r="I4493" s="768" t="s">
        <v>2084</v>
      </c>
    </row>
    <row r="4494" spans="1:9" x14ac:dyDescent="0.25">
      <c r="A4494" s="753">
        <v>100408</v>
      </c>
      <c r="B4494" s="130">
        <v>2291775</v>
      </c>
      <c r="C4494" s="131">
        <v>202</v>
      </c>
      <c r="D4494" s="131">
        <v>16</v>
      </c>
      <c r="E4494" s="131">
        <v>202</v>
      </c>
      <c r="F4494" s="767">
        <v>1894468.01</v>
      </c>
      <c r="G4494" s="767">
        <v>-202693.17</v>
      </c>
      <c r="H4494" s="767">
        <v>1691774.84</v>
      </c>
      <c r="I4494" s="768" t="s">
        <v>2085</v>
      </c>
    </row>
    <row r="4495" spans="1:9" x14ac:dyDescent="0.25">
      <c r="A4495" s="753"/>
      <c r="C4495" s="131">
        <v>202</v>
      </c>
      <c r="D4495" s="131">
        <v>16</v>
      </c>
      <c r="E4495" s="131" t="s">
        <v>2086</v>
      </c>
      <c r="F4495" s="767">
        <v>600000</v>
      </c>
      <c r="G4495" s="767">
        <v>0</v>
      </c>
      <c r="H4495" s="767">
        <v>600000</v>
      </c>
      <c r="I4495" s="768" t="s">
        <v>2087</v>
      </c>
    </row>
    <row r="4496" spans="1:9" x14ac:dyDescent="0.25">
      <c r="A4496" s="753">
        <v>100418</v>
      </c>
      <c r="B4496" s="130">
        <v>103854</v>
      </c>
      <c r="C4496" s="131">
        <v>303</v>
      </c>
      <c r="D4496" s="131">
        <v>16</v>
      </c>
      <c r="E4496" s="131">
        <v>303</v>
      </c>
      <c r="F4496" s="767">
        <v>-71500</v>
      </c>
      <c r="G4496" s="767">
        <v>-32353.99</v>
      </c>
      <c r="H4496" s="767">
        <v>-103853.99</v>
      </c>
      <c r="I4496" s="768" t="s">
        <v>2088</v>
      </c>
    </row>
    <row r="4497" spans="1:9" x14ac:dyDescent="0.25">
      <c r="A4497" s="753">
        <v>100508</v>
      </c>
      <c r="B4497" s="130">
        <v>-41952</v>
      </c>
      <c r="C4497" s="131">
        <v>205</v>
      </c>
      <c r="D4497" s="131">
        <v>16</v>
      </c>
      <c r="E4497" s="131">
        <v>205</v>
      </c>
      <c r="F4497" s="767">
        <v>75608.22</v>
      </c>
      <c r="G4497" s="767">
        <v>-117560.1</v>
      </c>
      <c r="H4497" s="767">
        <v>-41951.88</v>
      </c>
      <c r="I4497" s="768" t="s">
        <v>2089</v>
      </c>
    </row>
    <row r="4498" spans="1:9" x14ac:dyDescent="0.25">
      <c r="A4498" s="753">
        <v>100518</v>
      </c>
      <c r="B4498" s="130">
        <v>0</v>
      </c>
      <c r="E4498" s="131"/>
    </row>
    <row r="4499" spans="1:9" x14ac:dyDescent="0.25">
      <c r="A4499" s="753">
        <v>100608</v>
      </c>
      <c r="B4499" s="130">
        <v>2250523</v>
      </c>
      <c r="E4499" s="131"/>
    </row>
    <row r="4500" spans="1:9" x14ac:dyDescent="0.25">
      <c r="A4500" s="753">
        <v>100618</v>
      </c>
      <c r="B4500" s="130">
        <v>254499</v>
      </c>
      <c r="E4500" s="131"/>
    </row>
    <row r="4501" spans="1:9" x14ac:dyDescent="0.25">
      <c r="A4501" s="753">
        <v>100808</v>
      </c>
      <c r="B4501" s="130">
        <v>147350</v>
      </c>
      <c r="C4501" s="131">
        <v>210</v>
      </c>
      <c r="D4501" s="131">
        <v>16</v>
      </c>
      <c r="E4501" s="131">
        <v>210</v>
      </c>
      <c r="F4501" s="767">
        <v>-49452.69</v>
      </c>
      <c r="G4501" s="767">
        <v>62932.82</v>
      </c>
      <c r="H4501" s="767">
        <v>13480.13</v>
      </c>
      <c r="I4501" s="768" t="s">
        <v>2090</v>
      </c>
    </row>
    <row r="4502" spans="1:9" x14ac:dyDescent="0.25">
      <c r="A4502" s="753"/>
      <c r="C4502" s="131">
        <v>210</v>
      </c>
      <c r="D4502" s="131">
        <v>16</v>
      </c>
      <c r="E4502" s="131" t="s">
        <v>2091</v>
      </c>
      <c r="F4502" s="767">
        <v>543540.39</v>
      </c>
      <c r="G4502" s="767">
        <v>-440071</v>
      </c>
      <c r="H4502" s="767">
        <v>103469.39</v>
      </c>
      <c r="I4502" s="768" t="s">
        <v>2092</v>
      </c>
    </row>
    <row r="4503" spans="1:9" x14ac:dyDescent="0.25">
      <c r="A4503" s="753"/>
      <c r="C4503" s="131">
        <v>210</v>
      </c>
      <c r="D4503" s="131">
        <v>16</v>
      </c>
      <c r="E4503" s="131" t="s">
        <v>2093</v>
      </c>
      <c r="F4503" s="767">
        <v>317285.75</v>
      </c>
      <c r="G4503" s="767">
        <v>-286885.75</v>
      </c>
      <c r="H4503" s="767">
        <v>30400</v>
      </c>
      <c r="I4503" s="768" t="s">
        <v>2094</v>
      </c>
    </row>
    <row r="4504" spans="1:9" x14ac:dyDescent="0.25">
      <c r="A4504" s="753">
        <v>100908</v>
      </c>
      <c r="B4504" s="130">
        <v>332363</v>
      </c>
      <c r="C4504" s="131">
        <v>220</v>
      </c>
      <c r="D4504" s="131">
        <v>16</v>
      </c>
      <c r="E4504" s="131">
        <v>220</v>
      </c>
      <c r="F4504" s="767">
        <v>65351.92</v>
      </c>
      <c r="G4504" s="767">
        <v>-26424.6</v>
      </c>
      <c r="H4504" s="767">
        <v>38927.32</v>
      </c>
      <c r="I4504" s="768" t="s">
        <v>2095</v>
      </c>
    </row>
    <row r="4505" spans="1:9" x14ac:dyDescent="0.25">
      <c r="A4505" s="753"/>
      <c r="C4505" s="131">
        <v>220</v>
      </c>
      <c r="D4505" s="131">
        <v>16</v>
      </c>
      <c r="E4505" s="131">
        <v>223</v>
      </c>
      <c r="F4505" s="767">
        <v>-9656.1200000000008</v>
      </c>
      <c r="G4505" s="767">
        <v>0</v>
      </c>
      <c r="H4505" s="767">
        <v>-9656.1200000000008</v>
      </c>
      <c r="I4505" s="768" t="s">
        <v>2096</v>
      </c>
    </row>
    <row r="4506" spans="1:9" x14ac:dyDescent="0.25">
      <c r="A4506" s="753"/>
      <c r="C4506" s="131">
        <v>220</v>
      </c>
      <c r="D4506" s="131">
        <v>16</v>
      </c>
      <c r="E4506" s="131" t="s">
        <v>2097</v>
      </c>
      <c r="F4506" s="767">
        <v>300317.90000000002</v>
      </c>
      <c r="G4506" s="767">
        <v>1916.34</v>
      </c>
      <c r="H4506" s="767">
        <v>302234.23999999999</v>
      </c>
      <c r="I4506" s="768" t="s">
        <v>2098</v>
      </c>
    </row>
    <row r="4507" spans="1:9" x14ac:dyDescent="0.25">
      <c r="A4507" s="753"/>
      <c r="C4507" s="131">
        <v>220</v>
      </c>
      <c r="D4507" s="131">
        <v>16</v>
      </c>
      <c r="E4507" s="131" t="s">
        <v>2099</v>
      </c>
      <c r="F4507" s="767">
        <v>1067.46</v>
      </c>
      <c r="G4507" s="767">
        <v>-210.19</v>
      </c>
      <c r="H4507" s="767">
        <v>857.27</v>
      </c>
      <c r="I4507" s="768" t="s">
        <v>2100</v>
      </c>
    </row>
    <row r="4508" spans="1:9" x14ac:dyDescent="0.25">
      <c r="A4508" s="753">
        <v>100918</v>
      </c>
      <c r="B4508" s="130">
        <v>8697046</v>
      </c>
      <c r="C4508" s="131">
        <v>310</v>
      </c>
      <c r="D4508" s="131">
        <v>16</v>
      </c>
      <c r="E4508" s="131">
        <v>310</v>
      </c>
      <c r="F4508" s="767">
        <v>-7175276.1600000001</v>
      </c>
      <c r="G4508" s="767">
        <v>-1521770.25</v>
      </c>
      <c r="H4508" s="767">
        <v>-8697046.4100000001</v>
      </c>
      <c r="I4508" s="768" t="s">
        <v>2101</v>
      </c>
    </row>
    <row r="4509" spans="1:9" x14ac:dyDescent="0.25">
      <c r="A4509" s="753">
        <v>101008</v>
      </c>
      <c r="B4509" s="130">
        <v>102809</v>
      </c>
      <c r="C4509" s="131">
        <v>221</v>
      </c>
      <c r="D4509" s="131">
        <v>16</v>
      </c>
      <c r="E4509" s="131">
        <v>221</v>
      </c>
      <c r="F4509" s="767">
        <v>145779.79</v>
      </c>
      <c r="G4509" s="767">
        <v>-42970.94</v>
      </c>
      <c r="H4509" s="767">
        <v>102808.85</v>
      </c>
      <c r="I4509" s="768" t="s">
        <v>2102</v>
      </c>
    </row>
    <row r="4510" spans="1:9" x14ac:dyDescent="0.25">
      <c r="A4510" s="753">
        <v>101018</v>
      </c>
      <c r="B4510" s="130">
        <v>820303</v>
      </c>
      <c r="C4510" s="131">
        <v>311</v>
      </c>
      <c r="D4510" s="131">
        <v>16</v>
      </c>
      <c r="E4510" s="131">
        <v>311</v>
      </c>
      <c r="F4510" s="767">
        <v>-1001095.45</v>
      </c>
      <c r="G4510" s="767">
        <v>180792.26</v>
      </c>
      <c r="H4510" s="767">
        <v>-820303.19</v>
      </c>
      <c r="I4510" s="768" t="s">
        <v>2103</v>
      </c>
    </row>
    <row r="4511" spans="1:9" x14ac:dyDescent="0.25">
      <c r="A4511" s="753">
        <v>101108</v>
      </c>
      <c r="B4511" s="130">
        <v>187617</v>
      </c>
      <c r="C4511" s="131" t="s">
        <v>65</v>
      </c>
      <c r="D4511" s="131">
        <v>16</v>
      </c>
      <c r="E4511" s="131" t="s">
        <v>65</v>
      </c>
      <c r="F4511" s="767">
        <v>70827.77</v>
      </c>
      <c r="G4511" s="767">
        <v>4300</v>
      </c>
      <c r="H4511" s="767">
        <v>75127.77</v>
      </c>
      <c r="I4511" s="768" t="s">
        <v>2104</v>
      </c>
    </row>
    <row r="4512" spans="1:9" x14ac:dyDescent="0.25">
      <c r="A4512" s="753"/>
      <c r="C4512" s="131" t="s">
        <v>65</v>
      </c>
      <c r="D4512" s="131">
        <v>16</v>
      </c>
      <c r="E4512" s="131" t="s">
        <v>2105</v>
      </c>
      <c r="F4512" s="767">
        <v>57750</v>
      </c>
      <c r="G4512" s="767">
        <v>55750</v>
      </c>
      <c r="H4512" s="767">
        <v>113500</v>
      </c>
      <c r="I4512" s="768" t="s">
        <v>2106</v>
      </c>
    </row>
    <row r="4513" spans="1:9" x14ac:dyDescent="0.25">
      <c r="A4513" s="753"/>
      <c r="C4513" s="131" t="s">
        <v>65</v>
      </c>
      <c r="D4513" s="131">
        <v>16</v>
      </c>
      <c r="E4513" s="131">
        <v>224</v>
      </c>
      <c r="F4513" s="767">
        <v>-1010.3</v>
      </c>
      <c r="G4513" s="767">
        <v>0</v>
      </c>
      <c r="H4513" s="767">
        <v>-1010.3</v>
      </c>
      <c r="I4513" s="768" t="s">
        <v>2107</v>
      </c>
    </row>
    <row r="4514" spans="1:9" x14ac:dyDescent="0.25">
      <c r="A4514" s="753">
        <v>101118</v>
      </c>
      <c r="B4514" s="130">
        <v>0</v>
      </c>
      <c r="E4514" s="131"/>
    </row>
    <row r="4515" spans="1:9" x14ac:dyDescent="0.25">
      <c r="A4515" s="753">
        <v>101208</v>
      </c>
      <c r="B4515" s="130">
        <v>36945</v>
      </c>
      <c r="C4515" s="131" t="s">
        <v>1361</v>
      </c>
      <c r="D4515" s="131">
        <v>16</v>
      </c>
      <c r="E4515" s="131" t="s">
        <v>1361</v>
      </c>
      <c r="F4515" s="767">
        <v>79966.070000000007</v>
      </c>
      <c r="G4515" s="767">
        <v>-43021.15</v>
      </c>
      <c r="H4515" s="767">
        <v>36944.92</v>
      </c>
      <c r="I4515" s="768" t="s">
        <v>2108</v>
      </c>
    </row>
    <row r="4516" spans="1:9" x14ac:dyDescent="0.25">
      <c r="A4516" s="753">
        <v>101218</v>
      </c>
      <c r="B4516" s="130">
        <v>0</v>
      </c>
      <c r="E4516" s="131"/>
    </row>
    <row r="4517" spans="1:9" x14ac:dyDescent="0.25">
      <c r="A4517" s="753">
        <v>101308</v>
      </c>
      <c r="B4517" s="130">
        <v>0</v>
      </c>
      <c r="E4517" s="131"/>
    </row>
    <row r="4518" spans="1:9" x14ac:dyDescent="0.25">
      <c r="A4518" s="753">
        <v>101318</v>
      </c>
      <c r="B4518" s="130">
        <v>0</v>
      </c>
      <c r="C4518" s="131">
        <v>314</v>
      </c>
      <c r="D4518" s="131">
        <v>16</v>
      </c>
      <c r="E4518" s="131" t="s">
        <v>2109</v>
      </c>
      <c r="F4518" s="767">
        <v>-43449.3</v>
      </c>
      <c r="G4518" s="767">
        <v>43449.3</v>
      </c>
      <c r="H4518" s="767">
        <v>0</v>
      </c>
      <c r="I4518" s="768" t="s">
        <v>2110</v>
      </c>
    </row>
    <row r="4519" spans="1:9" x14ac:dyDescent="0.25">
      <c r="A4519" s="753">
        <v>101408</v>
      </c>
      <c r="B4519" s="130">
        <v>807084</v>
      </c>
      <c r="E4519" s="131"/>
    </row>
    <row r="4520" spans="1:9" x14ac:dyDescent="0.25">
      <c r="A4520" s="753">
        <v>101418</v>
      </c>
      <c r="B4520" s="130">
        <v>0</v>
      </c>
      <c r="E4520" s="131"/>
    </row>
    <row r="4521" spans="1:9" x14ac:dyDescent="0.25">
      <c r="A4521" s="753">
        <v>101518</v>
      </c>
      <c r="B4521" s="130">
        <v>9517349</v>
      </c>
      <c r="E4521" s="131"/>
    </row>
    <row r="4522" spans="1:9" x14ac:dyDescent="0.25">
      <c r="A4522" s="753">
        <v>101706</v>
      </c>
      <c r="B4522" s="130">
        <v>28</v>
      </c>
      <c r="C4522" s="131" t="s">
        <v>1362</v>
      </c>
      <c r="D4522" s="131">
        <v>16</v>
      </c>
      <c r="E4522" s="131" t="s">
        <v>1362</v>
      </c>
      <c r="F4522" s="767">
        <v>0.23</v>
      </c>
      <c r="G4522" s="767">
        <v>0.05</v>
      </c>
      <c r="H4522" s="767">
        <v>0.28000000000000003</v>
      </c>
      <c r="I4522" s="768" t="s">
        <v>2111</v>
      </c>
    </row>
    <row r="4523" spans="1:9" x14ac:dyDescent="0.25">
      <c r="A4523" s="753">
        <v>101708</v>
      </c>
      <c r="B4523" s="130">
        <v>2036073</v>
      </c>
      <c r="C4523" s="131">
        <v>230</v>
      </c>
      <c r="D4523" s="131">
        <v>16</v>
      </c>
      <c r="E4523" s="131">
        <v>230</v>
      </c>
      <c r="F4523" s="767">
        <v>1772692.26</v>
      </c>
      <c r="G4523" s="767">
        <v>263380.34999999998</v>
      </c>
      <c r="H4523" s="767">
        <v>2036072.61</v>
      </c>
      <c r="I4523" s="768" t="s">
        <v>2112</v>
      </c>
    </row>
    <row r="4524" spans="1:9" x14ac:dyDescent="0.25">
      <c r="A4524" s="753">
        <v>101806</v>
      </c>
      <c r="B4524" s="130">
        <v>54</v>
      </c>
      <c r="C4524" s="131" t="s">
        <v>1363</v>
      </c>
      <c r="D4524" s="131">
        <v>16</v>
      </c>
      <c r="E4524" s="131" t="s">
        <v>1363</v>
      </c>
      <c r="F4524" s="767">
        <v>0.3</v>
      </c>
      <c r="G4524" s="767">
        <v>0.24</v>
      </c>
      <c r="H4524" s="767">
        <v>0.54</v>
      </c>
      <c r="I4524" s="768" t="s">
        <v>2113</v>
      </c>
    </row>
    <row r="4525" spans="1:9" x14ac:dyDescent="0.25">
      <c r="A4525" s="753">
        <v>101808</v>
      </c>
      <c r="B4525" s="130">
        <v>3924858</v>
      </c>
      <c r="C4525" s="131">
        <v>232</v>
      </c>
      <c r="D4525" s="131">
        <v>16</v>
      </c>
      <c r="E4525" s="131">
        <v>232</v>
      </c>
      <c r="F4525" s="767">
        <v>2559144.69</v>
      </c>
      <c r="G4525" s="767">
        <v>1365713.34</v>
      </c>
      <c r="H4525" s="767">
        <v>3924858.03</v>
      </c>
      <c r="I4525" s="768" t="s">
        <v>2114</v>
      </c>
    </row>
    <row r="4526" spans="1:9" x14ac:dyDescent="0.25">
      <c r="A4526" s="753">
        <v>101818</v>
      </c>
      <c r="B4526" s="130">
        <v>0</v>
      </c>
      <c r="E4526" s="131"/>
    </row>
    <row r="4527" spans="1:9" x14ac:dyDescent="0.25">
      <c r="A4527" s="753">
        <v>101906</v>
      </c>
      <c r="B4527" s="130">
        <v>18</v>
      </c>
      <c r="C4527" s="131" t="s">
        <v>1364</v>
      </c>
      <c r="D4527" s="131">
        <v>16</v>
      </c>
      <c r="E4527" s="131" t="s">
        <v>1364</v>
      </c>
      <c r="F4527" s="767">
        <v>0.09</v>
      </c>
      <c r="G4527" s="767">
        <v>0.09</v>
      </c>
      <c r="H4527" s="767">
        <v>0.18</v>
      </c>
      <c r="I4527" s="768" t="s">
        <v>2115</v>
      </c>
    </row>
    <row r="4528" spans="1:9" x14ac:dyDescent="0.25">
      <c r="A4528" s="753">
        <v>101908</v>
      </c>
      <c r="B4528" s="130">
        <v>1751033</v>
      </c>
      <c r="C4528" s="131">
        <v>234</v>
      </c>
      <c r="D4528" s="131">
        <v>16</v>
      </c>
      <c r="E4528" s="131">
        <v>234</v>
      </c>
      <c r="F4528" s="767">
        <v>943399.14</v>
      </c>
      <c r="G4528" s="767">
        <v>807633.4</v>
      </c>
      <c r="H4528" s="767">
        <v>1751032.54</v>
      </c>
      <c r="I4528" s="768" t="s">
        <v>2116</v>
      </c>
    </row>
    <row r="4529" spans="1:9" x14ac:dyDescent="0.25">
      <c r="A4529" s="753">
        <v>101918</v>
      </c>
      <c r="B4529" s="130">
        <v>198897</v>
      </c>
      <c r="C4529" s="131">
        <v>321</v>
      </c>
      <c r="D4529" s="131">
        <v>16</v>
      </c>
      <c r="E4529" s="131">
        <v>321</v>
      </c>
      <c r="F4529" s="767">
        <v>-9547.75</v>
      </c>
      <c r="G4529" s="767">
        <v>-24518.400000000001</v>
      </c>
      <c r="H4529" s="767">
        <v>-34066.15</v>
      </c>
      <c r="I4529" s="768" t="s">
        <v>2117</v>
      </c>
    </row>
    <row r="4530" spans="1:9" x14ac:dyDescent="0.25">
      <c r="A4530" s="753"/>
      <c r="C4530" s="131">
        <v>321</v>
      </c>
      <c r="D4530" s="131">
        <v>16</v>
      </c>
      <c r="E4530" s="131" t="s">
        <v>2118</v>
      </c>
      <c r="F4530" s="767">
        <v>-14823.72</v>
      </c>
      <c r="G4530" s="767">
        <v>10296.18</v>
      </c>
      <c r="H4530" s="767">
        <v>-4527.54</v>
      </c>
      <c r="I4530" s="768" t="s">
        <v>2119</v>
      </c>
    </row>
    <row r="4531" spans="1:9" x14ac:dyDescent="0.25">
      <c r="A4531" s="753"/>
      <c r="C4531" s="131">
        <v>321</v>
      </c>
      <c r="D4531" s="131">
        <v>16</v>
      </c>
      <c r="E4531" s="131" t="s">
        <v>2120</v>
      </c>
      <c r="F4531" s="767">
        <v>-125232.53</v>
      </c>
      <c r="G4531" s="767">
        <v>-7855.9</v>
      </c>
      <c r="H4531" s="767">
        <v>-133088.43</v>
      </c>
      <c r="I4531" s="768" t="s">
        <v>2121</v>
      </c>
    </row>
    <row r="4532" spans="1:9" x14ac:dyDescent="0.25">
      <c r="A4532" s="753"/>
      <c r="C4532" s="131">
        <v>321</v>
      </c>
      <c r="D4532" s="131">
        <v>16</v>
      </c>
      <c r="E4532" s="131" t="s">
        <v>2122</v>
      </c>
      <c r="F4532" s="767">
        <v>-27834.73</v>
      </c>
      <c r="G4532" s="767">
        <v>0</v>
      </c>
      <c r="H4532" s="767">
        <v>-27834.73</v>
      </c>
      <c r="I4532" s="768" t="s">
        <v>2123</v>
      </c>
    </row>
    <row r="4533" spans="1:9" x14ac:dyDescent="0.25">
      <c r="A4533" s="753"/>
      <c r="C4533" s="131">
        <v>321</v>
      </c>
      <c r="D4533" s="131">
        <v>16</v>
      </c>
      <c r="E4533" s="131" t="s">
        <v>2124</v>
      </c>
      <c r="F4533" s="767">
        <v>557.96</v>
      </c>
      <c r="G4533" s="767">
        <v>61.98</v>
      </c>
      <c r="H4533" s="767">
        <v>619.94000000000005</v>
      </c>
      <c r="I4533" s="768" t="s">
        <v>2125</v>
      </c>
    </row>
    <row r="4534" spans="1:9" x14ac:dyDescent="0.25">
      <c r="A4534" s="753">
        <v>102006</v>
      </c>
      <c r="B4534" s="130">
        <v>0</v>
      </c>
      <c r="E4534" s="131"/>
    </row>
    <row r="4535" spans="1:9" x14ac:dyDescent="0.25">
      <c r="A4535" s="753">
        <v>102008</v>
      </c>
      <c r="B4535" s="130">
        <v>0</v>
      </c>
      <c r="E4535" s="131"/>
    </row>
    <row r="4536" spans="1:9" x14ac:dyDescent="0.25">
      <c r="A4536" s="753">
        <v>102018</v>
      </c>
      <c r="B4536" s="130">
        <v>-11608</v>
      </c>
      <c r="C4536" s="131">
        <v>322</v>
      </c>
      <c r="D4536" s="131">
        <v>16</v>
      </c>
      <c r="E4536" s="131">
        <v>322</v>
      </c>
      <c r="F4536" s="767">
        <v>11608.01</v>
      </c>
      <c r="G4536" s="767">
        <v>0</v>
      </c>
      <c r="H4536" s="767">
        <v>11608.01</v>
      </c>
      <c r="I4536" s="768" t="s">
        <v>2126</v>
      </c>
    </row>
    <row r="4537" spans="1:9" x14ac:dyDescent="0.25">
      <c r="A4537" s="753">
        <v>102106</v>
      </c>
      <c r="B4537" s="130">
        <v>0</v>
      </c>
      <c r="E4537" s="131"/>
    </row>
    <row r="4538" spans="1:9" x14ac:dyDescent="0.25">
      <c r="A4538" s="753">
        <v>102108</v>
      </c>
      <c r="B4538" s="130">
        <v>0</v>
      </c>
      <c r="E4538" s="131"/>
    </row>
    <row r="4539" spans="1:9" x14ac:dyDescent="0.25">
      <c r="A4539" s="753">
        <v>102118</v>
      </c>
      <c r="B4539" s="130">
        <v>25351</v>
      </c>
      <c r="C4539" s="131">
        <v>323</v>
      </c>
      <c r="D4539" s="131">
        <v>16</v>
      </c>
      <c r="E4539" s="131" t="s">
        <v>2127</v>
      </c>
      <c r="F4539" s="767">
        <v>-3735</v>
      </c>
      <c r="G4539" s="767">
        <v>-410</v>
      </c>
      <c r="H4539" s="767">
        <v>-4145</v>
      </c>
      <c r="I4539" s="768" t="s">
        <v>2128</v>
      </c>
    </row>
    <row r="4540" spans="1:9" x14ac:dyDescent="0.25">
      <c r="A4540" s="753"/>
      <c r="C4540" s="131">
        <v>323</v>
      </c>
      <c r="D4540" s="131">
        <v>16</v>
      </c>
      <c r="E4540" s="131" t="s">
        <v>2129</v>
      </c>
      <c r="F4540" s="767">
        <v>-350.94</v>
      </c>
      <c r="G4540" s="767">
        <v>-4.62</v>
      </c>
      <c r="H4540" s="767">
        <v>-355.56</v>
      </c>
      <c r="I4540" s="768" t="s">
        <v>2130</v>
      </c>
    </row>
    <row r="4541" spans="1:9" x14ac:dyDescent="0.25">
      <c r="A4541" s="753"/>
      <c r="C4541" s="131">
        <v>323</v>
      </c>
      <c r="D4541" s="131">
        <v>16</v>
      </c>
      <c r="E4541" s="131" t="s">
        <v>2131</v>
      </c>
      <c r="F4541" s="767">
        <v>-1590.45</v>
      </c>
      <c r="G4541" s="767">
        <v>875.73</v>
      </c>
      <c r="H4541" s="767">
        <v>-714.72</v>
      </c>
      <c r="I4541" s="768" t="s">
        <v>2132</v>
      </c>
    </row>
    <row r="4542" spans="1:9" x14ac:dyDescent="0.25">
      <c r="A4542" s="753"/>
      <c r="C4542" s="131">
        <v>323</v>
      </c>
      <c r="D4542" s="131">
        <v>16</v>
      </c>
      <c r="E4542" s="131" t="s">
        <v>2133</v>
      </c>
      <c r="F4542" s="767">
        <v>-13138.86</v>
      </c>
      <c r="G4542" s="767">
        <v>-4681.74</v>
      </c>
      <c r="H4542" s="767">
        <v>-17820.599999999999</v>
      </c>
      <c r="I4542" s="768" t="s">
        <v>2134</v>
      </c>
    </row>
    <row r="4543" spans="1:9" x14ac:dyDescent="0.25">
      <c r="A4543" s="753"/>
      <c r="C4543" s="131">
        <v>323</v>
      </c>
      <c r="D4543" s="131">
        <v>16</v>
      </c>
      <c r="E4543" s="131" t="s">
        <v>2135</v>
      </c>
      <c r="F4543" s="767">
        <v>-1757.56</v>
      </c>
      <c r="G4543" s="767">
        <v>-557.6</v>
      </c>
      <c r="H4543" s="767">
        <v>-2315.16</v>
      </c>
      <c r="I4543" s="768" t="s">
        <v>2136</v>
      </c>
    </row>
    <row r="4544" spans="1:9" x14ac:dyDescent="0.25">
      <c r="A4544" s="753">
        <v>102204</v>
      </c>
      <c r="B4544" s="130">
        <v>0</v>
      </c>
      <c r="E4544" s="131"/>
    </row>
    <row r="4545" spans="1:9" x14ac:dyDescent="0.25">
      <c r="A4545" s="753">
        <v>102205</v>
      </c>
      <c r="B4545" s="130">
        <v>0</v>
      </c>
      <c r="E4545" s="131"/>
    </row>
    <row r="4546" spans="1:9" x14ac:dyDescent="0.25">
      <c r="A4546" s="753">
        <v>102206</v>
      </c>
      <c r="B4546" s="130">
        <v>0</v>
      </c>
      <c r="E4546" s="131"/>
    </row>
    <row r="4547" spans="1:9" x14ac:dyDescent="0.25">
      <c r="A4547" s="753">
        <v>102207</v>
      </c>
      <c r="B4547" s="130">
        <v>0</v>
      </c>
      <c r="E4547" s="131"/>
    </row>
    <row r="4548" spans="1:9" x14ac:dyDescent="0.25">
      <c r="A4548" s="753">
        <v>102208</v>
      </c>
      <c r="B4548" s="130">
        <v>0</v>
      </c>
      <c r="E4548" s="131"/>
    </row>
    <row r="4549" spans="1:9" x14ac:dyDescent="0.25">
      <c r="A4549" s="753">
        <v>102218</v>
      </c>
      <c r="B4549" s="130">
        <v>56403</v>
      </c>
      <c r="C4549" s="131">
        <v>324</v>
      </c>
      <c r="D4549" s="131">
        <v>16</v>
      </c>
      <c r="E4549" s="131">
        <v>325</v>
      </c>
      <c r="F4549" s="767">
        <v>-59330.66</v>
      </c>
      <c r="G4549" s="767">
        <v>-30133.49</v>
      </c>
      <c r="H4549" s="767">
        <v>-89464.15</v>
      </c>
      <c r="I4549" s="768" t="s">
        <v>2137</v>
      </c>
    </row>
    <row r="4550" spans="1:9" x14ac:dyDescent="0.25">
      <c r="A4550" s="753"/>
      <c r="C4550" s="131">
        <v>324</v>
      </c>
      <c r="D4550" s="131">
        <v>16</v>
      </c>
      <c r="E4550" s="131" t="s">
        <v>2138</v>
      </c>
      <c r="F4550" s="767">
        <v>34876.01</v>
      </c>
      <c r="G4550" s="767">
        <v>13287.42</v>
      </c>
      <c r="H4550" s="767">
        <v>48163.43</v>
      </c>
      <c r="I4550" s="768" t="s">
        <v>2139</v>
      </c>
    </row>
    <row r="4551" spans="1:9" x14ac:dyDescent="0.25">
      <c r="A4551" s="753"/>
      <c r="C4551" s="131">
        <v>324</v>
      </c>
      <c r="D4551" s="131">
        <v>16</v>
      </c>
      <c r="E4551" s="131">
        <v>326</v>
      </c>
      <c r="F4551" s="767">
        <v>-877.5</v>
      </c>
      <c r="G4551" s="767">
        <v>-540</v>
      </c>
      <c r="H4551" s="767">
        <v>-1417.5</v>
      </c>
      <c r="I4551" s="768" t="s">
        <v>2140</v>
      </c>
    </row>
    <row r="4552" spans="1:9" x14ac:dyDescent="0.25">
      <c r="A4552" s="753"/>
      <c r="C4552" s="131">
        <v>324</v>
      </c>
      <c r="D4552" s="131">
        <v>16</v>
      </c>
      <c r="E4552" s="131" t="s">
        <v>2141</v>
      </c>
      <c r="F4552" s="767">
        <v>0</v>
      </c>
      <c r="G4552" s="767">
        <v>-169.11</v>
      </c>
      <c r="H4552" s="767">
        <v>-169.11</v>
      </c>
      <c r="I4552" s="768" t="s">
        <v>2142</v>
      </c>
    </row>
    <row r="4553" spans="1:9" x14ac:dyDescent="0.25">
      <c r="A4553" s="753"/>
      <c r="C4553" s="131">
        <v>324</v>
      </c>
      <c r="D4553" s="131">
        <v>16</v>
      </c>
      <c r="E4553" s="131" t="s">
        <v>1366</v>
      </c>
      <c r="F4553" s="767">
        <v>-27945.23</v>
      </c>
      <c r="G4553" s="767">
        <v>14429.25</v>
      </c>
      <c r="H4553" s="767">
        <v>-13515.98</v>
      </c>
      <c r="I4553" s="768" t="s">
        <v>2143</v>
      </c>
    </row>
    <row r="4554" spans="1:9" x14ac:dyDescent="0.25">
      <c r="A4554" s="753">
        <v>102306</v>
      </c>
      <c r="B4554" s="130">
        <v>0</v>
      </c>
      <c r="E4554" s="131"/>
    </row>
    <row r="4555" spans="1:9" x14ac:dyDescent="0.25">
      <c r="A4555" s="753">
        <v>102308</v>
      </c>
      <c r="B4555" s="130">
        <v>0</v>
      </c>
      <c r="E4555" s="131"/>
    </row>
    <row r="4556" spans="1:9" x14ac:dyDescent="0.25">
      <c r="A4556" s="753">
        <v>102318</v>
      </c>
      <c r="B4556" s="130">
        <v>-57429</v>
      </c>
      <c r="C4556" s="131" t="s">
        <v>1365</v>
      </c>
      <c r="D4556" s="131">
        <v>16</v>
      </c>
      <c r="E4556" s="131">
        <v>324</v>
      </c>
      <c r="F4556" s="767">
        <v>-245516.27</v>
      </c>
      <c r="G4556" s="767">
        <v>51621.03</v>
      </c>
      <c r="H4556" s="767">
        <v>-193895.24</v>
      </c>
      <c r="I4556" s="768" t="s">
        <v>2144</v>
      </c>
    </row>
    <row r="4557" spans="1:9" x14ac:dyDescent="0.25">
      <c r="A4557" s="753"/>
      <c r="C4557" s="131" t="s">
        <v>1365</v>
      </c>
      <c r="D4557" s="131">
        <v>16</v>
      </c>
      <c r="E4557" s="131" t="s">
        <v>2145</v>
      </c>
      <c r="F4557" s="767">
        <v>153093.75</v>
      </c>
      <c r="G4557" s="767">
        <v>98230.61</v>
      </c>
      <c r="H4557" s="767">
        <v>251324.36</v>
      </c>
      <c r="I4557" s="768" t="s">
        <v>2146</v>
      </c>
    </row>
    <row r="4558" spans="1:9" x14ac:dyDescent="0.25">
      <c r="A4558" s="753">
        <v>102408</v>
      </c>
      <c r="B4558" s="130">
        <v>7711964</v>
      </c>
      <c r="E4558" s="131"/>
    </row>
    <row r="4559" spans="1:9" x14ac:dyDescent="0.25">
      <c r="A4559" s="753">
        <v>102418</v>
      </c>
      <c r="B4559" s="130">
        <v>769562</v>
      </c>
      <c r="C4559" s="131">
        <v>327</v>
      </c>
      <c r="D4559" s="131">
        <v>16</v>
      </c>
      <c r="E4559" s="131">
        <v>327</v>
      </c>
      <c r="F4559" s="767">
        <v>-740900.34</v>
      </c>
      <c r="G4559" s="767">
        <v>-28661.79</v>
      </c>
      <c r="H4559" s="767">
        <v>-769562.13</v>
      </c>
      <c r="I4559" s="768" t="s">
        <v>2064</v>
      </c>
    </row>
    <row r="4560" spans="1:9" x14ac:dyDescent="0.25">
      <c r="A4560" s="753">
        <v>102518</v>
      </c>
      <c r="B4560" s="130">
        <v>83753</v>
      </c>
      <c r="C4560" s="131">
        <v>328</v>
      </c>
      <c r="D4560" s="131">
        <v>16</v>
      </c>
      <c r="E4560" s="131">
        <v>328</v>
      </c>
      <c r="F4560" s="767">
        <v>-81776.88</v>
      </c>
      <c r="G4560" s="767">
        <v>-1976.14</v>
      </c>
      <c r="H4560" s="767">
        <v>-83753.02</v>
      </c>
      <c r="I4560" s="768" t="s">
        <v>2147</v>
      </c>
    </row>
    <row r="4561" spans="1:9" x14ac:dyDescent="0.25">
      <c r="A4561" s="753">
        <v>102605</v>
      </c>
      <c r="B4561" s="130">
        <v>8</v>
      </c>
      <c r="C4561" s="131" t="s">
        <v>1367</v>
      </c>
      <c r="D4561" s="131">
        <v>16</v>
      </c>
      <c r="E4561" s="131" t="s">
        <v>1367</v>
      </c>
      <c r="F4561" s="767">
        <v>0.1</v>
      </c>
      <c r="G4561" s="767">
        <v>-0.02</v>
      </c>
      <c r="H4561" s="767">
        <v>0.08</v>
      </c>
      <c r="I4561" s="768" t="s">
        <v>2148</v>
      </c>
    </row>
    <row r="4562" spans="1:9" x14ac:dyDescent="0.25">
      <c r="A4562" s="753">
        <v>102606</v>
      </c>
      <c r="B4562" s="130">
        <v>5</v>
      </c>
      <c r="C4562" s="131">
        <v>156</v>
      </c>
      <c r="D4562" s="131">
        <v>16</v>
      </c>
      <c r="E4562" s="131">
        <v>156</v>
      </c>
      <c r="F4562" s="767">
        <v>0.78</v>
      </c>
      <c r="G4562" s="767">
        <v>0.05</v>
      </c>
      <c r="H4562" s="767">
        <v>0.83</v>
      </c>
      <c r="I4562" s="768" t="s">
        <v>2149</v>
      </c>
    </row>
    <row r="4563" spans="1:9" x14ac:dyDescent="0.25">
      <c r="A4563" s="753">
        <v>102608</v>
      </c>
      <c r="B4563" s="130">
        <v>364774</v>
      </c>
      <c r="C4563" s="131" t="s">
        <v>111</v>
      </c>
      <c r="D4563" s="131">
        <v>16</v>
      </c>
      <c r="E4563" s="131" t="s">
        <v>111</v>
      </c>
      <c r="F4563" s="767">
        <v>462514.16</v>
      </c>
      <c r="G4563" s="767">
        <v>-97740.22</v>
      </c>
      <c r="H4563" s="767">
        <v>364773.94</v>
      </c>
      <c r="I4563" s="768" t="s">
        <v>2150</v>
      </c>
    </row>
    <row r="4564" spans="1:9" x14ac:dyDescent="0.25">
      <c r="A4564" s="753">
        <v>102618</v>
      </c>
      <c r="B4564" s="130">
        <v>0</v>
      </c>
      <c r="E4564" s="131"/>
    </row>
    <row r="4565" spans="1:9" x14ac:dyDescent="0.25">
      <c r="A4565" s="753">
        <v>102705</v>
      </c>
      <c r="B4565" s="130">
        <v>12</v>
      </c>
      <c r="C4565" s="131" t="s">
        <v>1368</v>
      </c>
      <c r="D4565" s="131">
        <v>16</v>
      </c>
      <c r="E4565" s="131" t="s">
        <v>1368</v>
      </c>
      <c r="F4565" s="767">
        <v>0.16</v>
      </c>
      <c r="G4565" s="767">
        <v>-0.04</v>
      </c>
      <c r="H4565" s="767">
        <v>0.12</v>
      </c>
      <c r="I4565" s="768" t="s">
        <v>2151</v>
      </c>
    </row>
    <row r="4566" spans="1:9" x14ac:dyDescent="0.25">
      <c r="A4566" s="753">
        <v>102706</v>
      </c>
      <c r="B4566" s="130">
        <v>5</v>
      </c>
      <c r="C4566" s="131" t="s">
        <v>1369</v>
      </c>
      <c r="D4566" s="131">
        <v>16</v>
      </c>
      <c r="E4566" s="131" t="s">
        <v>1369</v>
      </c>
      <c r="F4566" s="767">
        <v>0.72</v>
      </c>
      <c r="G4566" s="767">
        <v>0.05</v>
      </c>
      <c r="H4566" s="767">
        <v>0.77</v>
      </c>
      <c r="I4566" s="768" t="s">
        <v>2152</v>
      </c>
    </row>
    <row r="4567" spans="1:9" x14ac:dyDescent="0.25">
      <c r="A4567" s="753">
        <v>102708</v>
      </c>
      <c r="B4567" s="130">
        <v>414077</v>
      </c>
      <c r="C4567" s="131" t="s">
        <v>112</v>
      </c>
      <c r="D4567" s="131">
        <v>16</v>
      </c>
      <c r="E4567" s="131" t="s">
        <v>112</v>
      </c>
      <c r="F4567" s="767">
        <v>663839.81000000006</v>
      </c>
      <c r="G4567" s="767">
        <v>-249763.12</v>
      </c>
      <c r="H4567" s="767">
        <v>414076.69</v>
      </c>
      <c r="I4567" s="768" t="s">
        <v>2153</v>
      </c>
    </row>
    <row r="4568" spans="1:9" x14ac:dyDescent="0.25">
      <c r="A4568" s="753">
        <v>102718</v>
      </c>
      <c r="B4568" s="130">
        <v>0</v>
      </c>
      <c r="E4568" s="131"/>
    </row>
    <row r="4569" spans="1:9" x14ac:dyDescent="0.25">
      <c r="A4569" s="753">
        <v>102805</v>
      </c>
      <c r="B4569" s="130">
        <v>0</v>
      </c>
      <c r="E4569" s="131"/>
    </row>
    <row r="4570" spans="1:9" x14ac:dyDescent="0.25">
      <c r="A4570" s="753">
        <v>102806</v>
      </c>
      <c r="B4570" s="130">
        <v>0</v>
      </c>
      <c r="E4570" s="131"/>
    </row>
    <row r="4571" spans="1:9" x14ac:dyDescent="0.25">
      <c r="A4571" s="753">
        <v>102808</v>
      </c>
      <c r="B4571" s="130">
        <v>0</v>
      </c>
      <c r="E4571" s="131"/>
    </row>
    <row r="4572" spans="1:9" x14ac:dyDescent="0.25">
      <c r="A4572" s="753">
        <v>102818</v>
      </c>
      <c r="B4572" s="130">
        <v>349122</v>
      </c>
      <c r="C4572" s="131">
        <v>331</v>
      </c>
      <c r="D4572" s="131">
        <v>16</v>
      </c>
      <c r="E4572" s="131" t="s">
        <v>2154</v>
      </c>
      <c r="F4572" s="767">
        <v>-14000.47</v>
      </c>
      <c r="G4572" s="767">
        <v>2938.95</v>
      </c>
      <c r="H4572" s="767">
        <v>-11061.52</v>
      </c>
      <c r="I4572" s="768" t="s">
        <v>2155</v>
      </c>
    </row>
    <row r="4573" spans="1:9" x14ac:dyDescent="0.25">
      <c r="A4573" s="753"/>
      <c r="C4573" s="131">
        <v>331</v>
      </c>
      <c r="D4573" s="131">
        <v>16</v>
      </c>
      <c r="E4573" s="131" t="s">
        <v>2156</v>
      </c>
      <c r="F4573" s="767">
        <v>-58879.11</v>
      </c>
      <c r="G4573" s="767">
        <v>10420.530000000001</v>
      </c>
      <c r="H4573" s="767">
        <v>-48458.58</v>
      </c>
      <c r="I4573" s="768" t="s">
        <v>2157</v>
      </c>
    </row>
    <row r="4574" spans="1:9" x14ac:dyDescent="0.25">
      <c r="A4574" s="753"/>
      <c r="C4574" s="131">
        <v>331</v>
      </c>
      <c r="D4574" s="131">
        <v>16</v>
      </c>
      <c r="E4574" s="131" t="s">
        <v>2158</v>
      </c>
      <c r="F4574" s="767">
        <v>-16307</v>
      </c>
      <c r="G4574" s="767">
        <v>0</v>
      </c>
      <c r="H4574" s="767">
        <v>-16307</v>
      </c>
      <c r="I4574" s="768" t="s">
        <v>2159</v>
      </c>
    </row>
    <row r="4575" spans="1:9" x14ac:dyDescent="0.25">
      <c r="A4575" s="753"/>
      <c r="C4575" s="131">
        <v>331</v>
      </c>
      <c r="D4575" s="131">
        <v>16</v>
      </c>
      <c r="E4575" s="131" t="s">
        <v>2160</v>
      </c>
      <c r="F4575" s="767">
        <v>-20538.900000000001</v>
      </c>
      <c r="G4575" s="767">
        <v>-529.85</v>
      </c>
      <c r="H4575" s="767">
        <v>-21068.75</v>
      </c>
      <c r="I4575" s="768" t="s">
        <v>2161</v>
      </c>
    </row>
    <row r="4576" spans="1:9" x14ac:dyDescent="0.25">
      <c r="A4576" s="753"/>
      <c r="C4576" s="131">
        <v>331</v>
      </c>
      <c r="D4576" s="131">
        <v>16</v>
      </c>
      <c r="E4576" s="131" t="s">
        <v>2162</v>
      </c>
      <c r="F4576" s="767">
        <v>-27324.98</v>
      </c>
      <c r="G4576" s="767">
        <v>-14249.37</v>
      </c>
      <c r="H4576" s="767">
        <v>-41574.35</v>
      </c>
      <c r="I4576" s="768" t="s">
        <v>2163</v>
      </c>
    </row>
    <row r="4577" spans="1:9" x14ac:dyDescent="0.25">
      <c r="A4577" s="753"/>
      <c r="C4577" s="131">
        <v>331</v>
      </c>
      <c r="D4577" s="131">
        <v>16</v>
      </c>
      <c r="E4577" s="131" t="s">
        <v>2164</v>
      </c>
      <c r="F4577" s="767">
        <v>-19775.53</v>
      </c>
      <c r="G4577" s="767">
        <v>-10562.2</v>
      </c>
      <c r="H4577" s="767">
        <v>-30337.73</v>
      </c>
      <c r="I4577" s="768" t="s">
        <v>2165</v>
      </c>
    </row>
    <row r="4578" spans="1:9" x14ac:dyDescent="0.25">
      <c r="A4578" s="753"/>
      <c r="C4578" s="131">
        <v>331</v>
      </c>
      <c r="D4578" s="131">
        <v>16</v>
      </c>
      <c r="E4578" s="131" t="s">
        <v>2166</v>
      </c>
      <c r="F4578" s="767">
        <v>-9200</v>
      </c>
      <c r="G4578" s="767">
        <v>-1150</v>
      </c>
      <c r="H4578" s="767">
        <v>-10350</v>
      </c>
      <c r="I4578" s="768" t="s">
        <v>2167</v>
      </c>
    </row>
    <row r="4579" spans="1:9" x14ac:dyDescent="0.25">
      <c r="A4579" s="753"/>
      <c r="C4579" s="131">
        <v>331</v>
      </c>
      <c r="D4579" s="131">
        <v>16</v>
      </c>
      <c r="E4579" s="131" t="s">
        <v>2168</v>
      </c>
      <c r="F4579" s="767">
        <v>-20675.78</v>
      </c>
      <c r="G4579" s="767">
        <v>-1200</v>
      </c>
      <c r="H4579" s="767">
        <v>-21875.78</v>
      </c>
      <c r="I4579" s="768" t="s">
        <v>2169</v>
      </c>
    </row>
    <row r="4580" spans="1:9" x14ac:dyDescent="0.25">
      <c r="A4580" s="753"/>
      <c r="C4580" s="131">
        <v>331</v>
      </c>
      <c r="D4580" s="131">
        <v>16</v>
      </c>
      <c r="E4580" s="131">
        <v>332</v>
      </c>
      <c r="F4580" s="767">
        <v>-96615</v>
      </c>
      <c r="G4580" s="767">
        <v>-50899</v>
      </c>
      <c r="H4580" s="767">
        <v>-147514</v>
      </c>
      <c r="I4580" s="768" t="s">
        <v>2170</v>
      </c>
    </row>
    <row r="4581" spans="1:9" x14ac:dyDescent="0.25">
      <c r="A4581" s="753"/>
      <c r="C4581" s="131">
        <v>331</v>
      </c>
      <c r="D4581" s="131">
        <v>16</v>
      </c>
      <c r="E4581" s="131" t="s">
        <v>2322</v>
      </c>
      <c r="F4581" s="767">
        <v>0</v>
      </c>
      <c r="G4581" s="767">
        <v>-574.20000000000005</v>
      </c>
      <c r="H4581" s="767">
        <v>-574.20000000000005</v>
      </c>
      <c r="I4581" s="768" t="s">
        <v>2323</v>
      </c>
    </row>
    <row r="4582" spans="1:9" x14ac:dyDescent="0.25">
      <c r="A4582" s="753">
        <v>102905</v>
      </c>
      <c r="B4582" s="130">
        <v>15</v>
      </c>
      <c r="C4582" s="131" t="s">
        <v>1370</v>
      </c>
      <c r="D4582" s="131">
        <v>16</v>
      </c>
      <c r="E4582" s="131" t="s">
        <v>1370</v>
      </c>
      <c r="F4582" s="767">
        <v>0.13</v>
      </c>
      <c r="G4582" s="767">
        <v>0.02</v>
      </c>
      <c r="H4582" s="767">
        <v>0.15</v>
      </c>
      <c r="I4582" s="768" t="s">
        <v>2171</v>
      </c>
    </row>
    <row r="4583" spans="1:9" x14ac:dyDescent="0.25">
      <c r="A4583" s="753">
        <v>102906</v>
      </c>
      <c r="B4583" s="130">
        <v>6</v>
      </c>
      <c r="C4583" s="131" t="s">
        <v>1371</v>
      </c>
      <c r="D4583" s="131">
        <v>16</v>
      </c>
      <c r="E4583" s="131" t="s">
        <v>1371</v>
      </c>
      <c r="F4583" s="767">
        <v>0.91</v>
      </c>
      <c r="G4583" s="767">
        <v>0.06</v>
      </c>
      <c r="H4583" s="767">
        <v>0.97</v>
      </c>
      <c r="I4583" s="768" t="s">
        <v>2172</v>
      </c>
    </row>
    <row r="4584" spans="1:9" x14ac:dyDescent="0.25">
      <c r="A4584" s="753">
        <v>102908</v>
      </c>
      <c r="B4584" s="130">
        <v>451523</v>
      </c>
      <c r="C4584" s="131" t="s">
        <v>114</v>
      </c>
      <c r="D4584" s="131">
        <v>16</v>
      </c>
      <c r="E4584" s="131" t="s">
        <v>114</v>
      </c>
      <c r="F4584" s="767">
        <v>330094.24</v>
      </c>
      <c r="G4584" s="767">
        <v>121428.64</v>
      </c>
      <c r="H4584" s="767">
        <v>451522.88</v>
      </c>
      <c r="I4584" s="768" t="s">
        <v>2173</v>
      </c>
    </row>
    <row r="4585" spans="1:9" x14ac:dyDescent="0.25">
      <c r="A4585" s="753">
        <v>102918</v>
      </c>
      <c r="B4585" s="130">
        <v>1414051</v>
      </c>
      <c r="E4585" s="131"/>
    </row>
    <row r="4586" spans="1:9" x14ac:dyDescent="0.25">
      <c r="A4586" s="753">
        <v>103005</v>
      </c>
      <c r="B4586" s="130">
        <v>0</v>
      </c>
      <c r="E4586" s="131"/>
    </row>
    <row r="4587" spans="1:9" x14ac:dyDescent="0.25">
      <c r="A4587" s="753">
        <v>103006</v>
      </c>
      <c r="B4587" s="130">
        <v>0</v>
      </c>
      <c r="E4587" s="131"/>
    </row>
    <row r="4588" spans="1:9" x14ac:dyDescent="0.25">
      <c r="A4588" s="753">
        <v>103008</v>
      </c>
      <c r="B4588" s="130">
        <v>0</v>
      </c>
      <c r="E4588" s="131"/>
    </row>
    <row r="4589" spans="1:9" x14ac:dyDescent="0.25">
      <c r="A4589" s="753">
        <v>103108</v>
      </c>
      <c r="B4589" s="130">
        <v>1230374</v>
      </c>
      <c r="E4589" s="131"/>
    </row>
    <row r="4590" spans="1:9" x14ac:dyDescent="0.25">
      <c r="A4590" s="753">
        <v>103118</v>
      </c>
      <c r="B4590" s="130">
        <v>11185899</v>
      </c>
      <c r="E4590" s="131"/>
    </row>
    <row r="4591" spans="1:9" x14ac:dyDescent="0.25">
      <c r="A4591" s="753">
        <v>103308</v>
      </c>
      <c r="B4591" s="130">
        <v>290524</v>
      </c>
      <c r="C4591" s="131" t="s">
        <v>116</v>
      </c>
      <c r="D4591" s="131">
        <v>16</v>
      </c>
      <c r="E4591" s="131" t="s">
        <v>116</v>
      </c>
      <c r="F4591" s="767">
        <v>241692.83</v>
      </c>
      <c r="G4591" s="767">
        <v>46009.05</v>
      </c>
      <c r="H4591" s="767">
        <v>287701.88</v>
      </c>
      <c r="I4591" s="768" t="s">
        <v>2174</v>
      </c>
    </row>
    <row r="4592" spans="1:9" x14ac:dyDescent="0.25">
      <c r="A4592" s="753"/>
      <c r="C4592" s="131" t="s">
        <v>116</v>
      </c>
      <c r="D4592" s="131">
        <v>16</v>
      </c>
      <c r="E4592" s="131" t="s">
        <v>2175</v>
      </c>
      <c r="F4592" s="767">
        <v>2817.74</v>
      </c>
      <c r="G4592" s="767">
        <v>3.92</v>
      </c>
      <c r="H4592" s="767">
        <v>2821.66</v>
      </c>
      <c r="I4592" s="768" t="s">
        <v>2176</v>
      </c>
    </row>
    <row r="4593" spans="1:9" x14ac:dyDescent="0.25">
      <c r="A4593" s="753">
        <v>103318</v>
      </c>
      <c r="B4593" s="130">
        <v>0</v>
      </c>
      <c r="E4593" s="131"/>
    </row>
    <row r="4594" spans="1:9" x14ac:dyDescent="0.25">
      <c r="A4594" s="753">
        <v>103408</v>
      </c>
      <c r="B4594" s="130">
        <v>0</v>
      </c>
      <c r="E4594" s="131"/>
    </row>
    <row r="4595" spans="1:9" x14ac:dyDescent="0.25">
      <c r="A4595" s="753">
        <v>103418</v>
      </c>
      <c r="B4595" s="130">
        <v>0</v>
      </c>
      <c r="E4595" s="131"/>
    </row>
    <row r="4596" spans="1:9" x14ac:dyDescent="0.25">
      <c r="A4596" s="753">
        <v>103508</v>
      </c>
      <c r="B4596" s="130">
        <v>0</v>
      </c>
      <c r="E4596" s="131"/>
    </row>
    <row r="4597" spans="1:9" x14ac:dyDescent="0.25">
      <c r="A4597" s="753">
        <v>103518</v>
      </c>
      <c r="B4597" s="130">
        <v>0</v>
      </c>
      <c r="E4597" s="131"/>
    </row>
    <row r="4598" spans="1:9" x14ac:dyDescent="0.25">
      <c r="A4598" s="753">
        <v>103608</v>
      </c>
      <c r="B4598" s="130">
        <v>0</v>
      </c>
      <c r="E4598" s="131"/>
    </row>
    <row r="4599" spans="1:9" x14ac:dyDescent="0.25">
      <c r="A4599" s="753">
        <v>103618</v>
      </c>
      <c r="B4599" s="130">
        <v>1101731</v>
      </c>
      <c r="C4599" s="131">
        <v>337</v>
      </c>
      <c r="D4599" s="131">
        <v>16</v>
      </c>
      <c r="E4599" s="131" t="s">
        <v>2177</v>
      </c>
      <c r="F4599" s="767">
        <v>-1101731</v>
      </c>
      <c r="G4599" s="767">
        <v>0</v>
      </c>
      <c r="H4599" s="767">
        <v>-1101731</v>
      </c>
      <c r="I4599" s="768" t="s">
        <v>2178</v>
      </c>
    </row>
    <row r="4600" spans="1:9" x14ac:dyDescent="0.25">
      <c r="A4600" s="753">
        <v>103708</v>
      </c>
      <c r="B4600" s="130">
        <v>0</v>
      </c>
      <c r="E4600" s="131"/>
    </row>
    <row r="4601" spans="1:9" x14ac:dyDescent="0.25">
      <c r="A4601" s="753">
        <v>103808</v>
      </c>
      <c r="B4601" s="130">
        <v>0</v>
      </c>
      <c r="E4601" s="131"/>
    </row>
    <row r="4602" spans="1:9" x14ac:dyDescent="0.25">
      <c r="A4602" s="753">
        <v>103818</v>
      </c>
      <c r="B4602" s="130">
        <v>1101731</v>
      </c>
      <c r="E4602" s="131"/>
    </row>
    <row r="4603" spans="1:9" x14ac:dyDescent="0.25">
      <c r="A4603" s="753">
        <v>103908</v>
      </c>
      <c r="B4603" s="130">
        <v>290524</v>
      </c>
      <c r="E4603" s="131"/>
    </row>
    <row r="4604" spans="1:9" x14ac:dyDescent="0.25">
      <c r="A4604" s="753">
        <v>103918</v>
      </c>
      <c r="B4604" s="130">
        <v>12287630</v>
      </c>
      <c r="E4604" s="131"/>
    </row>
    <row r="4605" spans="1:9" x14ac:dyDescent="0.25">
      <c r="A4605" s="753">
        <v>104108</v>
      </c>
      <c r="B4605" s="130">
        <v>0</v>
      </c>
      <c r="E4605" s="131"/>
    </row>
    <row r="4606" spans="1:9" x14ac:dyDescent="0.25">
      <c r="A4606" s="753">
        <v>104208</v>
      </c>
      <c r="B4606" s="130">
        <v>0</v>
      </c>
      <c r="E4606" s="131"/>
    </row>
    <row r="4607" spans="1:9" x14ac:dyDescent="0.25">
      <c r="A4607" s="753">
        <v>104308</v>
      </c>
      <c r="B4607" s="130">
        <v>-1433</v>
      </c>
      <c r="C4607" s="131">
        <v>247</v>
      </c>
      <c r="D4607" s="131">
        <v>16</v>
      </c>
      <c r="E4607" s="131">
        <v>247</v>
      </c>
      <c r="F4607" s="767">
        <v>1533.14</v>
      </c>
      <c r="G4607" s="767">
        <v>-2966.12</v>
      </c>
      <c r="H4607" s="767">
        <v>-1432.98</v>
      </c>
      <c r="I4607" s="768" t="s">
        <v>2179</v>
      </c>
    </row>
    <row r="4608" spans="1:9" x14ac:dyDescent="0.25">
      <c r="A4608" s="753">
        <v>104318</v>
      </c>
      <c r="B4608" s="130">
        <v>1055756</v>
      </c>
      <c r="C4608" s="131">
        <v>145</v>
      </c>
      <c r="D4608" s="131">
        <v>16</v>
      </c>
      <c r="E4608" s="131">
        <v>145</v>
      </c>
      <c r="F4608" s="767">
        <v>1055756</v>
      </c>
      <c r="G4608" s="767">
        <v>0</v>
      </c>
      <c r="H4608" s="767">
        <v>1055756</v>
      </c>
      <c r="I4608" s="768" t="s">
        <v>2180</v>
      </c>
    </row>
    <row r="4609" spans="1:9" x14ac:dyDescent="0.25">
      <c r="A4609" s="753">
        <v>104408</v>
      </c>
      <c r="B4609" s="130">
        <v>2794</v>
      </c>
      <c r="C4609" s="131">
        <v>248</v>
      </c>
      <c r="D4609" s="131">
        <v>16</v>
      </c>
      <c r="E4609" s="131">
        <v>248</v>
      </c>
      <c r="F4609" s="767">
        <v>1707.1</v>
      </c>
      <c r="G4609" s="767">
        <v>1086.75</v>
      </c>
      <c r="H4609" s="767">
        <v>2793.85</v>
      </c>
      <c r="I4609" s="768" t="s">
        <v>2181</v>
      </c>
    </row>
    <row r="4610" spans="1:9" x14ac:dyDescent="0.25">
      <c r="A4610" s="753">
        <v>104508</v>
      </c>
      <c r="B4610" s="130">
        <v>158155</v>
      </c>
      <c r="C4610" s="131">
        <v>249</v>
      </c>
      <c r="D4610" s="131">
        <v>16</v>
      </c>
      <c r="E4610" s="131">
        <v>249</v>
      </c>
      <c r="F4610" s="767">
        <v>122917.25</v>
      </c>
      <c r="G4610" s="767">
        <v>35238.129999999997</v>
      </c>
      <c r="H4610" s="767">
        <v>158155.38</v>
      </c>
      <c r="I4610" s="768" t="s">
        <v>2182</v>
      </c>
    </row>
    <row r="4611" spans="1:9" x14ac:dyDescent="0.25">
      <c r="A4611" s="753">
        <v>104608</v>
      </c>
      <c r="B4611" s="130">
        <v>159516</v>
      </c>
      <c r="E4611" s="131"/>
    </row>
    <row r="4612" spans="1:9" x14ac:dyDescent="0.25">
      <c r="A4612" s="753">
        <v>104708</v>
      </c>
      <c r="B4612" s="130">
        <v>9392378</v>
      </c>
      <c r="E4612" s="131"/>
    </row>
    <row r="4613" spans="1:9" x14ac:dyDescent="0.25">
      <c r="A4613" s="753">
        <v>104818</v>
      </c>
      <c r="B4613" s="130">
        <v>0</v>
      </c>
      <c r="E4613" s="131"/>
    </row>
    <row r="4614" spans="1:9" x14ac:dyDescent="0.25">
      <c r="A4614" s="753">
        <v>104908</v>
      </c>
      <c r="B4614" s="130">
        <v>0</v>
      </c>
      <c r="E4614" s="131"/>
    </row>
    <row r="4615" spans="1:9" x14ac:dyDescent="0.25">
      <c r="A4615" s="753">
        <v>104918</v>
      </c>
      <c r="B4615" s="130">
        <v>4390686</v>
      </c>
      <c r="C4615" s="131">
        <v>360</v>
      </c>
      <c r="D4615" s="131">
        <v>16</v>
      </c>
      <c r="E4615" s="131">
        <v>360</v>
      </c>
      <c r="F4615" s="767">
        <v>-4390685.5999999996</v>
      </c>
      <c r="G4615" s="767">
        <v>0</v>
      </c>
      <c r="H4615" s="767">
        <v>-4390685.5999999996</v>
      </c>
      <c r="I4615" s="768" t="s">
        <v>541</v>
      </c>
    </row>
    <row r="4616" spans="1:9" x14ac:dyDescent="0.25">
      <c r="A4616" s="753">
        <v>105008</v>
      </c>
      <c r="B4616" s="130">
        <v>0</v>
      </c>
      <c r="E4616" s="131"/>
    </row>
    <row r="4617" spans="1:9" x14ac:dyDescent="0.25">
      <c r="A4617" s="753">
        <v>105018</v>
      </c>
      <c r="B4617" s="130">
        <v>0</v>
      </c>
      <c r="E4617" s="131"/>
    </row>
    <row r="4618" spans="1:9" x14ac:dyDescent="0.25">
      <c r="A4618" s="753">
        <v>105108</v>
      </c>
      <c r="B4618" s="130">
        <v>0</v>
      </c>
      <c r="E4618" s="131"/>
    </row>
    <row r="4619" spans="1:9" x14ac:dyDescent="0.25">
      <c r="A4619" s="753">
        <v>105118</v>
      </c>
      <c r="B4619" s="130">
        <v>3341893</v>
      </c>
      <c r="C4619" s="131">
        <v>370</v>
      </c>
      <c r="D4619" s="131">
        <v>16</v>
      </c>
      <c r="E4619" s="131">
        <v>370</v>
      </c>
      <c r="F4619" s="767">
        <v>-3341893.47</v>
      </c>
      <c r="G4619" s="767">
        <v>0</v>
      </c>
      <c r="H4619" s="767">
        <v>-3341893.47</v>
      </c>
      <c r="I4619" s="768" t="s">
        <v>2183</v>
      </c>
    </row>
    <row r="4620" spans="1:9" x14ac:dyDescent="0.25">
      <c r="A4620" s="753">
        <v>105208</v>
      </c>
      <c r="B4620" s="130">
        <v>11044</v>
      </c>
      <c r="C4620" s="131">
        <v>270</v>
      </c>
      <c r="D4620" s="131">
        <v>16</v>
      </c>
      <c r="E4620" s="131" t="s">
        <v>2184</v>
      </c>
      <c r="F4620" s="767">
        <v>23723.599999999999</v>
      </c>
      <c r="G4620" s="767">
        <v>-7907.87</v>
      </c>
      <c r="H4620" s="767">
        <v>15815.73</v>
      </c>
      <c r="I4620" s="768" t="s">
        <v>2185</v>
      </c>
    </row>
    <row r="4621" spans="1:9" x14ac:dyDescent="0.25">
      <c r="A4621" s="753"/>
      <c r="C4621" s="131">
        <v>270</v>
      </c>
      <c r="D4621" s="131">
        <v>16</v>
      </c>
      <c r="E4621" s="131" t="s">
        <v>2186</v>
      </c>
      <c r="F4621" s="767">
        <v>-5123.93</v>
      </c>
      <c r="G4621" s="767">
        <v>-750</v>
      </c>
      <c r="H4621" s="767">
        <v>-5873.93</v>
      </c>
      <c r="I4621" s="768" t="s">
        <v>2187</v>
      </c>
    </row>
    <row r="4622" spans="1:9" x14ac:dyDescent="0.25">
      <c r="A4622" s="753"/>
      <c r="C4622" s="131">
        <v>270</v>
      </c>
      <c r="D4622" s="131">
        <v>16</v>
      </c>
      <c r="E4622" s="131" t="s">
        <v>2188</v>
      </c>
      <c r="F4622" s="767">
        <v>15134.59</v>
      </c>
      <c r="G4622" s="767">
        <v>-1537.9</v>
      </c>
      <c r="H4622" s="767">
        <v>13596.69</v>
      </c>
      <c r="I4622" s="768" t="s">
        <v>2189</v>
      </c>
    </row>
    <row r="4623" spans="1:9" x14ac:dyDescent="0.25">
      <c r="A4623" s="753"/>
      <c r="C4623" s="131">
        <v>270</v>
      </c>
      <c r="D4623" s="131">
        <v>16</v>
      </c>
      <c r="E4623" s="131">
        <v>274</v>
      </c>
      <c r="F4623" s="767">
        <v>-2750</v>
      </c>
      <c r="G4623" s="767">
        <v>0</v>
      </c>
      <c r="H4623" s="767">
        <v>-2750</v>
      </c>
      <c r="I4623" s="768" t="s">
        <v>2190</v>
      </c>
    </row>
    <row r="4624" spans="1:9" x14ac:dyDescent="0.25">
      <c r="A4624" s="753"/>
      <c r="C4624" s="131">
        <v>270</v>
      </c>
      <c r="D4624" s="131">
        <v>16</v>
      </c>
      <c r="E4624" s="131" t="s">
        <v>2191</v>
      </c>
      <c r="F4624" s="767">
        <v>-9766.5499999999993</v>
      </c>
      <c r="G4624" s="767">
        <v>4766.55</v>
      </c>
      <c r="H4624" s="767">
        <v>-5000</v>
      </c>
      <c r="I4624" s="768" t="s">
        <v>2192</v>
      </c>
    </row>
    <row r="4625" spans="1:9" x14ac:dyDescent="0.25">
      <c r="A4625" s="753"/>
      <c r="C4625" s="131">
        <v>270</v>
      </c>
      <c r="D4625" s="131">
        <v>16</v>
      </c>
      <c r="E4625" s="131" t="s">
        <v>2324</v>
      </c>
      <c r="F4625" s="767">
        <v>-189.87</v>
      </c>
      <c r="G4625" s="767">
        <v>0</v>
      </c>
      <c r="H4625" s="767">
        <v>-189.87</v>
      </c>
      <c r="I4625" s="768" t="s">
        <v>2325</v>
      </c>
    </row>
    <row r="4626" spans="1:9" x14ac:dyDescent="0.25">
      <c r="A4626" s="753"/>
      <c r="C4626" s="131">
        <v>270</v>
      </c>
      <c r="D4626" s="131">
        <v>16</v>
      </c>
      <c r="E4626" s="131" t="s">
        <v>2193</v>
      </c>
      <c r="F4626" s="767">
        <v>-1416.2</v>
      </c>
      <c r="G4626" s="767">
        <v>0</v>
      </c>
      <c r="H4626" s="767">
        <v>-1416.2</v>
      </c>
      <c r="I4626" s="768" t="s">
        <v>2194</v>
      </c>
    </row>
    <row r="4627" spans="1:9" x14ac:dyDescent="0.25">
      <c r="A4627" s="753"/>
      <c r="C4627" s="131">
        <v>270</v>
      </c>
      <c r="D4627" s="131">
        <v>16</v>
      </c>
      <c r="E4627" s="131" t="s">
        <v>2195</v>
      </c>
      <c r="F4627" s="767">
        <v>11415.75</v>
      </c>
      <c r="G4627" s="767">
        <v>-14828.83</v>
      </c>
      <c r="H4627" s="767">
        <v>-3413.08</v>
      </c>
      <c r="I4627" s="768" t="s">
        <v>2196</v>
      </c>
    </row>
    <row r="4628" spans="1:9" x14ac:dyDescent="0.25">
      <c r="A4628" s="753"/>
      <c r="C4628" s="131">
        <v>270</v>
      </c>
      <c r="D4628" s="131">
        <v>16</v>
      </c>
      <c r="E4628" s="131" t="s">
        <v>2197</v>
      </c>
      <c r="F4628" s="767">
        <v>425</v>
      </c>
      <c r="G4628" s="767">
        <v>-150</v>
      </c>
      <c r="H4628" s="767">
        <v>275</v>
      </c>
      <c r="I4628" s="768" t="s">
        <v>2198</v>
      </c>
    </row>
    <row r="4629" spans="1:9" x14ac:dyDescent="0.25">
      <c r="A4629" s="753">
        <v>105218</v>
      </c>
      <c r="B4629" s="130">
        <v>0</v>
      </c>
      <c r="E4629" s="131"/>
    </row>
    <row r="4630" spans="1:9" x14ac:dyDescent="0.25">
      <c r="A4630" s="753">
        <v>105308</v>
      </c>
      <c r="B4630" s="130">
        <v>11044</v>
      </c>
      <c r="E4630" s="131"/>
    </row>
    <row r="4631" spans="1:9" x14ac:dyDescent="0.25">
      <c r="A4631" s="753">
        <v>105606</v>
      </c>
      <c r="B4631" s="130">
        <v>0</v>
      </c>
      <c r="E4631" s="131"/>
    </row>
    <row r="4632" spans="1:9" x14ac:dyDescent="0.25">
      <c r="A4632" s="753">
        <v>105608</v>
      </c>
      <c r="B4632" s="130">
        <v>0</v>
      </c>
      <c r="E4632" s="131"/>
    </row>
    <row r="4633" spans="1:9" x14ac:dyDescent="0.25">
      <c r="A4633" s="753">
        <v>105618</v>
      </c>
      <c r="B4633" s="130">
        <v>0</v>
      </c>
      <c r="E4633" s="131"/>
    </row>
    <row r="4634" spans="1:9" x14ac:dyDescent="0.25">
      <c r="A4634" s="753">
        <v>105706</v>
      </c>
      <c r="B4634" s="130">
        <v>0</v>
      </c>
      <c r="E4634" s="131"/>
    </row>
    <row r="4635" spans="1:9" x14ac:dyDescent="0.25">
      <c r="A4635" s="753">
        <v>105708</v>
      </c>
      <c r="B4635" s="130">
        <v>0</v>
      </c>
      <c r="E4635" s="131"/>
    </row>
    <row r="4636" spans="1:9" x14ac:dyDescent="0.25">
      <c r="A4636" s="753">
        <v>105718</v>
      </c>
      <c r="B4636" s="130">
        <v>0</v>
      </c>
      <c r="E4636" s="131"/>
    </row>
    <row r="4637" spans="1:9" x14ac:dyDescent="0.25">
      <c r="A4637" s="753">
        <v>105808</v>
      </c>
      <c r="B4637" s="130">
        <v>0</v>
      </c>
      <c r="E4637" s="131"/>
    </row>
    <row r="4638" spans="1:9" x14ac:dyDescent="0.25">
      <c r="A4638" s="753">
        <v>105908</v>
      </c>
      <c r="B4638" s="130">
        <v>12461029</v>
      </c>
      <c r="E4638" s="131"/>
    </row>
    <row r="4639" spans="1:9" x14ac:dyDescent="0.25">
      <c r="A4639" s="753">
        <v>106110</v>
      </c>
      <c r="B4639" s="130">
        <v>1</v>
      </c>
      <c r="C4639" s="131" t="s">
        <v>1372</v>
      </c>
      <c r="D4639" s="131">
        <v>16</v>
      </c>
      <c r="E4639" s="131" t="s">
        <v>1372</v>
      </c>
      <c r="F4639" s="767">
        <v>0.01</v>
      </c>
      <c r="G4639" s="767">
        <v>0</v>
      </c>
      <c r="H4639" s="767">
        <v>0.01</v>
      </c>
      <c r="I4639" s="768" t="s">
        <v>2199</v>
      </c>
    </row>
    <row r="4640" spans="1:9" x14ac:dyDescent="0.25">
      <c r="A4640" s="753">
        <v>106111</v>
      </c>
      <c r="B4640" s="130">
        <v>4</v>
      </c>
      <c r="C4640" s="131" t="s">
        <v>1373</v>
      </c>
      <c r="D4640" s="131">
        <v>16</v>
      </c>
      <c r="E4640" s="131" t="s">
        <v>1373</v>
      </c>
      <c r="F4640" s="767">
        <v>0.04</v>
      </c>
      <c r="G4640" s="767">
        <v>0</v>
      </c>
      <c r="H4640" s="767">
        <v>0.04</v>
      </c>
      <c r="I4640" s="768" t="s">
        <v>2200</v>
      </c>
    </row>
    <row r="4641" spans="1:9" x14ac:dyDescent="0.25">
      <c r="A4641" s="753">
        <v>106112</v>
      </c>
      <c r="B4641" s="130">
        <v>4</v>
      </c>
      <c r="C4641" s="131" t="s">
        <v>1374</v>
      </c>
      <c r="D4641" s="131">
        <v>16</v>
      </c>
      <c r="E4641" s="131" t="s">
        <v>1374</v>
      </c>
      <c r="F4641" s="767">
        <v>0.04</v>
      </c>
      <c r="G4641" s="767">
        <v>0</v>
      </c>
      <c r="H4641" s="767">
        <v>0.04</v>
      </c>
      <c r="I4641" s="768" t="s">
        <v>2201</v>
      </c>
    </row>
    <row r="4642" spans="1:9" x14ac:dyDescent="0.25">
      <c r="A4642" s="753">
        <v>106113</v>
      </c>
      <c r="B4642" s="130">
        <v>0</v>
      </c>
      <c r="E4642" s="131"/>
    </row>
    <row r="4643" spans="1:9" x14ac:dyDescent="0.25">
      <c r="A4643" s="753">
        <v>106114</v>
      </c>
      <c r="B4643" s="130">
        <v>12</v>
      </c>
      <c r="C4643" s="131" t="s">
        <v>1375</v>
      </c>
      <c r="D4643" s="131">
        <v>16</v>
      </c>
      <c r="E4643" s="131" t="s">
        <v>1375</v>
      </c>
      <c r="F4643" s="767">
        <v>0.12</v>
      </c>
      <c r="G4643" s="767">
        <v>0</v>
      </c>
      <c r="H4643" s="767">
        <v>0.12</v>
      </c>
      <c r="I4643" s="768" t="s">
        <v>2202</v>
      </c>
    </row>
    <row r="4644" spans="1:9" x14ac:dyDescent="0.25">
      <c r="A4644" s="753">
        <v>106115</v>
      </c>
      <c r="B4644" s="130">
        <v>0</v>
      </c>
      <c r="E4644" s="131"/>
    </row>
    <row r="4645" spans="1:9" x14ac:dyDescent="0.25">
      <c r="A4645" s="753">
        <v>106116</v>
      </c>
      <c r="B4645" s="130">
        <v>10</v>
      </c>
      <c r="C4645" s="131" t="s">
        <v>1376</v>
      </c>
      <c r="D4645" s="131">
        <v>16</v>
      </c>
      <c r="E4645" s="131" t="s">
        <v>1376</v>
      </c>
      <c r="F4645" s="767">
        <v>0.1</v>
      </c>
      <c r="G4645" s="767">
        <v>0</v>
      </c>
      <c r="H4645" s="767">
        <v>0.1</v>
      </c>
      <c r="I4645" s="768" t="s">
        <v>2203</v>
      </c>
    </row>
    <row r="4646" spans="1:9" x14ac:dyDescent="0.25">
      <c r="A4646" s="753">
        <v>106205</v>
      </c>
      <c r="B4646" s="130">
        <v>0</v>
      </c>
      <c r="E4646" s="131"/>
    </row>
    <row r="4647" spans="1:9" x14ac:dyDescent="0.25">
      <c r="A4647" s="753">
        <v>106208</v>
      </c>
      <c r="B4647" s="130">
        <v>0</v>
      </c>
      <c r="E4647" s="131"/>
    </row>
    <row r="4648" spans="1:9" x14ac:dyDescent="0.25">
      <c r="A4648" s="753">
        <v>106210</v>
      </c>
      <c r="B4648" s="130">
        <v>3</v>
      </c>
      <c r="C4648" s="131" t="s">
        <v>1377</v>
      </c>
      <c r="D4648" s="131">
        <v>16</v>
      </c>
      <c r="E4648" s="131" t="s">
        <v>1377</v>
      </c>
      <c r="F4648" s="767">
        <v>0.03</v>
      </c>
      <c r="G4648" s="767">
        <v>0</v>
      </c>
      <c r="H4648" s="767">
        <v>0.03</v>
      </c>
      <c r="I4648" s="768" t="s">
        <v>2204</v>
      </c>
    </row>
    <row r="4649" spans="1:9" x14ac:dyDescent="0.25">
      <c r="A4649" s="753">
        <v>106211</v>
      </c>
      <c r="B4649" s="130">
        <v>4</v>
      </c>
      <c r="C4649" s="131" t="s">
        <v>1378</v>
      </c>
      <c r="D4649" s="131">
        <v>16</v>
      </c>
      <c r="E4649" s="131" t="s">
        <v>1378</v>
      </c>
      <c r="F4649" s="767">
        <v>0.04</v>
      </c>
      <c r="G4649" s="767">
        <v>0</v>
      </c>
      <c r="H4649" s="767">
        <v>0.04</v>
      </c>
      <c r="I4649" s="768" t="s">
        <v>2205</v>
      </c>
    </row>
    <row r="4650" spans="1:9" x14ac:dyDescent="0.25">
      <c r="A4650" s="753">
        <v>106212</v>
      </c>
      <c r="B4650" s="130">
        <v>2</v>
      </c>
      <c r="C4650" s="131" t="s">
        <v>1379</v>
      </c>
      <c r="D4650" s="131">
        <v>16</v>
      </c>
      <c r="E4650" s="131" t="s">
        <v>1379</v>
      </c>
      <c r="F4650" s="767">
        <v>0.02</v>
      </c>
      <c r="G4650" s="767">
        <v>0</v>
      </c>
      <c r="H4650" s="767">
        <v>0.02</v>
      </c>
      <c r="I4650" s="768" t="s">
        <v>2206</v>
      </c>
    </row>
    <row r="4651" spans="1:9" x14ac:dyDescent="0.25">
      <c r="A4651" s="753">
        <v>106213</v>
      </c>
      <c r="B4651" s="130">
        <v>0</v>
      </c>
      <c r="E4651" s="131"/>
    </row>
    <row r="4652" spans="1:9" x14ac:dyDescent="0.25">
      <c r="A4652" s="753">
        <v>106214</v>
      </c>
      <c r="B4652" s="130">
        <v>13</v>
      </c>
      <c r="C4652" s="131" t="s">
        <v>1380</v>
      </c>
      <c r="D4652" s="131">
        <v>16</v>
      </c>
      <c r="E4652" s="131" t="s">
        <v>1380</v>
      </c>
      <c r="F4652" s="767">
        <v>0.13</v>
      </c>
      <c r="G4652" s="767">
        <v>0</v>
      </c>
      <c r="H4652" s="767">
        <v>0.13</v>
      </c>
      <c r="I4652" s="768" t="s">
        <v>2207</v>
      </c>
    </row>
    <row r="4653" spans="1:9" x14ac:dyDescent="0.25">
      <c r="A4653" s="753">
        <v>106215</v>
      </c>
      <c r="B4653" s="130">
        <v>0</v>
      </c>
      <c r="E4653" s="131"/>
    </row>
    <row r="4654" spans="1:9" x14ac:dyDescent="0.25">
      <c r="A4654" s="753">
        <v>106216</v>
      </c>
      <c r="B4654" s="130">
        <v>13</v>
      </c>
      <c r="C4654" s="131" t="s">
        <v>1381</v>
      </c>
      <c r="D4654" s="131">
        <v>16</v>
      </c>
      <c r="E4654" s="131" t="s">
        <v>1381</v>
      </c>
      <c r="F4654" s="767">
        <v>0.13</v>
      </c>
      <c r="G4654" s="767">
        <v>0</v>
      </c>
      <c r="H4654" s="767">
        <v>0.13</v>
      </c>
      <c r="I4654" s="768" t="s">
        <v>2208</v>
      </c>
    </row>
    <row r="4655" spans="1:9" x14ac:dyDescent="0.25">
      <c r="A4655" s="753">
        <v>106305</v>
      </c>
      <c r="B4655" s="130">
        <v>0</v>
      </c>
      <c r="E4655" s="131"/>
    </row>
    <row r="4656" spans="1:9" x14ac:dyDescent="0.25">
      <c r="A4656" s="753">
        <v>106306</v>
      </c>
      <c r="B4656" s="130">
        <v>0</v>
      </c>
      <c r="E4656" s="131"/>
    </row>
    <row r="4657" spans="1:9" x14ac:dyDescent="0.25">
      <c r="A4657" s="753">
        <v>106308</v>
      </c>
      <c r="B4657" s="130">
        <v>0</v>
      </c>
      <c r="E4657" s="131"/>
    </row>
    <row r="4658" spans="1:9" x14ac:dyDescent="0.25">
      <c r="A4658" s="753">
        <v>106310</v>
      </c>
      <c r="B4658" s="130">
        <v>5</v>
      </c>
      <c r="C4658" s="131" t="s">
        <v>1382</v>
      </c>
      <c r="D4658" s="131">
        <v>16</v>
      </c>
      <c r="E4658" s="131" t="s">
        <v>1382</v>
      </c>
      <c r="F4658" s="767">
        <v>0.05</v>
      </c>
      <c r="G4658" s="767">
        <v>0</v>
      </c>
      <c r="H4658" s="767">
        <v>0.05</v>
      </c>
      <c r="I4658" s="768" t="s">
        <v>2209</v>
      </c>
    </row>
    <row r="4659" spans="1:9" x14ac:dyDescent="0.25">
      <c r="A4659" s="753">
        <v>106311</v>
      </c>
      <c r="B4659" s="130">
        <v>15</v>
      </c>
      <c r="C4659" s="131" t="s">
        <v>1383</v>
      </c>
      <c r="D4659" s="131">
        <v>16</v>
      </c>
      <c r="E4659" s="131" t="s">
        <v>1383</v>
      </c>
      <c r="F4659" s="767">
        <v>0.15</v>
      </c>
      <c r="G4659" s="767">
        <v>0</v>
      </c>
      <c r="H4659" s="767">
        <v>0.15</v>
      </c>
      <c r="I4659" s="768" t="s">
        <v>2210</v>
      </c>
    </row>
    <row r="4660" spans="1:9" x14ac:dyDescent="0.25">
      <c r="A4660" s="753">
        <v>106312</v>
      </c>
      <c r="B4660" s="130">
        <v>1</v>
      </c>
      <c r="C4660" s="131" t="s">
        <v>1384</v>
      </c>
      <c r="D4660" s="131">
        <v>16</v>
      </c>
      <c r="E4660" s="131" t="s">
        <v>1384</v>
      </c>
      <c r="F4660" s="767">
        <v>0.01</v>
      </c>
      <c r="G4660" s="767">
        <v>0</v>
      </c>
      <c r="H4660" s="767">
        <v>0.01</v>
      </c>
      <c r="I4660" s="768" t="s">
        <v>2211</v>
      </c>
    </row>
    <row r="4661" spans="1:9" x14ac:dyDescent="0.25">
      <c r="A4661" s="753">
        <v>106313</v>
      </c>
      <c r="B4661" s="130">
        <v>0</v>
      </c>
      <c r="E4661" s="131"/>
    </row>
    <row r="4662" spans="1:9" x14ac:dyDescent="0.25">
      <c r="A4662" s="753">
        <v>106314</v>
      </c>
      <c r="B4662" s="130">
        <v>14</v>
      </c>
      <c r="C4662" s="131" t="s">
        <v>1385</v>
      </c>
      <c r="D4662" s="131">
        <v>16</v>
      </c>
      <c r="E4662" s="131" t="s">
        <v>1385</v>
      </c>
      <c r="F4662" s="767">
        <v>0.14000000000000001</v>
      </c>
      <c r="G4662" s="767">
        <v>0</v>
      </c>
      <c r="H4662" s="767">
        <v>0.14000000000000001</v>
      </c>
      <c r="I4662" s="768" t="s">
        <v>2212</v>
      </c>
    </row>
    <row r="4663" spans="1:9" x14ac:dyDescent="0.25">
      <c r="A4663" s="753">
        <v>106315</v>
      </c>
      <c r="B4663" s="130">
        <v>0</v>
      </c>
      <c r="E4663" s="131"/>
    </row>
    <row r="4664" spans="1:9" x14ac:dyDescent="0.25">
      <c r="A4664" s="753">
        <v>106316</v>
      </c>
      <c r="B4664" s="130">
        <v>14</v>
      </c>
      <c r="C4664" s="131" t="s">
        <v>1386</v>
      </c>
      <c r="D4664" s="131">
        <v>16</v>
      </c>
      <c r="E4664" s="131" t="s">
        <v>1386</v>
      </c>
      <c r="F4664" s="767">
        <v>0.14000000000000001</v>
      </c>
      <c r="G4664" s="767">
        <v>0</v>
      </c>
      <c r="H4664" s="767">
        <v>0.14000000000000001</v>
      </c>
      <c r="I4664" s="768" t="s">
        <v>2213</v>
      </c>
    </row>
    <row r="4665" spans="1:9" x14ac:dyDescent="0.25">
      <c r="A4665" s="753">
        <v>106405</v>
      </c>
      <c r="B4665" s="130">
        <v>660240</v>
      </c>
      <c r="C4665" s="131">
        <v>282</v>
      </c>
      <c r="D4665" s="131">
        <v>16</v>
      </c>
      <c r="E4665" s="131">
        <v>282</v>
      </c>
      <c r="F4665" s="767">
        <v>658296.79</v>
      </c>
      <c r="G4665" s="767">
        <v>1943</v>
      </c>
      <c r="H4665" s="767">
        <v>660239.79</v>
      </c>
      <c r="I4665" s="768" t="s">
        <v>2214</v>
      </c>
    </row>
    <row r="4666" spans="1:9" x14ac:dyDescent="0.25">
      <c r="A4666" s="753">
        <v>106406</v>
      </c>
      <c r="B4666" s="130">
        <v>441279</v>
      </c>
      <c r="C4666" s="131">
        <v>352</v>
      </c>
      <c r="D4666" s="131">
        <v>16</v>
      </c>
      <c r="E4666" s="131">
        <v>352</v>
      </c>
      <c r="F4666" s="767">
        <v>-435778.88</v>
      </c>
      <c r="G4666" s="767">
        <v>-5500</v>
      </c>
      <c r="H4666" s="767">
        <v>-441278.88</v>
      </c>
      <c r="I4666" s="768" t="s">
        <v>2215</v>
      </c>
    </row>
    <row r="4667" spans="1:9" x14ac:dyDescent="0.25">
      <c r="A4667" s="753">
        <v>106408</v>
      </c>
      <c r="B4667" s="130">
        <v>218961</v>
      </c>
      <c r="E4667" s="131"/>
    </row>
    <row r="4668" spans="1:9" x14ac:dyDescent="0.25">
      <c r="A4668" s="753">
        <v>106410</v>
      </c>
      <c r="B4668" s="130">
        <v>8</v>
      </c>
      <c r="C4668" s="131" t="s">
        <v>1387</v>
      </c>
      <c r="D4668" s="131">
        <v>16</v>
      </c>
      <c r="E4668" s="131" t="s">
        <v>1387</v>
      </c>
      <c r="F4668" s="767">
        <v>0.08</v>
      </c>
      <c r="G4668" s="767">
        <v>0</v>
      </c>
      <c r="H4668" s="767">
        <v>0.08</v>
      </c>
      <c r="I4668" s="768" t="s">
        <v>2216</v>
      </c>
    </row>
    <row r="4669" spans="1:9" x14ac:dyDescent="0.25">
      <c r="A4669" s="753">
        <v>106411</v>
      </c>
      <c r="B4669" s="130">
        <v>14</v>
      </c>
      <c r="C4669" s="131" t="s">
        <v>1388</v>
      </c>
      <c r="D4669" s="131">
        <v>16</v>
      </c>
      <c r="E4669" s="131" t="s">
        <v>1388</v>
      </c>
      <c r="F4669" s="767">
        <v>0.14000000000000001</v>
      </c>
      <c r="G4669" s="767">
        <v>0</v>
      </c>
      <c r="H4669" s="767">
        <v>0.14000000000000001</v>
      </c>
      <c r="I4669" s="768" t="s">
        <v>2217</v>
      </c>
    </row>
    <row r="4670" spans="1:9" x14ac:dyDescent="0.25">
      <c r="A4670" s="753">
        <v>106412</v>
      </c>
      <c r="B4670" s="130">
        <v>8</v>
      </c>
      <c r="C4670" s="131" t="s">
        <v>1389</v>
      </c>
      <c r="D4670" s="131">
        <v>16</v>
      </c>
      <c r="E4670" s="131" t="s">
        <v>1389</v>
      </c>
      <c r="F4670" s="767">
        <v>0.08</v>
      </c>
      <c r="G4670" s="767">
        <v>0</v>
      </c>
      <c r="H4670" s="767">
        <v>0.08</v>
      </c>
      <c r="I4670" s="768" t="s">
        <v>2218</v>
      </c>
    </row>
    <row r="4671" spans="1:9" x14ac:dyDescent="0.25">
      <c r="A4671" s="753">
        <v>106413</v>
      </c>
      <c r="B4671" s="130">
        <v>0</v>
      </c>
      <c r="E4671" s="131"/>
    </row>
    <row r="4672" spans="1:9" x14ac:dyDescent="0.25">
      <c r="A4672" s="753">
        <v>106414</v>
      </c>
      <c r="B4672" s="130">
        <v>28</v>
      </c>
      <c r="C4672" s="131" t="s">
        <v>1390</v>
      </c>
      <c r="D4672" s="131">
        <v>16</v>
      </c>
      <c r="E4672" s="131" t="s">
        <v>1390</v>
      </c>
      <c r="F4672" s="767">
        <v>0.28000000000000003</v>
      </c>
      <c r="G4672" s="767">
        <v>0</v>
      </c>
      <c r="H4672" s="767">
        <v>0.28000000000000003</v>
      </c>
      <c r="I4672" s="768" t="s">
        <v>2219</v>
      </c>
    </row>
    <row r="4673" spans="1:9" x14ac:dyDescent="0.25">
      <c r="A4673" s="753">
        <v>106415</v>
      </c>
      <c r="B4673" s="130">
        <v>0</v>
      </c>
      <c r="E4673" s="131"/>
    </row>
    <row r="4674" spans="1:9" x14ac:dyDescent="0.25">
      <c r="A4674" s="753">
        <v>106416</v>
      </c>
      <c r="B4674" s="130">
        <v>16</v>
      </c>
      <c r="C4674" s="131" t="s">
        <v>1391</v>
      </c>
      <c r="D4674" s="131">
        <v>16</v>
      </c>
      <c r="E4674" s="131" t="s">
        <v>1391</v>
      </c>
      <c r="F4674" s="767">
        <v>0.16</v>
      </c>
      <c r="G4674" s="767">
        <v>0</v>
      </c>
      <c r="H4674" s="767">
        <v>0.16</v>
      </c>
      <c r="I4674" s="768" t="s">
        <v>2220</v>
      </c>
    </row>
    <row r="4675" spans="1:9" x14ac:dyDescent="0.25">
      <c r="A4675" s="753">
        <v>106505</v>
      </c>
      <c r="B4675" s="130">
        <v>17171</v>
      </c>
      <c r="C4675" s="131">
        <v>283</v>
      </c>
      <c r="D4675" s="131">
        <v>16</v>
      </c>
      <c r="E4675" s="131">
        <v>283</v>
      </c>
      <c r="F4675" s="767">
        <v>17171.47</v>
      </c>
      <c r="G4675" s="767">
        <v>0</v>
      </c>
      <c r="H4675" s="767">
        <v>17171.47</v>
      </c>
      <c r="I4675" s="768" t="s">
        <v>2221</v>
      </c>
    </row>
    <row r="4676" spans="1:9" x14ac:dyDescent="0.25">
      <c r="A4676" s="753">
        <v>106506</v>
      </c>
      <c r="B4676" s="130">
        <v>15236</v>
      </c>
      <c r="C4676" s="131">
        <v>353</v>
      </c>
      <c r="D4676" s="131">
        <v>16</v>
      </c>
      <c r="E4676" s="131">
        <v>353</v>
      </c>
      <c r="F4676" s="767">
        <v>-15090.71</v>
      </c>
      <c r="G4676" s="767">
        <v>-145</v>
      </c>
      <c r="H4676" s="767">
        <v>-15235.71</v>
      </c>
      <c r="I4676" s="768" t="s">
        <v>2222</v>
      </c>
    </row>
    <row r="4677" spans="1:9" x14ac:dyDescent="0.25">
      <c r="A4677" s="753">
        <v>106508</v>
      </c>
      <c r="B4677" s="130">
        <v>1935</v>
      </c>
      <c r="E4677" s="131"/>
    </row>
    <row r="4678" spans="1:9" x14ac:dyDescent="0.25">
      <c r="A4678" s="753">
        <v>106510</v>
      </c>
      <c r="B4678" s="130">
        <v>6</v>
      </c>
      <c r="C4678" s="131" t="s">
        <v>1392</v>
      </c>
      <c r="D4678" s="131">
        <v>16</v>
      </c>
      <c r="E4678" s="131" t="s">
        <v>1392</v>
      </c>
      <c r="F4678" s="767">
        <v>0.06</v>
      </c>
      <c r="G4678" s="767">
        <v>0</v>
      </c>
      <c r="H4678" s="767">
        <v>0.06</v>
      </c>
      <c r="I4678" s="768" t="s">
        <v>2223</v>
      </c>
    </row>
    <row r="4679" spans="1:9" x14ac:dyDescent="0.25">
      <c r="A4679" s="753">
        <v>106511</v>
      </c>
      <c r="B4679" s="130">
        <v>24</v>
      </c>
      <c r="C4679" s="131" t="s">
        <v>1393</v>
      </c>
      <c r="D4679" s="131">
        <v>16</v>
      </c>
      <c r="E4679" s="131" t="s">
        <v>1393</v>
      </c>
      <c r="F4679" s="767">
        <v>0.24</v>
      </c>
      <c r="G4679" s="767">
        <v>0</v>
      </c>
      <c r="H4679" s="767">
        <v>0.24</v>
      </c>
      <c r="I4679" s="768" t="s">
        <v>2224</v>
      </c>
    </row>
    <row r="4680" spans="1:9" x14ac:dyDescent="0.25">
      <c r="A4680" s="753">
        <v>106512</v>
      </c>
      <c r="B4680" s="130">
        <v>9</v>
      </c>
      <c r="C4680" s="131" t="s">
        <v>1394</v>
      </c>
      <c r="D4680" s="131">
        <v>16</v>
      </c>
      <c r="E4680" s="131" t="s">
        <v>1394</v>
      </c>
      <c r="F4680" s="767">
        <v>0.09</v>
      </c>
      <c r="G4680" s="767">
        <v>0</v>
      </c>
      <c r="H4680" s="767">
        <v>0.09</v>
      </c>
      <c r="I4680" s="768" t="s">
        <v>2225</v>
      </c>
    </row>
    <row r="4681" spans="1:9" x14ac:dyDescent="0.25">
      <c r="A4681" s="753">
        <v>106513</v>
      </c>
      <c r="B4681" s="130">
        <v>0</v>
      </c>
      <c r="E4681" s="131"/>
    </row>
    <row r="4682" spans="1:9" x14ac:dyDescent="0.25">
      <c r="A4682" s="753">
        <v>106514</v>
      </c>
      <c r="B4682" s="130">
        <v>24</v>
      </c>
      <c r="C4682" s="131" t="s">
        <v>1395</v>
      </c>
      <c r="D4682" s="131">
        <v>16</v>
      </c>
      <c r="E4682" s="131" t="s">
        <v>1395</v>
      </c>
      <c r="F4682" s="767">
        <v>0.24</v>
      </c>
      <c r="G4682" s="767">
        <v>0</v>
      </c>
      <c r="H4682" s="767">
        <v>0.24</v>
      </c>
      <c r="I4682" s="768" t="s">
        <v>2226</v>
      </c>
    </row>
    <row r="4683" spans="1:9" x14ac:dyDescent="0.25">
      <c r="A4683" s="753">
        <v>106515</v>
      </c>
      <c r="B4683" s="130">
        <v>0</v>
      </c>
      <c r="E4683" s="131"/>
    </row>
    <row r="4684" spans="1:9" x14ac:dyDescent="0.25">
      <c r="A4684" s="753">
        <v>106516</v>
      </c>
      <c r="B4684" s="130">
        <v>21</v>
      </c>
      <c r="C4684" s="131" t="s">
        <v>1396</v>
      </c>
      <c r="D4684" s="131">
        <v>16</v>
      </c>
      <c r="E4684" s="131" t="s">
        <v>1396</v>
      </c>
      <c r="F4684" s="767">
        <v>0.21</v>
      </c>
      <c r="G4684" s="767">
        <v>0</v>
      </c>
      <c r="H4684" s="767">
        <v>0.21</v>
      </c>
      <c r="I4684" s="768" t="s">
        <v>2227</v>
      </c>
    </row>
    <row r="4685" spans="1:9" x14ac:dyDescent="0.25">
      <c r="A4685" s="753">
        <v>106605</v>
      </c>
      <c r="B4685" s="130">
        <v>624075</v>
      </c>
      <c r="C4685" s="131">
        <v>284</v>
      </c>
      <c r="D4685" s="131">
        <v>16</v>
      </c>
      <c r="E4685" s="131" t="s">
        <v>2228</v>
      </c>
      <c r="F4685" s="767">
        <v>381767.14</v>
      </c>
      <c r="G4685" s="767">
        <v>-540</v>
      </c>
      <c r="H4685" s="767">
        <v>381227.14</v>
      </c>
      <c r="I4685" s="768" t="s">
        <v>2229</v>
      </c>
    </row>
    <row r="4686" spans="1:9" x14ac:dyDescent="0.25">
      <c r="A4686" s="753"/>
      <c r="C4686" s="131">
        <v>284</v>
      </c>
      <c r="D4686" s="131">
        <v>16</v>
      </c>
      <c r="E4686" s="131" t="s">
        <v>2230</v>
      </c>
      <c r="F4686" s="767">
        <v>77175.42</v>
      </c>
      <c r="G4686" s="767">
        <v>0</v>
      </c>
      <c r="H4686" s="767">
        <v>77175.42</v>
      </c>
      <c r="I4686" s="768" t="s">
        <v>2231</v>
      </c>
    </row>
    <row r="4687" spans="1:9" x14ac:dyDescent="0.25">
      <c r="A4687" s="753"/>
      <c r="C4687" s="131">
        <v>284</v>
      </c>
      <c r="D4687" s="131">
        <v>16</v>
      </c>
      <c r="E4687" s="131" t="s">
        <v>2232</v>
      </c>
      <c r="F4687" s="767">
        <v>165672.13</v>
      </c>
      <c r="G4687" s="767">
        <v>0</v>
      </c>
      <c r="H4687" s="767">
        <v>165672.13</v>
      </c>
      <c r="I4687" s="768" t="s">
        <v>2233</v>
      </c>
    </row>
    <row r="4688" spans="1:9" x14ac:dyDescent="0.25">
      <c r="A4688" s="753">
        <v>106606</v>
      </c>
      <c r="B4688" s="130">
        <v>475646</v>
      </c>
      <c r="C4688" s="131">
        <v>354</v>
      </c>
      <c r="D4688" s="131">
        <v>16</v>
      </c>
      <c r="E4688" s="131" t="s">
        <v>2234</v>
      </c>
      <c r="F4688" s="767">
        <v>-259903.95</v>
      </c>
      <c r="G4688" s="767">
        <v>-3625</v>
      </c>
      <c r="H4688" s="767">
        <v>-263528.95</v>
      </c>
      <c r="I4688" s="768" t="s">
        <v>2235</v>
      </c>
    </row>
    <row r="4689" spans="1:9" x14ac:dyDescent="0.25">
      <c r="A4689" s="753"/>
      <c r="C4689" s="131">
        <v>354</v>
      </c>
      <c r="D4689" s="131">
        <v>16</v>
      </c>
      <c r="E4689" s="131" t="s">
        <v>2236</v>
      </c>
      <c r="F4689" s="767">
        <v>-60422.1</v>
      </c>
      <c r="G4689" s="767">
        <v>-650</v>
      </c>
      <c r="H4689" s="767">
        <v>-61072.1</v>
      </c>
      <c r="I4689" s="768" t="s">
        <v>2237</v>
      </c>
    </row>
    <row r="4690" spans="1:9" x14ac:dyDescent="0.25">
      <c r="A4690" s="753"/>
      <c r="C4690" s="131">
        <v>354</v>
      </c>
      <c r="D4690" s="131">
        <v>16</v>
      </c>
      <c r="E4690" s="131" t="s">
        <v>2238</v>
      </c>
      <c r="F4690" s="767">
        <v>-150704.72</v>
      </c>
      <c r="G4690" s="767">
        <v>-340</v>
      </c>
      <c r="H4690" s="767">
        <v>-151044.72</v>
      </c>
      <c r="I4690" s="768" t="s">
        <v>2239</v>
      </c>
    </row>
    <row r="4691" spans="1:9" x14ac:dyDescent="0.25">
      <c r="A4691" s="753">
        <v>106608</v>
      </c>
      <c r="B4691" s="130">
        <v>148429</v>
      </c>
      <c r="E4691" s="131"/>
    </row>
    <row r="4692" spans="1:9" x14ac:dyDescent="0.25">
      <c r="A4692" s="753">
        <v>106610</v>
      </c>
      <c r="B4692" s="130">
        <v>4</v>
      </c>
      <c r="C4692" s="131" t="s">
        <v>1397</v>
      </c>
      <c r="D4692" s="131">
        <v>16</v>
      </c>
      <c r="E4692" s="131" t="s">
        <v>1397</v>
      </c>
      <c r="F4692" s="767">
        <v>0.04</v>
      </c>
      <c r="G4692" s="767">
        <v>0</v>
      </c>
      <c r="H4692" s="767">
        <v>0.04</v>
      </c>
      <c r="I4692" s="768" t="s">
        <v>2240</v>
      </c>
    </row>
    <row r="4693" spans="1:9" x14ac:dyDescent="0.25">
      <c r="A4693" s="753">
        <v>106611</v>
      </c>
      <c r="B4693" s="130">
        <v>11</v>
      </c>
      <c r="C4693" s="131" t="s">
        <v>1398</v>
      </c>
      <c r="D4693" s="131">
        <v>16</v>
      </c>
      <c r="E4693" s="131" t="s">
        <v>1398</v>
      </c>
      <c r="F4693" s="767">
        <v>0.11</v>
      </c>
      <c r="G4693" s="767">
        <v>0</v>
      </c>
      <c r="H4693" s="767">
        <v>0.11</v>
      </c>
      <c r="I4693" s="768" t="s">
        <v>2241</v>
      </c>
    </row>
    <row r="4694" spans="1:9" x14ac:dyDescent="0.25">
      <c r="A4694" s="753">
        <v>106612</v>
      </c>
      <c r="B4694" s="130">
        <v>3</v>
      </c>
      <c r="C4694" s="131" t="s">
        <v>1399</v>
      </c>
      <c r="D4694" s="131">
        <v>16</v>
      </c>
      <c r="E4694" s="131" t="s">
        <v>1399</v>
      </c>
      <c r="F4694" s="767">
        <v>0.03</v>
      </c>
      <c r="G4694" s="767">
        <v>0</v>
      </c>
      <c r="H4694" s="767">
        <v>0.03</v>
      </c>
      <c r="I4694" s="768" t="s">
        <v>2242</v>
      </c>
    </row>
    <row r="4695" spans="1:9" x14ac:dyDescent="0.25">
      <c r="A4695" s="753">
        <v>106613</v>
      </c>
      <c r="B4695" s="130">
        <v>0</v>
      </c>
      <c r="E4695" s="131"/>
    </row>
    <row r="4696" spans="1:9" x14ac:dyDescent="0.25">
      <c r="A4696" s="753">
        <v>106614</v>
      </c>
      <c r="B4696" s="130">
        <v>19</v>
      </c>
      <c r="C4696" s="131" t="s">
        <v>1400</v>
      </c>
      <c r="D4696" s="131">
        <v>16</v>
      </c>
      <c r="E4696" s="131" t="s">
        <v>1400</v>
      </c>
      <c r="F4696" s="767">
        <v>0.19</v>
      </c>
      <c r="G4696" s="767">
        <v>0</v>
      </c>
      <c r="H4696" s="767">
        <v>0.19</v>
      </c>
      <c r="I4696" s="768" t="s">
        <v>2243</v>
      </c>
    </row>
    <row r="4697" spans="1:9" x14ac:dyDescent="0.25">
      <c r="A4697" s="753">
        <v>106615</v>
      </c>
      <c r="B4697" s="130">
        <v>0</v>
      </c>
      <c r="E4697" s="131"/>
    </row>
    <row r="4698" spans="1:9" x14ac:dyDescent="0.25">
      <c r="A4698" s="753">
        <v>106616</v>
      </c>
      <c r="B4698" s="130">
        <v>27</v>
      </c>
      <c r="C4698" s="131" t="s">
        <v>1401</v>
      </c>
      <c r="D4698" s="131">
        <v>16</v>
      </c>
      <c r="E4698" s="131" t="s">
        <v>1401</v>
      </c>
      <c r="F4698" s="767">
        <v>0.27</v>
      </c>
      <c r="G4698" s="767">
        <v>0</v>
      </c>
      <c r="H4698" s="767">
        <v>0.27</v>
      </c>
      <c r="I4698" s="768" t="s">
        <v>2244</v>
      </c>
    </row>
    <row r="4699" spans="1:9" x14ac:dyDescent="0.25">
      <c r="A4699" s="753">
        <v>106705</v>
      </c>
      <c r="B4699" s="130">
        <v>2145</v>
      </c>
      <c r="C4699" s="131">
        <v>285</v>
      </c>
      <c r="D4699" s="131">
        <v>16</v>
      </c>
      <c r="E4699" s="131">
        <v>285</v>
      </c>
      <c r="F4699" s="767">
        <v>2144.98</v>
      </c>
      <c r="G4699" s="767">
        <v>0</v>
      </c>
      <c r="H4699" s="767">
        <v>2144.98</v>
      </c>
      <c r="I4699" s="768" t="s">
        <v>2245</v>
      </c>
    </row>
    <row r="4700" spans="1:9" x14ac:dyDescent="0.25">
      <c r="A4700" s="753">
        <v>106706</v>
      </c>
      <c r="B4700" s="130">
        <v>2145</v>
      </c>
      <c r="C4700" s="131">
        <v>355</v>
      </c>
      <c r="D4700" s="131">
        <v>16</v>
      </c>
      <c r="E4700" s="131">
        <v>355</v>
      </c>
      <c r="F4700" s="767">
        <v>-2144.98</v>
      </c>
      <c r="G4700" s="767">
        <v>0</v>
      </c>
      <c r="H4700" s="767">
        <v>-2144.98</v>
      </c>
      <c r="I4700" s="768" t="s">
        <v>2246</v>
      </c>
    </row>
    <row r="4701" spans="1:9" x14ac:dyDescent="0.25">
      <c r="A4701" s="753">
        <v>106708</v>
      </c>
      <c r="B4701" s="130">
        <v>0</v>
      </c>
      <c r="E4701" s="131"/>
    </row>
    <row r="4702" spans="1:9" x14ac:dyDescent="0.25">
      <c r="A4702" s="753">
        <v>106710</v>
      </c>
      <c r="B4702" s="130">
        <v>13</v>
      </c>
      <c r="C4702" s="131" t="s">
        <v>2326</v>
      </c>
      <c r="D4702" s="131">
        <v>16</v>
      </c>
      <c r="E4702" s="131" t="s">
        <v>2326</v>
      </c>
      <c r="F4702" s="767">
        <v>0.13</v>
      </c>
      <c r="G4702" s="767">
        <v>0</v>
      </c>
      <c r="H4702" s="767">
        <v>0.13</v>
      </c>
      <c r="I4702" s="768" t="s">
        <v>2327</v>
      </c>
    </row>
    <row r="4703" spans="1:9" x14ac:dyDescent="0.25">
      <c r="A4703" s="753">
        <v>106711</v>
      </c>
      <c r="B4703" s="130">
        <v>1</v>
      </c>
      <c r="C4703" s="131" t="s">
        <v>2328</v>
      </c>
      <c r="D4703" s="131">
        <v>16</v>
      </c>
      <c r="E4703" s="131" t="s">
        <v>2328</v>
      </c>
      <c r="F4703" s="767">
        <v>0.01</v>
      </c>
      <c r="G4703" s="767">
        <v>0</v>
      </c>
      <c r="H4703" s="767">
        <v>0.01</v>
      </c>
      <c r="I4703" s="768" t="s">
        <v>2329</v>
      </c>
    </row>
    <row r="4704" spans="1:9" x14ac:dyDescent="0.25">
      <c r="A4704" s="753">
        <v>106712</v>
      </c>
      <c r="B4704" s="130">
        <v>0</v>
      </c>
      <c r="E4704" s="131"/>
    </row>
    <row r="4705" spans="1:9" x14ac:dyDescent="0.25">
      <c r="A4705" s="753">
        <v>106713</v>
      </c>
      <c r="B4705" s="130">
        <v>0</v>
      </c>
      <c r="E4705" s="131"/>
    </row>
    <row r="4706" spans="1:9" x14ac:dyDescent="0.25">
      <c r="A4706" s="753">
        <v>106714</v>
      </c>
      <c r="B4706" s="130">
        <v>18</v>
      </c>
      <c r="C4706" s="131" t="s">
        <v>2330</v>
      </c>
      <c r="D4706" s="131">
        <v>16</v>
      </c>
      <c r="E4706" s="131" t="s">
        <v>2330</v>
      </c>
      <c r="F4706" s="767">
        <v>0.18</v>
      </c>
      <c r="G4706" s="767">
        <v>0</v>
      </c>
      <c r="H4706" s="767">
        <v>0.18</v>
      </c>
      <c r="I4706" s="768" t="s">
        <v>2331</v>
      </c>
    </row>
    <row r="4707" spans="1:9" x14ac:dyDescent="0.25">
      <c r="A4707" s="753">
        <v>106715</v>
      </c>
      <c r="B4707" s="130">
        <v>0</v>
      </c>
      <c r="E4707" s="131"/>
    </row>
    <row r="4708" spans="1:9" x14ac:dyDescent="0.25">
      <c r="A4708" s="753">
        <v>106716</v>
      </c>
      <c r="B4708" s="130">
        <v>20</v>
      </c>
      <c r="C4708" s="131" t="s">
        <v>2332</v>
      </c>
      <c r="D4708" s="131">
        <v>16</v>
      </c>
      <c r="E4708" s="131" t="s">
        <v>2332</v>
      </c>
      <c r="F4708" s="767">
        <v>0.2</v>
      </c>
      <c r="G4708" s="767">
        <v>0</v>
      </c>
      <c r="H4708" s="767">
        <v>0.2</v>
      </c>
      <c r="I4708" s="768" t="s">
        <v>2333</v>
      </c>
    </row>
    <row r="4709" spans="1:9" x14ac:dyDescent="0.25">
      <c r="A4709" s="753">
        <v>106805</v>
      </c>
      <c r="B4709" s="130">
        <v>1380660</v>
      </c>
      <c r="C4709" s="131">
        <v>286</v>
      </c>
      <c r="D4709" s="131">
        <v>16</v>
      </c>
      <c r="E4709" s="131">
        <v>286</v>
      </c>
      <c r="F4709" s="767">
        <v>1378670.47</v>
      </c>
      <c r="G4709" s="767">
        <v>1990</v>
      </c>
      <c r="H4709" s="767">
        <v>1380660.47</v>
      </c>
      <c r="I4709" s="768" t="s">
        <v>2247</v>
      </c>
    </row>
    <row r="4710" spans="1:9" x14ac:dyDescent="0.25">
      <c r="A4710" s="753">
        <v>106806</v>
      </c>
      <c r="B4710" s="130">
        <v>715405</v>
      </c>
      <c r="C4710" s="131">
        <v>356</v>
      </c>
      <c r="D4710" s="131">
        <v>16</v>
      </c>
      <c r="E4710" s="131">
        <v>356</v>
      </c>
      <c r="F4710" s="767">
        <v>-704695.06</v>
      </c>
      <c r="G4710" s="767">
        <v>-10710</v>
      </c>
      <c r="H4710" s="767">
        <v>-715405.06</v>
      </c>
      <c r="I4710" s="768" t="s">
        <v>2248</v>
      </c>
    </row>
    <row r="4711" spans="1:9" x14ac:dyDescent="0.25">
      <c r="A4711" s="753">
        <v>106808</v>
      </c>
      <c r="B4711" s="130">
        <v>665255</v>
      </c>
      <c r="E4711" s="131"/>
    </row>
    <row r="4712" spans="1:9" x14ac:dyDescent="0.25">
      <c r="A4712" s="753">
        <v>106810</v>
      </c>
      <c r="B4712" s="130">
        <v>2</v>
      </c>
      <c r="C4712" s="131" t="s">
        <v>2334</v>
      </c>
      <c r="D4712" s="131">
        <v>16</v>
      </c>
      <c r="E4712" s="131" t="s">
        <v>2334</v>
      </c>
      <c r="F4712" s="767">
        <v>0.02</v>
      </c>
      <c r="G4712" s="767">
        <v>0</v>
      </c>
      <c r="H4712" s="767">
        <v>0.02</v>
      </c>
      <c r="I4712" s="768" t="s">
        <v>2335</v>
      </c>
    </row>
    <row r="4713" spans="1:9" x14ac:dyDescent="0.25">
      <c r="A4713" s="753">
        <v>106811</v>
      </c>
      <c r="B4713" s="130">
        <v>5</v>
      </c>
      <c r="C4713" s="131" t="s">
        <v>2336</v>
      </c>
      <c r="D4713" s="131">
        <v>16</v>
      </c>
      <c r="E4713" s="131" t="s">
        <v>2336</v>
      </c>
      <c r="F4713" s="767">
        <v>0.05</v>
      </c>
      <c r="G4713" s="767">
        <v>0</v>
      </c>
      <c r="H4713" s="767">
        <v>0.05</v>
      </c>
      <c r="I4713" s="768" t="s">
        <v>2337</v>
      </c>
    </row>
    <row r="4714" spans="1:9" x14ac:dyDescent="0.25">
      <c r="A4714" s="753">
        <v>106812</v>
      </c>
      <c r="B4714" s="130">
        <v>8</v>
      </c>
      <c r="C4714" s="131" t="s">
        <v>2338</v>
      </c>
      <c r="D4714" s="131">
        <v>16</v>
      </c>
      <c r="E4714" s="131" t="s">
        <v>2338</v>
      </c>
      <c r="F4714" s="767">
        <v>0.08</v>
      </c>
      <c r="G4714" s="767">
        <v>0</v>
      </c>
      <c r="H4714" s="767">
        <v>0.08</v>
      </c>
      <c r="I4714" s="768" t="s">
        <v>2339</v>
      </c>
    </row>
    <row r="4715" spans="1:9" x14ac:dyDescent="0.25">
      <c r="A4715" s="753">
        <v>106813</v>
      </c>
      <c r="B4715" s="130">
        <v>0</v>
      </c>
      <c r="E4715" s="131"/>
    </row>
    <row r="4716" spans="1:9" x14ac:dyDescent="0.25">
      <c r="A4716" s="753">
        <v>106814</v>
      </c>
      <c r="B4716" s="130">
        <v>19</v>
      </c>
      <c r="C4716" s="131" t="s">
        <v>2340</v>
      </c>
      <c r="D4716" s="131">
        <v>16</v>
      </c>
      <c r="E4716" s="131" t="s">
        <v>2340</v>
      </c>
      <c r="F4716" s="767">
        <v>0.19</v>
      </c>
      <c r="G4716" s="767">
        <v>0</v>
      </c>
      <c r="H4716" s="767">
        <v>0.19</v>
      </c>
      <c r="I4716" s="768" t="s">
        <v>2341</v>
      </c>
    </row>
    <row r="4717" spans="1:9" x14ac:dyDescent="0.25">
      <c r="A4717" s="753">
        <v>106815</v>
      </c>
      <c r="B4717" s="130">
        <v>0</v>
      </c>
      <c r="E4717" s="131"/>
    </row>
    <row r="4718" spans="1:9" x14ac:dyDescent="0.25">
      <c r="A4718" s="753">
        <v>106816</v>
      </c>
      <c r="B4718" s="130">
        <v>17</v>
      </c>
      <c r="C4718" s="131" t="s">
        <v>2342</v>
      </c>
      <c r="D4718" s="131">
        <v>16</v>
      </c>
      <c r="E4718" s="131" t="s">
        <v>2342</v>
      </c>
      <c r="F4718" s="767">
        <v>0.17</v>
      </c>
      <c r="G4718" s="767">
        <v>0</v>
      </c>
      <c r="H4718" s="767">
        <v>0.17</v>
      </c>
      <c r="I4718" s="768" t="s">
        <v>2343</v>
      </c>
    </row>
    <row r="4719" spans="1:9" x14ac:dyDescent="0.25">
      <c r="A4719" s="753">
        <v>106905</v>
      </c>
      <c r="B4719" s="130">
        <v>0</v>
      </c>
      <c r="E4719" s="131"/>
    </row>
    <row r="4720" spans="1:9" x14ac:dyDescent="0.25">
      <c r="A4720" s="753">
        <v>106906</v>
      </c>
      <c r="B4720" s="130">
        <v>0</v>
      </c>
      <c r="E4720" s="131"/>
    </row>
    <row r="4721" spans="1:9" x14ac:dyDescent="0.25">
      <c r="A4721" s="753">
        <v>106908</v>
      </c>
      <c r="B4721" s="130">
        <v>0</v>
      </c>
      <c r="E4721" s="131"/>
    </row>
    <row r="4722" spans="1:9" x14ac:dyDescent="0.25">
      <c r="A4722" s="753">
        <v>106910</v>
      </c>
      <c r="B4722" s="130">
        <v>5</v>
      </c>
      <c r="C4722" s="131" t="s">
        <v>2344</v>
      </c>
      <c r="D4722" s="131">
        <v>16</v>
      </c>
      <c r="E4722" s="131" t="s">
        <v>2344</v>
      </c>
      <c r="F4722" s="767">
        <v>0.05</v>
      </c>
      <c r="G4722" s="767">
        <v>0</v>
      </c>
      <c r="H4722" s="767">
        <v>0.05</v>
      </c>
      <c r="I4722" s="768" t="s">
        <v>2345</v>
      </c>
    </row>
    <row r="4723" spans="1:9" x14ac:dyDescent="0.25">
      <c r="A4723" s="753">
        <v>106911</v>
      </c>
      <c r="B4723" s="130">
        <v>19</v>
      </c>
      <c r="C4723" s="131" t="s">
        <v>2346</v>
      </c>
      <c r="D4723" s="131">
        <v>16</v>
      </c>
      <c r="E4723" s="131" t="s">
        <v>2346</v>
      </c>
      <c r="F4723" s="767">
        <v>0.19</v>
      </c>
      <c r="G4723" s="767">
        <v>0</v>
      </c>
      <c r="H4723" s="767">
        <v>0.19</v>
      </c>
      <c r="I4723" s="768" t="s">
        <v>2347</v>
      </c>
    </row>
    <row r="4724" spans="1:9" x14ac:dyDescent="0.25">
      <c r="A4724" s="753">
        <v>106912</v>
      </c>
      <c r="B4724" s="130">
        <v>5</v>
      </c>
      <c r="C4724" s="131" t="s">
        <v>2348</v>
      </c>
      <c r="D4724" s="131">
        <v>16</v>
      </c>
      <c r="E4724" s="131" t="s">
        <v>2348</v>
      </c>
      <c r="F4724" s="767">
        <v>0.05</v>
      </c>
      <c r="G4724" s="767">
        <v>0</v>
      </c>
      <c r="H4724" s="767">
        <v>0.05</v>
      </c>
      <c r="I4724" s="768" t="s">
        <v>2349</v>
      </c>
    </row>
    <row r="4725" spans="1:9" x14ac:dyDescent="0.25">
      <c r="A4725" s="753">
        <v>106913</v>
      </c>
      <c r="B4725" s="130">
        <v>0</v>
      </c>
      <c r="E4725" s="131"/>
    </row>
    <row r="4726" spans="1:9" x14ac:dyDescent="0.25">
      <c r="A4726" s="753">
        <v>106914</v>
      </c>
      <c r="B4726" s="130">
        <v>17</v>
      </c>
      <c r="C4726" s="131" t="s">
        <v>2350</v>
      </c>
      <c r="D4726" s="131">
        <v>16</v>
      </c>
      <c r="E4726" s="131" t="s">
        <v>2350</v>
      </c>
      <c r="F4726" s="767">
        <v>0.17</v>
      </c>
      <c r="G4726" s="767">
        <v>0</v>
      </c>
      <c r="H4726" s="767">
        <v>0.17</v>
      </c>
      <c r="I4726" s="768" t="s">
        <v>2351</v>
      </c>
    </row>
    <row r="4727" spans="1:9" x14ac:dyDescent="0.25">
      <c r="A4727" s="753">
        <v>106915</v>
      </c>
      <c r="B4727" s="130">
        <v>0</v>
      </c>
      <c r="E4727" s="131"/>
    </row>
    <row r="4728" spans="1:9" x14ac:dyDescent="0.25">
      <c r="A4728" s="753">
        <v>106916</v>
      </c>
      <c r="B4728" s="130">
        <v>29</v>
      </c>
      <c r="C4728" s="131" t="s">
        <v>2352</v>
      </c>
      <c r="D4728" s="131">
        <v>16</v>
      </c>
      <c r="E4728" s="131" t="s">
        <v>2352</v>
      </c>
      <c r="F4728" s="767">
        <v>0.28999999999999998</v>
      </c>
      <c r="G4728" s="767">
        <v>0</v>
      </c>
      <c r="H4728" s="767">
        <v>0.28999999999999998</v>
      </c>
      <c r="I4728" s="768" t="s">
        <v>2353</v>
      </c>
    </row>
    <row r="4729" spans="1:9" x14ac:dyDescent="0.25">
      <c r="A4729" s="753">
        <v>107008</v>
      </c>
      <c r="B4729" s="130">
        <v>1034580</v>
      </c>
      <c r="E4729" s="131"/>
    </row>
    <row r="4730" spans="1:9" x14ac:dyDescent="0.25">
      <c r="A4730" s="753">
        <v>107010</v>
      </c>
      <c r="B4730" s="130">
        <v>4</v>
      </c>
      <c r="C4730" s="131">
        <v>121</v>
      </c>
      <c r="D4730" s="131">
        <v>16</v>
      </c>
      <c r="E4730" s="131">
        <v>121</v>
      </c>
      <c r="F4730" s="767">
        <v>0</v>
      </c>
      <c r="G4730" s="767">
        <v>0.04</v>
      </c>
      <c r="H4730" s="767">
        <v>0.04</v>
      </c>
      <c r="I4730" s="768" t="s">
        <v>2354</v>
      </c>
    </row>
    <row r="4731" spans="1:9" x14ac:dyDescent="0.25">
      <c r="A4731" s="753">
        <v>107011</v>
      </c>
      <c r="B4731" s="130">
        <v>13</v>
      </c>
      <c r="C4731" s="131" t="s">
        <v>2355</v>
      </c>
      <c r="D4731" s="131">
        <v>16</v>
      </c>
      <c r="E4731" s="131" t="s">
        <v>2355</v>
      </c>
      <c r="F4731" s="767">
        <v>0</v>
      </c>
      <c r="G4731" s="767">
        <v>0.13</v>
      </c>
      <c r="H4731" s="767">
        <v>0.13</v>
      </c>
      <c r="I4731" s="768" t="s">
        <v>2356</v>
      </c>
    </row>
    <row r="4732" spans="1:9" x14ac:dyDescent="0.25">
      <c r="A4732" s="753">
        <v>107012</v>
      </c>
      <c r="B4732" s="130">
        <v>7</v>
      </c>
      <c r="C4732" s="131">
        <v>123</v>
      </c>
      <c r="D4732" s="131">
        <v>16</v>
      </c>
      <c r="E4732" s="131">
        <v>123</v>
      </c>
      <c r="F4732" s="767">
        <v>0</v>
      </c>
      <c r="G4732" s="767">
        <v>7.0000000000000007E-2</v>
      </c>
      <c r="H4732" s="767">
        <v>7.0000000000000007E-2</v>
      </c>
      <c r="I4732" s="768" t="s">
        <v>2357</v>
      </c>
    </row>
    <row r="4733" spans="1:9" x14ac:dyDescent="0.25">
      <c r="A4733" s="753">
        <v>107013</v>
      </c>
      <c r="B4733" s="130">
        <v>0</v>
      </c>
      <c r="E4733" s="131"/>
    </row>
    <row r="4734" spans="1:9" x14ac:dyDescent="0.25">
      <c r="A4734" s="753">
        <v>107014</v>
      </c>
      <c r="B4734" s="130">
        <v>14</v>
      </c>
      <c r="C4734" s="131">
        <v>125</v>
      </c>
      <c r="D4734" s="131">
        <v>16</v>
      </c>
      <c r="E4734" s="131">
        <v>125</v>
      </c>
      <c r="F4734" s="767">
        <v>0</v>
      </c>
      <c r="G4734" s="767">
        <v>0.14000000000000001</v>
      </c>
      <c r="H4734" s="767">
        <v>0.14000000000000001</v>
      </c>
      <c r="I4734" s="768" t="s">
        <v>2358</v>
      </c>
    </row>
    <row r="4735" spans="1:9" x14ac:dyDescent="0.25">
      <c r="A4735" s="753">
        <v>107015</v>
      </c>
      <c r="B4735" s="130">
        <v>0</v>
      </c>
      <c r="E4735" s="131"/>
    </row>
    <row r="4736" spans="1:9" x14ac:dyDescent="0.25">
      <c r="A4736" s="753">
        <v>107016</v>
      </c>
      <c r="B4736" s="130">
        <v>20</v>
      </c>
      <c r="C4736" s="131">
        <v>128</v>
      </c>
      <c r="D4736" s="131">
        <v>16</v>
      </c>
      <c r="E4736" s="131">
        <v>128</v>
      </c>
      <c r="F4736" s="767">
        <v>0</v>
      </c>
      <c r="G4736" s="767">
        <v>0.2</v>
      </c>
      <c r="H4736" s="767">
        <v>0.2</v>
      </c>
      <c r="I4736" s="768" t="s">
        <v>2359</v>
      </c>
    </row>
    <row r="4737" spans="1:9" x14ac:dyDescent="0.25">
      <c r="A4737" s="753">
        <v>107110</v>
      </c>
      <c r="B4737" s="130">
        <v>0</v>
      </c>
      <c r="E4737" s="131"/>
    </row>
    <row r="4738" spans="1:9" x14ac:dyDescent="0.25">
      <c r="A4738" s="753">
        <v>107111</v>
      </c>
      <c r="B4738" s="130">
        <v>0</v>
      </c>
      <c r="E4738" s="131"/>
    </row>
    <row r="4739" spans="1:9" x14ac:dyDescent="0.25">
      <c r="A4739" s="753">
        <v>107112</v>
      </c>
      <c r="B4739" s="130">
        <v>0</v>
      </c>
      <c r="E4739" s="131"/>
    </row>
    <row r="4740" spans="1:9" x14ac:dyDescent="0.25">
      <c r="A4740" s="753">
        <v>107113</v>
      </c>
      <c r="B4740" s="130">
        <v>0</v>
      </c>
      <c r="E4740" s="131"/>
    </row>
    <row r="4741" spans="1:9" x14ac:dyDescent="0.25">
      <c r="A4741" s="753">
        <v>107114</v>
      </c>
      <c r="B4741" s="130">
        <v>0</v>
      </c>
      <c r="E4741" s="131"/>
    </row>
    <row r="4742" spans="1:9" x14ac:dyDescent="0.25">
      <c r="A4742" s="753">
        <v>107115</v>
      </c>
      <c r="B4742" s="130">
        <v>0</v>
      </c>
      <c r="E4742" s="131"/>
    </row>
    <row r="4743" spans="1:9" x14ac:dyDescent="0.25">
      <c r="A4743" s="753">
        <v>107116</v>
      </c>
      <c r="B4743" s="130">
        <v>0</v>
      </c>
      <c r="E4743" s="131"/>
    </row>
    <row r="4744" spans="1:9" x14ac:dyDescent="0.25">
      <c r="A4744" s="753">
        <v>107208</v>
      </c>
      <c r="B4744" s="130">
        <v>3000</v>
      </c>
      <c r="C4744" s="131">
        <v>290</v>
      </c>
      <c r="D4744" s="131">
        <v>16</v>
      </c>
      <c r="E4744" s="131">
        <v>290</v>
      </c>
      <c r="F4744" s="767">
        <v>3000</v>
      </c>
      <c r="G4744" s="767">
        <v>0</v>
      </c>
      <c r="H4744" s="767">
        <v>3000</v>
      </c>
      <c r="I4744" s="768" t="s">
        <v>2249</v>
      </c>
    </row>
    <row r="4745" spans="1:9" x14ac:dyDescent="0.25">
      <c r="A4745" s="753">
        <v>107210</v>
      </c>
      <c r="B4745" s="130">
        <v>0</v>
      </c>
      <c r="E4745" s="131"/>
    </row>
    <row r="4746" spans="1:9" x14ac:dyDescent="0.25">
      <c r="A4746" s="753">
        <v>107211</v>
      </c>
      <c r="B4746" s="130">
        <v>0</v>
      </c>
      <c r="E4746" s="131"/>
    </row>
    <row r="4747" spans="1:9" x14ac:dyDescent="0.25">
      <c r="A4747" s="753">
        <v>107212</v>
      </c>
      <c r="B4747" s="130">
        <v>0</v>
      </c>
      <c r="E4747" s="131"/>
    </row>
    <row r="4748" spans="1:9" x14ac:dyDescent="0.25">
      <c r="A4748" s="753">
        <v>107213</v>
      </c>
      <c r="B4748" s="130">
        <v>0</v>
      </c>
      <c r="E4748" s="131"/>
    </row>
    <row r="4749" spans="1:9" x14ac:dyDescent="0.25">
      <c r="A4749" s="753">
        <v>107214</v>
      </c>
      <c r="B4749" s="130">
        <v>0</v>
      </c>
      <c r="E4749" s="131"/>
    </row>
    <row r="4750" spans="1:9" x14ac:dyDescent="0.25">
      <c r="A4750" s="753">
        <v>107215</v>
      </c>
      <c r="B4750" s="130">
        <v>0</v>
      </c>
      <c r="E4750" s="131"/>
    </row>
    <row r="4751" spans="1:9" x14ac:dyDescent="0.25">
      <c r="A4751" s="753">
        <v>107216</v>
      </c>
      <c r="B4751" s="130">
        <v>0</v>
      </c>
      <c r="E4751" s="131"/>
    </row>
    <row r="4752" spans="1:9" x14ac:dyDescent="0.25">
      <c r="A4752" s="753">
        <v>107308</v>
      </c>
      <c r="B4752" s="130">
        <v>0</v>
      </c>
      <c r="E4752" s="131"/>
    </row>
    <row r="4753" spans="1:9" x14ac:dyDescent="0.25">
      <c r="A4753" s="753">
        <v>107310</v>
      </c>
      <c r="B4753" s="130">
        <v>51</v>
      </c>
      <c r="E4753" s="131"/>
    </row>
    <row r="4754" spans="1:9" x14ac:dyDescent="0.25">
      <c r="A4754" s="753">
        <v>107311</v>
      </c>
      <c r="B4754" s="130">
        <v>110</v>
      </c>
      <c r="E4754" s="131"/>
    </row>
    <row r="4755" spans="1:9" x14ac:dyDescent="0.25">
      <c r="A4755" s="753">
        <v>107312</v>
      </c>
      <c r="B4755" s="130">
        <v>47</v>
      </c>
      <c r="E4755" s="131"/>
    </row>
    <row r="4756" spans="1:9" x14ac:dyDescent="0.25">
      <c r="A4756" s="753">
        <v>107313</v>
      </c>
      <c r="B4756" s="130">
        <v>0</v>
      </c>
      <c r="E4756" s="131"/>
    </row>
    <row r="4757" spans="1:9" x14ac:dyDescent="0.25">
      <c r="A4757" s="753">
        <v>107314</v>
      </c>
      <c r="B4757" s="130">
        <v>178</v>
      </c>
      <c r="E4757" s="131"/>
    </row>
    <row r="4758" spans="1:9" x14ac:dyDescent="0.25">
      <c r="A4758" s="753">
        <v>107315</v>
      </c>
      <c r="B4758" s="130">
        <v>0</v>
      </c>
      <c r="E4758" s="131"/>
    </row>
    <row r="4759" spans="1:9" x14ac:dyDescent="0.25">
      <c r="A4759" s="753">
        <v>107316</v>
      </c>
      <c r="B4759" s="130">
        <v>187</v>
      </c>
      <c r="E4759" s="131"/>
    </row>
    <row r="4760" spans="1:9" x14ac:dyDescent="0.25">
      <c r="A4760" s="753">
        <v>107408</v>
      </c>
      <c r="B4760" s="130">
        <v>0</v>
      </c>
      <c r="E4760" s="131"/>
    </row>
    <row r="4761" spans="1:9" x14ac:dyDescent="0.25">
      <c r="A4761" s="753">
        <v>107508</v>
      </c>
      <c r="B4761" s="130">
        <v>0</v>
      </c>
      <c r="E4761" s="131"/>
    </row>
    <row r="4762" spans="1:9" x14ac:dyDescent="0.25">
      <c r="A4762" s="753">
        <v>107608</v>
      </c>
      <c r="B4762" s="130">
        <v>4854961</v>
      </c>
      <c r="C4762" s="131">
        <v>296</v>
      </c>
      <c r="D4762" s="131">
        <v>16</v>
      </c>
      <c r="E4762" s="131">
        <v>296</v>
      </c>
      <c r="F4762" s="767">
        <v>4854961.3099999996</v>
      </c>
      <c r="G4762" s="767">
        <v>0</v>
      </c>
      <c r="H4762" s="767">
        <v>4854961.3099999996</v>
      </c>
      <c r="I4762" s="768" t="s">
        <v>2250</v>
      </c>
    </row>
    <row r="4763" spans="1:9" x14ac:dyDescent="0.25">
      <c r="A4763" s="753">
        <v>107708</v>
      </c>
      <c r="B4763" s="130">
        <v>2050000</v>
      </c>
      <c r="C4763" s="131">
        <v>297</v>
      </c>
      <c r="D4763" s="131">
        <v>16</v>
      </c>
      <c r="E4763" s="131">
        <v>297</v>
      </c>
      <c r="F4763" s="767">
        <v>2050000</v>
      </c>
      <c r="G4763" s="767">
        <v>0</v>
      </c>
      <c r="H4763" s="767">
        <v>2050000</v>
      </c>
      <c r="I4763" s="768" t="s">
        <v>2251</v>
      </c>
    </row>
    <row r="4764" spans="1:9" x14ac:dyDescent="0.25">
      <c r="A4764" s="753">
        <v>107808</v>
      </c>
      <c r="B4764" s="130">
        <v>6907961</v>
      </c>
      <c r="E4764" s="131"/>
    </row>
    <row r="4765" spans="1:9" x14ac:dyDescent="0.25">
      <c r="A4765" s="753">
        <v>107908</v>
      </c>
      <c r="B4765" s="130">
        <v>20403570</v>
      </c>
      <c r="E4765" s="131"/>
    </row>
    <row r="4766" spans="1:9" x14ac:dyDescent="0.25">
      <c r="A4766" s="753">
        <v>106117</v>
      </c>
      <c r="B4766" s="130">
        <v>-101620</v>
      </c>
      <c r="C4766" s="131">
        <v>101</v>
      </c>
      <c r="D4766" s="131">
        <v>16</v>
      </c>
      <c r="E4766" s="131">
        <v>101</v>
      </c>
      <c r="F4766" s="767">
        <v>-101620</v>
      </c>
      <c r="G4766" s="767">
        <v>0</v>
      </c>
      <c r="H4766" s="767">
        <v>-101620</v>
      </c>
      <c r="I4766" s="768" t="s">
        <v>2252</v>
      </c>
    </row>
    <row r="4767" spans="1:9" x14ac:dyDescent="0.25">
      <c r="A4767" s="753">
        <v>106217</v>
      </c>
      <c r="B4767" s="130">
        <v>-118524</v>
      </c>
      <c r="C4767" s="131">
        <v>102</v>
      </c>
      <c r="D4767" s="131">
        <v>16</v>
      </c>
      <c r="E4767" s="131">
        <v>102</v>
      </c>
      <c r="F4767" s="767">
        <v>-118524</v>
      </c>
      <c r="G4767" s="767">
        <v>0</v>
      </c>
      <c r="H4767" s="767">
        <v>-118524</v>
      </c>
      <c r="I4767" s="768" t="s">
        <v>2253</v>
      </c>
    </row>
    <row r="4768" spans="1:9" x14ac:dyDescent="0.25">
      <c r="A4768" s="753">
        <v>106317</v>
      </c>
      <c r="B4768" s="130">
        <v>168782</v>
      </c>
      <c r="C4768" s="131">
        <v>103</v>
      </c>
      <c r="D4768" s="131">
        <v>16</v>
      </c>
      <c r="E4768" s="131">
        <v>103</v>
      </c>
      <c r="F4768" s="767">
        <v>168782</v>
      </c>
      <c r="G4768" s="767">
        <v>0</v>
      </c>
      <c r="H4768" s="767">
        <v>168782</v>
      </c>
      <c r="I4768" s="768" t="s">
        <v>2254</v>
      </c>
    </row>
    <row r="4769" spans="1:9" x14ac:dyDescent="0.25">
      <c r="A4769" s="753">
        <v>106417</v>
      </c>
      <c r="B4769" s="130">
        <v>127079</v>
      </c>
      <c r="C4769" s="131">
        <v>104</v>
      </c>
      <c r="D4769" s="131">
        <v>16</v>
      </c>
      <c r="E4769" s="131">
        <v>104</v>
      </c>
      <c r="F4769" s="767">
        <v>127079</v>
      </c>
      <c r="G4769" s="767">
        <v>0</v>
      </c>
      <c r="H4769" s="767">
        <v>127079</v>
      </c>
      <c r="I4769" s="768" t="s">
        <v>2255</v>
      </c>
    </row>
    <row r="4770" spans="1:9" x14ac:dyDescent="0.25">
      <c r="A4770" s="753">
        <v>106517</v>
      </c>
      <c r="B4770" s="130">
        <v>156307</v>
      </c>
      <c r="C4770" s="131">
        <v>105</v>
      </c>
      <c r="D4770" s="131">
        <v>16</v>
      </c>
      <c r="E4770" s="131">
        <v>105</v>
      </c>
      <c r="F4770" s="767">
        <v>156307</v>
      </c>
      <c r="G4770" s="767">
        <v>0</v>
      </c>
      <c r="H4770" s="767">
        <v>156307</v>
      </c>
      <c r="I4770" s="768" t="s">
        <v>2256</v>
      </c>
    </row>
    <row r="4771" spans="1:9" x14ac:dyDescent="0.25">
      <c r="A4771" s="753">
        <v>106617</v>
      </c>
      <c r="B4771" s="130">
        <v>8396</v>
      </c>
      <c r="C4771" s="131">
        <v>106</v>
      </c>
      <c r="D4771" s="131">
        <v>16</v>
      </c>
      <c r="E4771" s="131">
        <v>106</v>
      </c>
      <c r="F4771" s="767">
        <v>8396</v>
      </c>
      <c r="G4771" s="767">
        <v>0</v>
      </c>
      <c r="H4771" s="767">
        <v>8396</v>
      </c>
      <c r="I4771" s="768" t="s">
        <v>2360</v>
      </c>
    </row>
    <row r="4772" spans="1:9" x14ac:dyDescent="0.25">
      <c r="A4772" s="753">
        <v>106717</v>
      </c>
      <c r="B4772" s="130">
        <v>-2692</v>
      </c>
      <c r="C4772" s="131">
        <v>107</v>
      </c>
      <c r="D4772" s="131">
        <v>16</v>
      </c>
      <c r="E4772" s="131">
        <v>107</v>
      </c>
      <c r="F4772" s="767">
        <v>-2692</v>
      </c>
      <c r="G4772" s="767">
        <v>0</v>
      </c>
      <c r="H4772" s="767">
        <v>-2692</v>
      </c>
      <c r="I4772" s="768" t="s">
        <v>2361</v>
      </c>
    </row>
    <row r="4773" spans="1:9" x14ac:dyDescent="0.25">
      <c r="A4773" s="753">
        <v>106817</v>
      </c>
      <c r="B4773" s="130">
        <v>-18001</v>
      </c>
      <c r="C4773" s="131">
        <v>108</v>
      </c>
      <c r="D4773" s="131">
        <v>16</v>
      </c>
      <c r="E4773" s="131">
        <v>108</v>
      </c>
      <c r="F4773" s="767">
        <v>-18001</v>
      </c>
      <c r="G4773" s="767">
        <v>0</v>
      </c>
      <c r="H4773" s="767">
        <v>-18001</v>
      </c>
      <c r="I4773" s="768" t="s">
        <v>2362</v>
      </c>
    </row>
    <row r="4774" spans="1:9" x14ac:dyDescent="0.25">
      <c r="A4774" s="753">
        <v>106917</v>
      </c>
      <c r="B4774" s="130">
        <v>82058</v>
      </c>
      <c r="C4774" s="131">
        <v>109</v>
      </c>
      <c r="D4774" s="131">
        <v>16</v>
      </c>
      <c r="E4774" s="131">
        <v>109</v>
      </c>
      <c r="F4774" s="767">
        <v>0</v>
      </c>
      <c r="G4774" s="767">
        <v>82058</v>
      </c>
      <c r="H4774" s="767">
        <v>82058</v>
      </c>
      <c r="I4774" s="768" t="s">
        <v>2363</v>
      </c>
    </row>
    <row r="4775" spans="1:9" x14ac:dyDescent="0.25">
      <c r="A4775" s="753">
        <v>107017</v>
      </c>
      <c r="B4775" s="130">
        <v>81576</v>
      </c>
      <c r="C4775" s="131">
        <v>101</v>
      </c>
      <c r="D4775" s="131">
        <v>16</v>
      </c>
      <c r="E4775" s="131">
        <v>101</v>
      </c>
      <c r="F4775" s="767">
        <v>-101620</v>
      </c>
      <c r="G4775" s="767">
        <v>0</v>
      </c>
      <c r="H4775" s="767">
        <v>-101620</v>
      </c>
      <c r="I4775" s="768" t="s">
        <v>2252</v>
      </c>
    </row>
    <row r="4776" spans="1:9" x14ac:dyDescent="0.25">
      <c r="A4776" s="753"/>
      <c r="C4776" s="131">
        <v>102</v>
      </c>
      <c r="D4776" s="131">
        <v>16</v>
      </c>
      <c r="E4776" s="131">
        <v>102</v>
      </c>
      <c r="F4776" s="767">
        <v>-118524</v>
      </c>
      <c r="G4776" s="767">
        <v>0</v>
      </c>
      <c r="H4776" s="767">
        <v>-118524</v>
      </c>
      <c r="I4776" s="768" t="s">
        <v>2253</v>
      </c>
    </row>
    <row r="4777" spans="1:9" x14ac:dyDescent="0.25">
      <c r="A4777" s="753"/>
      <c r="C4777" s="131">
        <v>103</v>
      </c>
      <c r="D4777" s="131">
        <v>16</v>
      </c>
      <c r="E4777" s="131">
        <v>103</v>
      </c>
      <c r="F4777" s="767">
        <v>168782</v>
      </c>
      <c r="G4777" s="767">
        <v>0</v>
      </c>
      <c r="H4777" s="767">
        <v>168782</v>
      </c>
      <c r="I4777" s="768" t="s">
        <v>2254</v>
      </c>
    </row>
    <row r="4778" spans="1:9" x14ac:dyDescent="0.25">
      <c r="A4778" s="753"/>
      <c r="C4778" s="131">
        <v>104</v>
      </c>
      <c r="D4778" s="131">
        <v>16</v>
      </c>
      <c r="E4778" s="131">
        <v>104</v>
      </c>
      <c r="F4778" s="767">
        <v>127079</v>
      </c>
      <c r="G4778" s="767">
        <v>0</v>
      </c>
      <c r="H4778" s="767">
        <v>127079</v>
      </c>
      <c r="I4778" s="768" t="s">
        <v>2255</v>
      </c>
    </row>
    <row r="4779" spans="1:9" x14ac:dyDescent="0.25">
      <c r="A4779" s="753"/>
      <c r="C4779" s="131">
        <v>105</v>
      </c>
      <c r="D4779" s="131">
        <v>16</v>
      </c>
      <c r="E4779" s="131">
        <v>105</v>
      </c>
      <c r="F4779" s="767">
        <v>156307</v>
      </c>
      <c r="G4779" s="767">
        <v>0</v>
      </c>
      <c r="H4779" s="767">
        <v>156307</v>
      </c>
      <c r="I4779" s="768" t="s">
        <v>2256</v>
      </c>
    </row>
    <row r="4780" spans="1:9" x14ac:dyDescent="0.25">
      <c r="A4780" s="753"/>
      <c r="C4780" s="131">
        <v>106</v>
      </c>
      <c r="D4780" s="131">
        <v>16</v>
      </c>
      <c r="E4780" s="131">
        <v>106</v>
      </c>
      <c r="F4780" s="767">
        <v>8396</v>
      </c>
      <c r="G4780" s="767">
        <v>0</v>
      </c>
      <c r="H4780" s="767">
        <v>8396</v>
      </c>
      <c r="I4780" s="768" t="s">
        <v>2360</v>
      </c>
    </row>
    <row r="4781" spans="1:9" x14ac:dyDescent="0.25">
      <c r="A4781" s="753"/>
      <c r="C4781" s="131">
        <v>107</v>
      </c>
      <c r="D4781" s="131">
        <v>16</v>
      </c>
      <c r="E4781" s="131">
        <v>107</v>
      </c>
      <c r="F4781" s="767">
        <v>-2692</v>
      </c>
      <c r="G4781" s="767">
        <v>0</v>
      </c>
      <c r="H4781" s="767">
        <v>-2692</v>
      </c>
      <c r="I4781" s="768" t="s">
        <v>2361</v>
      </c>
    </row>
    <row r="4782" spans="1:9" x14ac:dyDescent="0.25">
      <c r="A4782" s="753"/>
      <c r="C4782" s="131">
        <v>108</v>
      </c>
      <c r="D4782" s="131">
        <v>16</v>
      </c>
      <c r="E4782" s="131">
        <v>108</v>
      </c>
      <c r="F4782" s="767">
        <v>-18001</v>
      </c>
      <c r="G4782" s="767">
        <v>0</v>
      </c>
      <c r="H4782" s="767">
        <v>-18001</v>
      </c>
      <c r="I4782" s="768" t="s">
        <v>2362</v>
      </c>
    </row>
    <row r="4783" spans="1:9" x14ac:dyDescent="0.25">
      <c r="A4783" s="753"/>
      <c r="C4783" s="131">
        <v>109</v>
      </c>
      <c r="D4783" s="131">
        <v>16</v>
      </c>
      <c r="E4783" s="131">
        <v>109</v>
      </c>
      <c r="F4783" s="767">
        <v>0</v>
      </c>
      <c r="G4783" s="767">
        <v>82058</v>
      </c>
      <c r="H4783" s="767">
        <v>82058</v>
      </c>
      <c r="I4783" s="768" t="s">
        <v>2363</v>
      </c>
    </row>
    <row r="4784" spans="1:9" x14ac:dyDescent="0.25">
      <c r="A4784" s="753">
        <v>107117</v>
      </c>
      <c r="B4784" s="130">
        <v>0</v>
      </c>
      <c r="E4784" s="131"/>
    </row>
    <row r="4785" spans="1:5" x14ac:dyDescent="0.25">
      <c r="A4785" s="753">
        <v>107217</v>
      </c>
      <c r="B4785" s="130">
        <v>0</v>
      </c>
      <c r="E4785" s="131"/>
    </row>
    <row r="4786" spans="1:5" x14ac:dyDescent="0.25">
      <c r="A4786" s="753">
        <v>1005418</v>
      </c>
      <c r="B4786" s="130">
        <v>-2</v>
      </c>
      <c r="E4786" s="131"/>
    </row>
    <row r="4787" spans="1:5" x14ac:dyDescent="0.25">
      <c r="A4787" s="753">
        <v>1005420</v>
      </c>
      <c r="B4787" s="130">
        <v>12</v>
      </c>
      <c r="E4787" s="131"/>
    </row>
    <row r="4788" spans="1:5" x14ac:dyDescent="0.25">
      <c r="A4788" s="753">
        <v>1000208</v>
      </c>
      <c r="B4788" s="130">
        <v>147350</v>
      </c>
      <c r="E4788" s="131"/>
    </row>
    <row r="4789" spans="1:5" x14ac:dyDescent="0.25">
      <c r="A4789" s="753">
        <v>1000308</v>
      </c>
      <c r="B4789" s="130">
        <v>332363</v>
      </c>
      <c r="E4789" s="131"/>
    </row>
    <row r="4790" spans="1:5" x14ac:dyDescent="0.25">
      <c r="A4790" s="753">
        <v>1000408</v>
      </c>
      <c r="B4790" s="130">
        <v>36945</v>
      </c>
      <c r="E4790" s="131"/>
    </row>
    <row r="4791" spans="1:5" x14ac:dyDescent="0.25">
      <c r="A4791" s="753">
        <v>1000608</v>
      </c>
      <c r="B4791" s="130">
        <v>364774</v>
      </c>
      <c r="E4791" s="131"/>
    </row>
    <row r="4792" spans="1:5" x14ac:dyDescent="0.25">
      <c r="A4792" s="753">
        <v>1000610</v>
      </c>
      <c r="B4792" s="130">
        <v>8</v>
      </c>
      <c r="E4792" s="131"/>
    </row>
    <row r="4793" spans="1:5" x14ac:dyDescent="0.25">
      <c r="A4793" s="753">
        <v>1000614</v>
      </c>
      <c r="B4793" s="130">
        <v>129916</v>
      </c>
      <c r="E4793" s="131"/>
    </row>
    <row r="4794" spans="1:5" x14ac:dyDescent="0.25">
      <c r="A4794" s="753">
        <v>1000616</v>
      </c>
      <c r="B4794" s="130">
        <v>3</v>
      </c>
      <c r="E4794" s="131"/>
    </row>
    <row r="4795" spans="1:5" x14ac:dyDescent="0.25">
      <c r="A4795" s="753">
        <v>1000708</v>
      </c>
      <c r="B4795" s="130">
        <v>414077</v>
      </c>
      <c r="E4795" s="131"/>
    </row>
    <row r="4796" spans="1:5" x14ac:dyDescent="0.25">
      <c r="A4796" s="753">
        <v>1000710</v>
      </c>
      <c r="B4796" s="130">
        <v>12</v>
      </c>
      <c r="E4796" s="131"/>
    </row>
    <row r="4797" spans="1:5" x14ac:dyDescent="0.25">
      <c r="A4797" s="753">
        <v>1000714</v>
      </c>
      <c r="B4797" s="130">
        <v>213782</v>
      </c>
      <c r="E4797" s="131"/>
    </row>
    <row r="4798" spans="1:5" x14ac:dyDescent="0.25">
      <c r="A4798" s="753">
        <v>1000716</v>
      </c>
      <c r="B4798" s="130">
        <v>7</v>
      </c>
      <c r="E4798" s="131"/>
    </row>
    <row r="4799" spans="1:5" x14ac:dyDescent="0.25">
      <c r="A4799" s="753">
        <v>1000808</v>
      </c>
      <c r="B4799" s="130">
        <v>0</v>
      </c>
      <c r="E4799" s="131"/>
    </row>
    <row r="4800" spans="1:5" x14ac:dyDescent="0.25">
      <c r="A4800" s="753">
        <v>1000810</v>
      </c>
      <c r="B4800" s="130">
        <v>0</v>
      </c>
      <c r="E4800" s="131"/>
    </row>
    <row r="4801" spans="1:9" x14ac:dyDescent="0.25">
      <c r="A4801" s="753">
        <v>1000814</v>
      </c>
      <c r="B4801" s="130">
        <v>0</v>
      </c>
      <c r="E4801" s="131"/>
    </row>
    <row r="4802" spans="1:9" x14ac:dyDescent="0.25">
      <c r="A4802" s="753">
        <v>1000816</v>
      </c>
      <c r="B4802" s="130">
        <v>0</v>
      </c>
      <c r="E4802" s="131"/>
    </row>
    <row r="4803" spans="1:9" x14ac:dyDescent="0.25">
      <c r="A4803" s="753">
        <v>1000908</v>
      </c>
      <c r="B4803" s="130">
        <v>451523</v>
      </c>
      <c r="E4803" s="131"/>
    </row>
    <row r="4804" spans="1:9" x14ac:dyDescent="0.25">
      <c r="A4804" s="753">
        <v>1000910</v>
      </c>
      <c r="B4804" s="130">
        <v>15</v>
      </c>
      <c r="E4804" s="131"/>
    </row>
    <row r="4805" spans="1:9" x14ac:dyDescent="0.25">
      <c r="A4805" s="753">
        <v>1000914</v>
      </c>
      <c r="B4805" s="130">
        <v>265338</v>
      </c>
      <c r="E4805" s="131"/>
    </row>
    <row r="4806" spans="1:9" x14ac:dyDescent="0.25">
      <c r="A4806" s="753">
        <v>1000916</v>
      </c>
      <c r="B4806" s="130">
        <v>9</v>
      </c>
      <c r="E4806" s="131"/>
    </row>
    <row r="4807" spans="1:9" x14ac:dyDescent="0.25">
      <c r="A4807" s="753">
        <v>1005818</v>
      </c>
      <c r="B4807" s="130">
        <v>-2</v>
      </c>
      <c r="E4807" s="131"/>
    </row>
    <row r="4808" spans="1:9" x14ac:dyDescent="0.25">
      <c r="A4808" s="753">
        <v>1005820</v>
      </c>
      <c r="B4808" s="130">
        <v>-435</v>
      </c>
      <c r="E4808" s="131"/>
    </row>
    <row r="4809" spans="1:9" x14ac:dyDescent="0.25">
      <c r="A4809" s="753">
        <v>1006218</v>
      </c>
      <c r="B4809" s="130">
        <v>71607</v>
      </c>
      <c r="E4809" s="131"/>
    </row>
    <row r="4810" spans="1:9" x14ac:dyDescent="0.25">
      <c r="A4810" s="753">
        <v>1006220</v>
      </c>
      <c r="B4810" s="130">
        <v>699111</v>
      </c>
      <c r="E4810" s="131"/>
    </row>
    <row r="4811" spans="1:9" x14ac:dyDescent="0.25">
      <c r="A4811" s="753">
        <v>906712</v>
      </c>
      <c r="B4811" s="130">
        <v>1601</v>
      </c>
      <c r="E4811" s="131"/>
    </row>
    <row r="4812" spans="1:9" x14ac:dyDescent="0.25">
      <c r="A4812" s="753">
        <v>906714</v>
      </c>
      <c r="B4812" s="130">
        <v>543571</v>
      </c>
      <c r="E4812" s="131"/>
    </row>
    <row r="4813" spans="1:9" x14ac:dyDescent="0.25">
      <c r="A4813" s="753">
        <v>906716</v>
      </c>
      <c r="B4813" s="130">
        <v>244681</v>
      </c>
      <c r="C4813" s="131" t="s">
        <v>180</v>
      </c>
      <c r="D4813" s="131">
        <v>16</v>
      </c>
      <c r="E4813" s="131" t="s">
        <v>180</v>
      </c>
      <c r="F4813" s="767">
        <v>-223158.6</v>
      </c>
      <c r="G4813" s="767">
        <v>-30673.15</v>
      </c>
      <c r="H4813" s="767">
        <v>-253831.75</v>
      </c>
      <c r="I4813" s="768" t="s">
        <v>1539</v>
      </c>
    </row>
    <row r="4814" spans="1:9" x14ac:dyDescent="0.25">
      <c r="A4814" s="753"/>
      <c r="C4814" s="131" t="s">
        <v>1022</v>
      </c>
      <c r="D4814" s="131">
        <v>16</v>
      </c>
      <c r="E4814" s="131" t="s">
        <v>1022</v>
      </c>
      <c r="F4814" s="767">
        <v>47986.87</v>
      </c>
      <c r="G4814" s="767">
        <v>6673.84</v>
      </c>
      <c r="H4814" s="767">
        <v>54660.71</v>
      </c>
      <c r="I4814" s="768" t="s">
        <v>1540</v>
      </c>
    </row>
    <row r="4815" spans="1:9" x14ac:dyDescent="0.25">
      <c r="A4815" s="753"/>
      <c r="C4815" s="131" t="s">
        <v>181</v>
      </c>
      <c r="D4815" s="131">
        <v>16</v>
      </c>
      <c r="E4815" s="131" t="s">
        <v>181</v>
      </c>
      <c r="F4815" s="767">
        <v>-249129.49</v>
      </c>
      <c r="G4815" s="767">
        <v>-49974.2</v>
      </c>
      <c r="H4815" s="767">
        <v>-299103.69</v>
      </c>
      <c r="I4815" s="768" t="s">
        <v>1542</v>
      </c>
    </row>
    <row r="4816" spans="1:9" x14ac:dyDescent="0.25">
      <c r="A4816" s="753"/>
      <c r="C4816" s="131" t="s">
        <v>1024</v>
      </c>
      <c r="D4816" s="131">
        <v>16</v>
      </c>
      <c r="E4816" s="131" t="s">
        <v>1024</v>
      </c>
      <c r="F4816" s="767">
        <v>51261.2</v>
      </c>
      <c r="G4816" s="767">
        <v>9755.92</v>
      </c>
      <c r="H4816" s="767">
        <v>61017.120000000003</v>
      </c>
      <c r="I4816" s="768" t="s">
        <v>1543</v>
      </c>
    </row>
    <row r="4817" spans="1:9" x14ac:dyDescent="0.25">
      <c r="A4817" s="753"/>
      <c r="C4817" s="131" t="s">
        <v>240</v>
      </c>
      <c r="D4817" s="131">
        <v>16</v>
      </c>
      <c r="E4817" s="131" t="s">
        <v>240</v>
      </c>
      <c r="F4817" s="767">
        <v>-24001.56</v>
      </c>
      <c r="G4817" s="767">
        <v>-8925.3700000000008</v>
      </c>
      <c r="H4817" s="767">
        <v>-32926.93</v>
      </c>
      <c r="I4817" s="768" t="s">
        <v>1545</v>
      </c>
    </row>
    <row r="4818" spans="1:9" x14ac:dyDescent="0.25">
      <c r="A4818" s="753"/>
      <c r="C4818" s="131" t="s">
        <v>1026</v>
      </c>
      <c r="D4818" s="131">
        <v>16</v>
      </c>
      <c r="E4818" s="131" t="s">
        <v>1026</v>
      </c>
      <c r="F4818" s="767">
        <v>4685.3999999999996</v>
      </c>
      <c r="G4818" s="767">
        <v>1665.67</v>
      </c>
      <c r="H4818" s="767">
        <v>6351.07</v>
      </c>
      <c r="I4818" s="768" t="s">
        <v>1546</v>
      </c>
    </row>
    <row r="4819" spans="1:9" x14ac:dyDescent="0.25">
      <c r="A4819" s="753"/>
      <c r="C4819" s="131" t="s">
        <v>184</v>
      </c>
      <c r="D4819" s="131">
        <v>16</v>
      </c>
      <c r="E4819" s="131" t="s">
        <v>184</v>
      </c>
      <c r="F4819" s="767">
        <v>-27656.76</v>
      </c>
      <c r="G4819" s="767">
        <v>-3470.04</v>
      </c>
      <c r="H4819" s="767">
        <v>-31126.799999999999</v>
      </c>
      <c r="I4819" s="768" t="s">
        <v>1548</v>
      </c>
    </row>
    <row r="4820" spans="1:9" x14ac:dyDescent="0.25">
      <c r="A4820" s="753"/>
      <c r="C4820" s="131" t="s">
        <v>1028</v>
      </c>
      <c r="D4820" s="131">
        <v>16</v>
      </c>
      <c r="E4820" s="131" t="s">
        <v>1028</v>
      </c>
      <c r="F4820" s="767">
        <v>8604.49</v>
      </c>
      <c r="G4820" s="767">
        <v>1078.93</v>
      </c>
      <c r="H4820" s="767">
        <v>9683.42</v>
      </c>
      <c r="I4820" s="768" t="s">
        <v>1549</v>
      </c>
    </row>
    <row r="4821" spans="1:9" x14ac:dyDescent="0.25">
      <c r="A4821" s="753"/>
      <c r="C4821" s="131" t="s">
        <v>185</v>
      </c>
      <c r="D4821" s="131">
        <v>16</v>
      </c>
      <c r="E4821" s="131" t="s">
        <v>185</v>
      </c>
      <c r="F4821" s="767">
        <v>-55793.89</v>
      </c>
      <c r="G4821" s="767">
        <v>-7683.68</v>
      </c>
      <c r="H4821" s="767">
        <v>-63477.57</v>
      </c>
      <c r="I4821" s="768" t="s">
        <v>1551</v>
      </c>
    </row>
    <row r="4822" spans="1:9" x14ac:dyDescent="0.25">
      <c r="A4822" s="753"/>
      <c r="C4822" s="131" t="s">
        <v>1030</v>
      </c>
      <c r="D4822" s="131">
        <v>16</v>
      </c>
      <c r="E4822" s="131" t="s">
        <v>1030</v>
      </c>
      <c r="F4822" s="767">
        <v>15652.1</v>
      </c>
      <c r="G4822" s="767">
        <v>2150.73</v>
      </c>
      <c r="H4822" s="767">
        <v>17802.830000000002</v>
      </c>
      <c r="I4822" s="768" t="s">
        <v>1552</v>
      </c>
    </row>
    <row r="4823" spans="1:9" x14ac:dyDescent="0.25">
      <c r="A4823" s="753"/>
      <c r="C4823" s="131" t="s">
        <v>241</v>
      </c>
      <c r="D4823" s="131">
        <v>16</v>
      </c>
      <c r="E4823" s="131" t="s">
        <v>241</v>
      </c>
      <c r="F4823" s="767">
        <v>-3684.22</v>
      </c>
      <c r="G4823" s="767">
        <v>-1872.72</v>
      </c>
      <c r="H4823" s="767">
        <v>-5556.94</v>
      </c>
      <c r="I4823" s="768" t="s">
        <v>1554</v>
      </c>
    </row>
    <row r="4824" spans="1:9" x14ac:dyDescent="0.25">
      <c r="A4824" s="753"/>
      <c r="C4824" s="131" t="s">
        <v>1032</v>
      </c>
      <c r="D4824" s="131">
        <v>16</v>
      </c>
      <c r="E4824" s="131" t="s">
        <v>1032</v>
      </c>
      <c r="F4824" s="767">
        <v>935.2</v>
      </c>
      <c r="G4824" s="767">
        <v>545.98</v>
      </c>
      <c r="H4824" s="767">
        <v>1481.18</v>
      </c>
      <c r="I4824" s="768" t="s">
        <v>1555</v>
      </c>
    </row>
    <row r="4825" spans="1:9" x14ac:dyDescent="0.25">
      <c r="A4825" s="753"/>
      <c r="C4825" s="131" t="s">
        <v>187</v>
      </c>
      <c r="D4825" s="131">
        <v>16</v>
      </c>
      <c r="E4825" s="131" t="s">
        <v>187</v>
      </c>
      <c r="F4825" s="767">
        <v>-13870.67</v>
      </c>
      <c r="G4825" s="767">
        <v>-120</v>
      </c>
      <c r="H4825" s="767">
        <v>-13990.67</v>
      </c>
      <c r="I4825" s="768" t="s">
        <v>1557</v>
      </c>
    </row>
    <row r="4826" spans="1:9" x14ac:dyDescent="0.25">
      <c r="A4826" s="753"/>
      <c r="C4826" s="131" t="s">
        <v>1034</v>
      </c>
      <c r="D4826" s="131">
        <v>16</v>
      </c>
      <c r="E4826" s="131" t="s">
        <v>1034</v>
      </c>
      <c r="F4826" s="767">
        <v>12869.93</v>
      </c>
      <c r="G4826" s="767">
        <v>120</v>
      </c>
      <c r="H4826" s="767">
        <v>12989.93</v>
      </c>
      <c r="I4826" s="768" t="s">
        <v>1558</v>
      </c>
    </row>
    <row r="4827" spans="1:9" x14ac:dyDescent="0.25">
      <c r="A4827" s="753"/>
      <c r="C4827" s="131" t="s">
        <v>188</v>
      </c>
      <c r="D4827" s="131">
        <v>16</v>
      </c>
      <c r="E4827" s="131" t="s">
        <v>188</v>
      </c>
      <c r="F4827" s="767">
        <v>-18862.04</v>
      </c>
      <c r="G4827" s="767">
        <v>-679.95</v>
      </c>
      <c r="H4827" s="767">
        <v>-19541.990000000002</v>
      </c>
      <c r="I4827" s="768" t="s">
        <v>1560</v>
      </c>
    </row>
    <row r="4828" spans="1:9" x14ac:dyDescent="0.25">
      <c r="A4828" s="753"/>
      <c r="C4828" s="131" t="s">
        <v>1036</v>
      </c>
      <c r="D4828" s="131">
        <v>16</v>
      </c>
      <c r="E4828" s="131" t="s">
        <v>1036</v>
      </c>
      <c r="F4828" s="767">
        <v>17651.16</v>
      </c>
      <c r="G4828" s="767">
        <v>605</v>
      </c>
      <c r="H4828" s="767">
        <v>18256.16</v>
      </c>
      <c r="I4828" s="768" t="s">
        <v>1561</v>
      </c>
    </row>
    <row r="4829" spans="1:9" x14ac:dyDescent="0.25">
      <c r="A4829" s="753"/>
      <c r="C4829" s="131" t="s">
        <v>242</v>
      </c>
      <c r="D4829" s="131">
        <v>16</v>
      </c>
      <c r="E4829" s="131" t="s">
        <v>242</v>
      </c>
      <c r="F4829" s="767">
        <v>-4675</v>
      </c>
      <c r="G4829" s="767">
        <v>0</v>
      </c>
      <c r="H4829" s="767">
        <v>-4675</v>
      </c>
      <c r="I4829" s="768" t="s">
        <v>1563</v>
      </c>
    </row>
    <row r="4830" spans="1:9" x14ac:dyDescent="0.25">
      <c r="A4830" s="753"/>
      <c r="C4830" s="131" t="s">
        <v>1038</v>
      </c>
      <c r="D4830" s="131">
        <v>16</v>
      </c>
      <c r="E4830" s="131" t="s">
        <v>1038</v>
      </c>
      <c r="F4830" s="767">
        <v>4609</v>
      </c>
      <c r="G4830" s="767">
        <v>0</v>
      </c>
      <c r="H4830" s="767">
        <v>4609</v>
      </c>
      <c r="I4830" s="768" t="s">
        <v>1564</v>
      </c>
    </row>
    <row r="4831" spans="1:9" x14ac:dyDescent="0.25">
      <c r="A4831" s="753"/>
      <c r="C4831" s="131" t="s">
        <v>191</v>
      </c>
      <c r="D4831" s="131">
        <v>16</v>
      </c>
      <c r="E4831" s="131" t="s">
        <v>191</v>
      </c>
      <c r="F4831" s="767">
        <v>-40374.730000000003</v>
      </c>
      <c r="G4831" s="767">
        <v>-4808.7</v>
      </c>
      <c r="H4831" s="767">
        <v>-45183.43</v>
      </c>
      <c r="I4831" s="768" t="s">
        <v>1566</v>
      </c>
    </row>
    <row r="4832" spans="1:9" x14ac:dyDescent="0.25">
      <c r="A4832" s="753"/>
      <c r="C4832" s="131" t="s">
        <v>1040</v>
      </c>
      <c r="D4832" s="131">
        <v>16</v>
      </c>
      <c r="E4832" s="131" t="s">
        <v>1040</v>
      </c>
      <c r="F4832" s="767">
        <v>13595.03</v>
      </c>
      <c r="G4832" s="767">
        <v>1629.14</v>
      </c>
      <c r="H4832" s="767">
        <v>15224.17</v>
      </c>
      <c r="I4832" s="768" t="s">
        <v>1567</v>
      </c>
    </row>
    <row r="4833" spans="1:9" x14ac:dyDescent="0.25">
      <c r="A4833" s="753"/>
      <c r="C4833" s="131" t="s">
        <v>192</v>
      </c>
      <c r="D4833" s="131">
        <v>16</v>
      </c>
      <c r="E4833" s="131" t="s">
        <v>192</v>
      </c>
      <c r="F4833" s="767">
        <v>-74036.63</v>
      </c>
      <c r="G4833" s="767">
        <v>-12430.06</v>
      </c>
      <c r="H4833" s="767">
        <v>-86466.69</v>
      </c>
      <c r="I4833" s="768" t="s">
        <v>1569</v>
      </c>
    </row>
    <row r="4834" spans="1:9" x14ac:dyDescent="0.25">
      <c r="A4834" s="753"/>
      <c r="C4834" s="131" t="s">
        <v>1042</v>
      </c>
      <c r="D4834" s="131">
        <v>16</v>
      </c>
      <c r="E4834" s="131" t="s">
        <v>1042</v>
      </c>
      <c r="F4834" s="767">
        <v>27428.22</v>
      </c>
      <c r="G4834" s="767">
        <v>4080.65</v>
      </c>
      <c r="H4834" s="767">
        <v>31508.87</v>
      </c>
      <c r="I4834" s="768" t="s">
        <v>1570</v>
      </c>
    </row>
    <row r="4835" spans="1:9" x14ac:dyDescent="0.25">
      <c r="A4835" s="753"/>
      <c r="C4835" s="131" t="s">
        <v>243</v>
      </c>
      <c r="D4835" s="131">
        <v>16</v>
      </c>
      <c r="E4835" s="131" t="s">
        <v>243</v>
      </c>
      <c r="F4835" s="767">
        <v>-19970.28</v>
      </c>
      <c r="G4835" s="767">
        <v>-1766.7</v>
      </c>
      <c r="H4835" s="767">
        <v>-21736.98</v>
      </c>
      <c r="I4835" s="768" t="s">
        <v>1572</v>
      </c>
    </row>
    <row r="4836" spans="1:9" x14ac:dyDescent="0.25">
      <c r="A4836" s="753"/>
      <c r="C4836" s="131" t="s">
        <v>1044</v>
      </c>
      <c r="D4836" s="131">
        <v>16</v>
      </c>
      <c r="E4836" s="131" t="s">
        <v>1044</v>
      </c>
      <c r="F4836" s="767">
        <v>6460.85</v>
      </c>
      <c r="G4836" s="767">
        <v>538.25</v>
      </c>
      <c r="H4836" s="767">
        <v>6999.1</v>
      </c>
      <c r="I4836" s="768" t="s">
        <v>1573</v>
      </c>
    </row>
    <row r="4837" spans="1:9" x14ac:dyDescent="0.25">
      <c r="A4837" s="753"/>
      <c r="C4837" s="131" t="s">
        <v>195</v>
      </c>
      <c r="D4837" s="131">
        <v>16</v>
      </c>
      <c r="E4837" s="131" t="s">
        <v>195</v>
      </c>
      <c r="F4837" s="767">
        <v>-68222.350000000006</v>
      </c>
      <c r="G4837" s="767">
        <v>-8204.73</v>
      </c>
      <c r="H4837" s="767">
        <v>-76427.08</v>
      </c>
      <c r="I4837" s="768" t="s">
        <v>1577</v>
      </c>
    </row>
    <row r="4838" spans="1:9" x14ac:dyDescent="0.25">
      <c r="A4838" s="753"/>
      <c r="C4838" s="131" t="s">
        <v>195</v>
      </c>
      <c r="D4838" s="131">
        <v>16</v>
      </c>
      <c r="E4838" s="131" t="s">
        <v>1578</v>
      </c>
      <c r="F4838" s="767">
        <v>-63422.27</v>
      </c>
      <c r="G4838" s="767">
        <v>-5236.8500000000004</v>
      </c>
      <c r="H4838" s="767">
        <v>-68659.12</v>
      </c>
      <c r="I4838" s="768" t="s">
        <v>1579</v>
      </c>
    </row>
    <row r="4839" spans="1:9" x14ac:dyDescent="0.25">
      <c r="A4839" s="753"/>
      <c r="C4839" s="131" t="s">
        <v>1046</v>
      </c>
      <c r="D4839" s="131">
        <v>16</v>
      </c>
      <c r="E4839" s="131" t="s">
        <v>1046</v>
      </c>
      <c r="F4839" s="767">
        <v>17018.05</v>
      </c>
      <c r="G4839" s="767">
        <v>1951.39</v>
      </c>
      <c r="H4839" s="767">
        <v>18969.439999999999</v>
      </c>
      <c r="I4839" s="768" t="s">
        <v>1580</v>
      </c>
    </row>
    <row r="4840" spans="1:9" x14ac:dyDescent="0.25">
      <c r="A4840" s="753"/>
      <c r="C4840" s="131" t="s">
        <v>1046</v>
      </c>
      <c r="D4840" s="131">
        <v>16</v>
      </c>
      <c r="E4840" s="131" t="s">
        <v>1581</v>
      </c>
      <c r="F4840" s="767">
        <v>43286.97</v>
      </c>
      <c r="G4840" s="767">
        <v>3504.8</v>
      </c>
      <c r="H4840" s="767">
        <v>46791.77</v>
      </c>
      <c r="I4840" s="768" t="s">
        <v>1582</v>
      </c>
    </row>
    <row r="4841" spans="1:9" x14ac:dyDescent="0.25">
      <c r="A4841" s="753"/>
      <c r="C4841" s="131" t="s">
        <v>223</v>
      </c>
      <c r="D4841" s="131">
        <v>16</v>
      </c>
      <c r="E4841" s="131" t="s">
        <v>223</v>
      </c>
      <c r="F4841" s="767">
        <v>-107161.95</v>
      </c>
      <c r="G4841" s="767">
        <v>-18030.36</v>
      </c>
      <c r="H4841" s="767">
        <v>-125192.31</v>
      </c>
      <c r="I4841" s="768" t="s">
        <v>1585</v>
      </c>
    </row>
    <row r="4842" spans="1:9" x14ac:dyDescent="0.25">
      <c r="A4842" s="753"/>
      <c r="C4842" s="131" t="s">
        <v>223</v>
      </c>
      <c r="D4842" s="131">
        <v>16</v>
      </c>
      <c r="E4842" s="131" t="s">
        <v>2</v>
      </c>
      <c r="F4842" s="767">
        <v>-58469.59</v>
      </c>
      <c r="G4842" s="767">
        <v>-6399.5</v>
      </c>
      <c r="H4842" s="767">
        <v>-64869.09</v>
      </c>
      <c r="I4842" s="768" t="s">
        <v>1586</v>
      </c>
    </row>
    <row r="4843" spans="1:9" x14ac:dyDescent="0.25">
      <c r="A4843" s="753"/>
      <c r="C4843" s="131" t="s">
        <v>1048</v>
      </c>
      <c r="D4843" s="131">
        <v>16</v>
      </c>
      <c r="E4843" s="131" t="s">
        <v>1048</v>
      </c>
      <c r="F4843" s="767">
        <v>22432.58</v>
      </c>
      <c r="G4843" s="767">
        <v>3475.07</v>
      </c>
      <c r="H4843" s="767">
        <v>25907.65</v>
      </c>
      <c r="I4843" s="768" t="s">
        <v>1587</v>
      </c>
    </row>
    <row r="4844" spans="1:9" x14ac:dyDescent="0.25">
      <c r="A4844" s="753"/>
      <c r="C4844" s="131" t="s">
        <v>1048</v>
      </c>
      <c r="D4844" s="131">
        <v>16</v>
      </c>
      <c r="E4844" s="131" t="s">
        <v>1052</v>
      </c>
      <c r="F4844" s="767">
        <v>38716.980000000003</v>
      </c>
      <c r="G4844" s="767">
        <v>4209</v>
      </c>
      <c r="H4844" s="767">
        <v>42925.98</v>
      </c>
      <c r="I4844" s="768" t="s">
        <v>1588</v>
      </c>
    </row>
    <row r="4845" spans="1:9" x14ac:dyDescent="0.25">
      <c r="A4845" s="753"/>
      <c r="C4845" s="131" t="s">
        <v>244</v>
      </c>
      <c r="D4845" s="131">
        <v>16</v>
      </c>
      <c r="E4845" s="131" t="s">
        <v>244</v>
      </c>
      <c r="F4845" s="767">
        <v>-35052.92</v>
      </c>
      <c r="G4845" s="767">
        <v>-6870.44</v>
      </c>
      <c r="H4845" s="767">
        <v>-41923.360000000001</v>
      </c>
      <c r="I4845" s="768" t="s">
        <v>1592</v>
      </c>
    </row>
    <row r="4846" spans="1:9" x14ac:dyDescent="0.25">
      <c r="A4846" s="753"/>
      <c r="C4846" s="131" t="s">
        <v>244</v>
      </c>
      <c r="D4846" s="131">
        <v>16</v>
      </c>
      <c r="E4846" s="131" t="s">
        <v>1593</v>
      </c>
      <c r="F4846" s="767">
        <v>-15694.35</v>
      </c>
      <c r="G4846" s="767">
        <v>-1458.55</v>
      </c>
      <c r="H4846" s="767">
        <v>-17152.900000000001</v>
      </c>
      <c r="I4846" s="768" t="s">
        <v>1594</v>
      </c>
    </row>
    <row r="4847" spans="1:9" x14ac:dyDescent="0.25">
      <c r="A4847" s="753"/>
      <c r="C4847" s="131" t="s">
        <v>1050</v>
      </c>
      <c r="D4847" s="131">
        <v>16</v>
      </c>
      <c r="E4847" s="131" t="s">
        <v>1050</v>
      </c>
      <c r="F4847" s="767">
        <v>4983.3999999999996</v>
      </c>
      <c r="G4847" s="767">
        <v>963.32</v>
      </c>
      <c r="H4847" s="767">
        <v>5946.72</v>
      </c>
      <c r="I4847" s="768" t="s">
        <v>1595</v>
      </c>
    </row>
    <row r="4848" spans="1:9" x14ac:dyDescent="0.25">
      <c r="A4848" s="753"/>
      <c r="C4848" s="131" t="s">
        <v>1050</v>
      </c>
      <c r="D4848" s="131">
        <v>16</v>
      </c>
      <c r="E4848" s="131" t="s">
        <v>1596</v>
      </c>
      <c r="F4848" s="767">
        <v>10361.23</v>
      </c>
      <c r="G4848" s="767">
        <v>843.5</v>
      </c>
      <c r="H4848" s="767">
        <v>11204.73</v>
      </c>
      <c r="I4848" s="768" t="s">
        <v>1597</v>
      </c>
    </row>
    <row r="4849" spans="1:9" x14ac:dyDescent="0.25">
      <c r="A4849" s="753"/>
      <c r="C4849" s="131" t="s">
        <v>8</v>
      </c>
      <c r="D4849" s="131">
        <v>16</v>
      </c>
      <c r="E4849" s="131" t="s">
        <v>8</v>
      </c>
      <c r="F4849" s="767">
        <v>-1771.96</v>
      </c>
      <c r="G4849" s="767">
        <v>-456.8</v>
      </c>
      <c r="H4849" s="767">
        <v>-2228.7600000000002</v>
      </c>
      <c r="I4849" s="768" t="s">
        <v>1600</v>
      </c>
    </row>
    <row r="4850" spans="1:9" x14ac:dyDescent="0.25">
      <c r="A4850" s="753"/>
      <c r="C4850" s="131" t="s">
        <v>8</v>
      </c>
      <c r="D4850" s="131">
        <v>16</v>
      </c>
      <c r="E4850" s="131" t="s">
        <v>1091</v>
      </c>
      <c r="F4850" s="767">
        <v>-92340.07</v>
      </c>
      <c r="G4850" s="767">
        <v>-17325.650000000001</v>
      </c>
      <c r="H4850" s="767">
        <v>-109665.72</v>
      </c>
      <c r="I4850" s="768" t="s">
        <v>1601</v>
      </c>
    </row>
    <row r="4851" spans="1:9" x14ac:dyDescent="0.25">
      <c r="A4851" s="753"/>
      <c r="C4851" s="131" t="s">
        <v>1054</v>
      </c>
      <c r="D4851" s="131">
        <v>16</v>
      </c>
      <c r="E4851" s="131" t="s">
        <v>1054</v>
      </c>
      <c r="F4851" s="767">
        <v>0.8</v>
      </c>
      <c r="G4851" s="767">
        <v>6.27</v>
      </c>
      <c r="H4851" s="767">
        <v>7.07</v>
      </c>
      <c r="I4851" s="768" t="s">
        <v>1602</v>
      </c>
    </row>
    <row r="4852" spans="1:9" x14ac:dyDescent="0.25">
      <c r="A4852" s="753"/>
      <c r="C4852" s="131" t="s">
        <v>1054</v>
      </c>
      <c r="D4852" s="131">
        <v>16</v>
      </c>
      <c r="E4852" s="131" t="s">
        <v>1092</v>
      </c>
      <c r="F4852" s="767">
        <v>58543.32</v>
      </c>
      <c r="G4852" s="767">
        <v>11708.3</v>
      </c>
      <c r="H4852" s="767">
        <v>70251.62</v>
      </c>
      <c r="I4852" s="768" t="s">
        <v>1603</v>
      </c>
    </row>
    <row r="4853" spans="1:9" x14ac:dyDescent="0.25">
      <c r="A4853" s="753"/>
      <c r="C4853" s="131" t="s">
        <v>4</v>
      </c>
      <c r="D4853" s="131">
        <v>16</v>
      </c>
      <c r="E4853" s="131" t="s">
        <v>4</v>
      </c>
      <c r="F4853" s="767">
        <v>14739.28</v>
      </c>
      <c r="G4853" s="767">
        <v>1447.15</v>
      </c>
      <c r="H4853" s="767">
        <v>16186.43</v>
      </c>
      <c r="I4853" s="768" t="s">
        <v>1604</v>
      </c>
    </row>
    <row r="4854" spans="1:9" x14ac:dyDescent="0.25">
      <c r="A4854" s="753"/>
      <c r="C4854" s="131" t="s">
        <v>5</v>
      </c>
      <c r="D4854" s="131">
        <v>16</v>
      </c>
      <c r="E4854" s="131" t="s">
        <v>5</v>
      </c>
      <c r="F4854" s="767">
        <v>9826.17</v>
      </c>
      <c r="G4854" s="767">
        <v>964.76</v>
      </c>
      <c r="H4854" s="767">
        <v>10790.93</v>
      </c>
      <c r="I4854" s="768" t="s">
        <v>1605</v>
      </c>
    </row>
    <row r="4855" spans="1:9" x14ac:dyDescent="0.25">
      <c r="A4855" s="753"/>
      <c r="C4855" s="131" t="s">
        <v>10</v>
      </c>
      <c r="D4855" s="131">
        <v>16</v>
      </c>
      <c r="E4855" s="131" t="s">
        <v>10</v>
      </c>
      <c r="F4855" s="767">
        <v>-203433.86</v>
      </c>
      <c r="G4855" s="767">
        <v>-17795.72</v>
      </c>
      <c r="H4855" s="767">
        <v>-221229.58</v>
      </c>
      <c r="I4855" s="768" t="s">
        <v>1468</v>
      </c>
    </row>
    <row r="4856" spans="1:9" x14ac:dyDescent="0.25">
      <c r="A4856" s="753"/>
      <c r="C4856" s="131" t="s">
        <v>976</v>
      </c>
      <c r="D4856" s="131">
        <v>16</v>
      </c>
      <c r="E4856" s="131" t="s">
        <v>976</v>
      </c>
      <c r="F4856" s="767">
        <v>125114.1</v>
      </c>
      <c r="G4856" s="767">
        <v>10366.67</v>
      </c>
      <c r="H4856" s="767">
        <v>135480.76999999999</v>
      </c>
      <c r="I4856" s="768" t="s">
        <v>1469</v>
      </c>
    </row>
    <row r="4857" spans="1:9" x14ac:dyDescent="0.25">
      <c r="A4857" s="753"/>
      <c r="C4857" s="131" t="s">
        <v>11</v>
      </c>
      <c r="D4857" s="131">
        <v>16</v>
      </c>
      <c r="E4857" s="131" t="s">
        <v>11</v>
      </c>
      <c r="F4857" s="767">
        <v>-298866.40999999997</v>
      </c>
      <c r="G4857" s="767">
        <v>-36569.339999999997</v>
      </c>
      <c r="H4857" s="767">
        <v>-335435.75</v>
      </c>
      <c r="I4857" s="768" t="s">
        <v>1471</v>
      </c>
    </row>
    <row r="4858" spans="1:9" x14ac:dyDescent="0.25">
      <c r="A4858" s="753"/>
      <c r="C4858" s="131" t="s">
        <v>978</v>
      </c>
      <c r="D4858" s="131">
        <v>16</v>
      </c>
      <c r="E4858" s="131" t="s">
        <v>978</v>
      </c>
      <c r="F4858" s="767">
        <v>176671.26</v>
      </c>
      <c r="G4858" s="767">
        <v>22215.05</v>
      </c>
      <c r="H4858" s="767">
        <v>198886.31</v>
      </c>
      <c r="I4858" s="768" t="s">
        <v>1472</v>
      </c>
    </row>
    <row r="4859" spans="1:9" x14ac:dyDescent="0.25">
      <c r="A4859" s="753"/>
      <c r="C4859" s="131" t="s">
        <v>246</v>
      </c>
      <c r="D4859" s="131">
        <v>16</v>
      </c>
      <c r="E4859" s="131" t="s">
        <v>246</v>
      </c>
      <c r="F4859" s="767">
        <v>-20320.09</v>
      </c>
      <c r="G4859" s="767">
        <v>-4659.7299999999996</v>
      </c>
      <c r="H4859" s="767">
        <v>-24979.82</v>
      </c>
      <c r="I4859" s="768" t="s">
        <v>1474</v>
      </c>
    </row>
    <row r="4860" spans="1:9" x14ac:dyDescent="0.25">
      <c r="A4860" s="753"/>
      <c r="C4860" s="131" t="s">
        <v>980</v>
      </c>
      <c r="D4860" s="131">
        <v>16</v>
      </c>
      <c r="E4860" s="131" t="s">
        <v>980</v>
      </c>
      <c r="F4860" s="767">
        <v>12187.51</v>
      </c>
      <c r="G4860" s="767">
        <v>2375.86</v>
      </c>
      <c r="H4860" s="767">
        <v>14563.37</v>
      </c>
      <c r="I4860" s="768" t="s">
        <v>1475</v>
      </c>
    </row>
    <row r="4861" spans="1:9" x14ac:dyDescent="0.25">
      <c r="A4861" s="753"/>
      <c r="C4861" s="131" t="s">
        <v>14</v>
      </c>
      <c r="D4861" s="131">
        <v>16</v>
      </c>
      <c r="E4861" s="131" t="s">
        <v>14</v>
      </c>
      <c r="F4861" s="767">
        <v>-20161.36</v>
      </c>
      <c r="G4861" s="767">
        <v>-2374.63</v>
      </c>
      <c r="H4861" s="767">
        <v>-22535.99</v>
      </c>
      <c r="I4861" s="768" t="s">
        <v>1477</v>
      </c>
    </row>
    <row r="4862" spans="1:9" x14ac:dyDescent="0.25">
      <c r="A4862" s="753"/>
      <c r="C4862" s="131" t="s">
        <v>982</v>
      </c>
      <c r="D4862" s="131">
        <v>16</v>
      </c>
      <c r="E4862" s="131" t="s">
        <v>982</v>
      </c>
      <c r="F4862" s="767">
        <v>14373.38</v>
      </c>
      <c r="G4862" s="767">
        <v>1696.21</v>
      </c>
      <c r="H4862" s="767">
        <v>16069.59</v>
      </c>
      <c r="I4862" s="768" t="s">
        <v>1478</v>
      </c>
    </row>
    <row r="4863" spans="1:9" x14ac:dyDescent="0.25">
      <c r="A4863" s="753"/>
      <c r="C4863" s="131" t="s">
        <v>17</v>
      </c>
      <c r="D4863" s="131">
        <v>16</v>
      </c>
      <c r="E4863" s="131" t="s">
        <v>17</v>
      </c>
      <c r="F4863" s="767">
        <v>-44656.33</v>
      </c>
      <c r="G4863" s="767">
        <v>-5956.64</v>
      </c>
      <c r="H4863" s="767">
        <v>-50612.97</v>
      </c>
      <c r="I4863" s="768" t="s">
        <v>1480</v>
      </c>
    </row>
    <row r="4864" spans="1:9" x14ac:dyDescent="0.25">
      <c r="A4864" s="753"/>
      <c r="C4864" s="131" t="s">
        <v>984</v>
      </c>
      <c r="D4864" s="131">
        <v>16</v>
      </c>
      <c r="E4864" s="131" t="s">
        <v>984</v>
      </c>
      <c r="F4864" s="767">
        <v>31895.46</v>
      </c>
      <c r="G4864" s="767">
        <v>4254.84</v>
      </c>
      <c r="H4864" s="767">
        <v>36150.300000000003</v>
      </c>
      <c r="I4864" s="768" t="s">
        <v>1481</v>
      </c>
    </row>
    <row r="4865" spans="1:9" x14ac:dyDescent="0.25">
      <c r="A4865" s="753"/>
      <c r="C4865" s="131" t="s">
        <v>247</v>
      </c>
      <c r="D4865" s="131">
        <v>16</v>
      </c>
      <c r="E4865" s="131" t="s">
        <v>247</v>
      </c>
      <c r="F4865" s="767">
        <v>-1433.56</v>
      </c>
      <c r="G4865" s="767">
        <v>-1314.44</v>
      </c>
      <c r="H4865" s="767">
        <v>-2748</v>
      </c>
      <c r="I4865" s="768" t="s">
        <v>1483</v>
      </c>
    </row>
    <row r="4866" spans="1:9" x14ac:dyDescent="0.25">
      <c r="A4866" s="753"/>
      <c r="C4866" s="131" t="s">
        <v>986</v>
      </c>
      <c r="D4866" s="131">
        <v>16</v>
      </c>
      <c r="E4866" s="131" t="s">
        <v>986</v>
      </c>
      <c r="F4866" s="767">
        <v>1023.99</v>
      </c>
      <c r="G4866" s="767">
        <v>938.88</v>
      </c>
      <c r="H4866" s="767">
        <v>1962.87</v>
      </c>
      <c r="I4866" s="768" t="s">
        <v>1484</v>
      </c>
    </row>
    <row r="4867" spans="1:9" x14ac:dyDescent="0.25">
      <c r="A4867" s="753"/>
      <c r="C4867" s="131" t="s">
        <v>19</v>
      </c>
      <c r="D4867" s="131">
        <v>16</v>
      </c>
      <c r="E4867" s="131" t="s">
        <v>19</v>
      </c>
      <c r="F4867" s="767">
        <v>-400.42</v>
      </c>
      <c r="G4867" s="767">
        <v>-2525.73</v>
      </c>
      <c r="H4867" s="767">
        <v>-2926.15</v>
      </c>
      <c r="I4867" s="768" t="s">
        <v>1486</v>
      </c>
    </row>
    <row r="4868" spans="1:9" x14ac:dyDescent="0.25">
      <c r="A4868" s="753"/>
      <c r="C4868" s="131" t="s">
        <v>988</v>
      </c>
      <c r="D4868" s="131">
        <v>16</v>
      </c>
      <c r="E4868" s="131" t="s">
        <v>988</v>
      </c>
      <c r="F4868" s="767">
        <v>242.14</v>
      </c>
      <c r="G4868" s="767">
        <v>1546.64</v>
      </c>
      <c r="H4868" s="767">
        <v>1788.78</v>
      </c>
      <c r="I4868" s="768" t="s">
        <v>1487</v>
      </c>
    </row>
    <row r="4869" spans="1:9" x14ac:dyDescent="0.25">
      <c r="A4869" s="753"/>
      <c r="C4869" s="131" t="s">
        <v>20</v>
      </c>
      <c r="D4869" s="131">
        <v>16</v>
      </c>
      <c r="E4869" s="131" t="s">
        <v>20</v>
      </c>
      <c r="F4869" s="767">
        <v>-4095.97</v>
      </c>
      <c r="G4869" s="767">
        <v>0</v>
      </c>
      <c r="H4869" s="767">
        <v>-4095.97</v>
      </c>
      <c r="I4869" s="768" t="s">
        <v>1489</v>
      </c>
    </row>
    <row r="4870" spans="1:9" x14ac:dyDescent="0.25">
      <c r="A4870" s="753"/>
      <c r="C4870" s="131" t="s">
        <v>990</v>
      </c>
      <c r="D4870" s="131">
        <v>16</v>
      </c>
      <c r="E4870" s="131" t="s">
        <v>990</v>
      </c>
      <c r="F4870" s="767">
        <v>2948.1</v>
      </c>
      <c r="G4870" s="767">
        <v>0</v>
      </c>
      <c r="H4870" s="767">
        <v>2948.1</v>
      </c>
      <c r="I4870" s="768" t="s">
        <v>1490</v>
      </c>
    </row>
    <row r="4871" spans="1:9" x14ac:dyDescent="0.25">
      <c r="A4871" s="753"/>
      <c r="C4871" s="131" t="s">
        <v>248</v>
      </c>
      <c r="D4871" s="131">
        <v>16</v>
      </c>
      <c r="E4871" s="131" t="s">
        <v>248</v>
      </c>
      <c r="F4871" s="767">
        <v>-206.7</v>
      </c>
      <c r="G4871" s="767">
        <v>0</v>
      </c>
      <c r="H4871" s="767">
        <v>-206.7</v>
      </c>
      <c r="I4871" s="768" t="s">
        <v>1492</v>
      </c>
    </row>
    <row r="4872" spans="1:9" x14ac:dyDescent="0.25">
      <c r="A4872" s="753"/>
      <c r="C4872" s="131" t="s">
        <v>992</v>
      </c>
      <c r="D4872" s="131">
        <v>16</v>
      </c>
      <c r="E4872" s="131" t="s">
        <v>992</v>
      </c>
      <c r="F4872" s="767">
        <v>136.69999999999999</v>
      </c>
      <c r="G4872" s="767">
        <v>0</v>
      </c>
      <c r="H4872" s="767">
        <v>136.69999999999999</v>
      </c>
      <c r="I4872" s="768" t="s">
        <v>1493</v>
      </c>
    </row>
    <row r="4873" spans="1:9" x14ac:dyDescent="0.25">
      <c r="A4873" s="753"/>
      <c r="C4873" s="131" t="s">
        <v>71</v>
      </c>
      <c r="D4873" s="131">
        <v>16</v>
      </c>
      <c r="E4873" s="131" t="s">
        <v>71</v>
      </c>
      <c r="F4873" s="767">
        <v>-99477.86</v>
      </c>
      <c r="G4873" s="767">
        <v>-14177.89</v>
      </c>
      <c r="H4873" s="767">
        <v>-113655.75</v>
      </c>
      <c r="I4873" s="768" t="s">
        <v>1495</v>
      </c>
    </row>
    <row r="4874" spans="1:9" x14ac:dyDescent="0.25">
      <c r="A4874" s="753"/>
      <c r="C4874" s="131" t="s">
        <v>994</v>
      </c>
      <c r="D4874" s="131">
        <v>16</v>
      </c>
      <c r="E4874" s="131" t="s">
        <v>994</v>
      </c>
      <c r="F4874" s="767">
        <v>74063.83</v>
      </c>
      <c r="G4874" s="767">
        <v>10128.51</v>
      </c>
      <c r="H4874" s="767">
        <v>84192.34</v>
      </c>
      <c r="I4874" s="768" t="s">
        <v>1496</v>
      </c>
    </row>
    <row r="4875" spans="1:9" x14ac:dyDescent="0.25">
      <c r="A4875" s="753"/>
      <c r="C4875" s="131" t="s">
        <v>72</v>
      </c>
      <c r="D4875" s="131">
        <v>16</v>
      </c>
      <c r="E4875" s="131" t="s">
        <v>72</v>
      </c>
      <c r="F4875" s="767">
        <v>-237960.89</v>
      </c>
      <c r="G4875" s="767">
        <v>-42435.12</v>
      </c>
      <c r="H4875" s="767">
        <v>-280396.01</v>
      </c>
      <c r="I4875" s="768" t="s">
        <v>1498</v>
      </c>
    </row>
    <row r="4876" spans="1:9" x14ac:dyDescent="0.25">
      <c r="A4876" s="753"/>
      <c r="C4876" s="131" t="s">
        <v>996</v>
      </c>
      <c r="D4876" s="131">
        <v>16</v>
      </c>
      <c r="E4876" s="131" t="s">
        <v>996</v>
      </c>
      <c r="F4876" s="767">
        <v>170036.69</v>
      </c>
      <c r="G4876" s="767">
        <v>30341.48</v>
      </c>
      <c r="H4876" s="767">
        <v>200378.17</v>
      </c>
      <c r="I4876" s="768" t="s">
        <v>1499</v>
      </c>
    </row>
    <row r="4877" spans="1:9" x14ac:dyDescent="0.25">
      <c r="A4877" s="753"/>
      <c r="C4877" s="131" t="s">
        <v>249</v>
      </c>
      <c r="D4877" s="131">
        <v>16</v>
      </c>
      <c r="E4877" s="131" t="s">
        <v>249</v>
      </c>
      <c r="F4877" s="767">
        <v>-91941.16</v>
      </c>
      <c r="G4877" s="767">
        <v>-4351.46</v>
      </c>
      <c r="H4877" s="767">
        <v>-96292.62</v>
      </c>
      <c r="I4877" s="768" t="s">
        <v>1500</v>
      </c>
    </row>
    <row r="4878" spans="1:9" x14ac:dyDescent="0.25">
      <c r="A4878" s="753"/>
      <c r="C4878" s="131" t="s">
        <v>997</v>
      </c>
      <c r="D4878" s="131">
        <v>16</v>
      </c>
      <c r="E4878" s="131" t="s">
        <v>997</v>
      </c>
      <c r="F4878" s="767">
        <v>65356.25</v>
      </c>
      <c r="G4878" s="767">
        <v>3108.01</v>
      </c>
      <c r="H4878" s="767">
        <v>68464.259999999995</v>
      </c>
      <c r="I4878" s="768" t="s">
        <v>1501</v>
      </c>
    </row>
    <row r="4879" spans="1:9" x14ac:dyDescent="0.25">
      <c r="A4879" s="753"/>
      <c r="C4879" s="131" t="s">
        <v>75</v>
      </c>
      <c r="D4879" s="131">
        <v>16</v>
      </c>
      <c r="E4879" s="131" t="s">
        <v>75</v>
      </c>
      <c r="F4879" s="767">
        <v>-80671.759999999995</v>
      </c>
      <c r="G4879" s="767">
        <v>-12919.79</v>
      </c>
      <c r="H4879" s="767">
        <v>-93591.55</v>
      </c>
      <c r="I4879" s="768" t="s">
        <v>1503</v>
      </c>
    </row>
    <row r="4880" spans="1:9" x14ac:dyDescent="0.25">
      <c r="A4880" s="753"/>
      <c r="C4880" s="131" t="s">
        <v>999</v>
      </c>
      <c r="D4880" s="131">
        <v>16</v>
      </c>
      <c r="E4880" s="131" t="s">
        <v>999</v>
      </c>
      <c r="F4880" s="767">
        <v>54860.78</v>
      </c>
      <c r="G4880" s="767">
        <v>8463.65</v>
      </c>
      <c r="H4880" s="767">
        <v>63324.43</v>
      </c>
      <c r="I4880" s="768" t="s">
        <v>1504</v>
      </c>
    </row>
    <row r="4881" spans="1:9" x14ac:dyDescent="0.25">
      <c r="A4881" s="753"/>
      <c r="C4881" s="131" t="s">
        <v>76</v>
      </c>
      <c r="D4881" s="131">
        <v>16</v>
      </c>
      <c r="E4881" s="131" t="s">
        <v>76</v>
      </c>
      <c r="F4881" s="767">
        <v>-44918.95</v>
      </c>
      <c r="G4881" s="767">
        <v>-12043.76</v>
      </c>
      <c r="H4881" s="767">
        <v>-56962.71</v>
      </c>
      <c r="I4881" s="768" t="s">
        <v>1506</v>
      </c>
    </row>
    <row r="4882" spans="1:9" x14ac:dyDescent="0.25">
      <c r="A4882" s="753"/>
      <c r="C4882" s="131" t="s">
        <v>1001</v>
      </c>
      <c r="D4882" s="131">
        <v>16</v>
      </c>
      <c r="E4882" s="131" t="s">
        <v>1001</v>
      </c>
      <c r="F4882" s="767">
        <v>29209.96</v>
      </c>
      <c r="G4882" s="767">
        <v>7830.74</v>
      </c>
      <c r="H4882" s="767">
        <v>37040.699999999997</v>
      </c>
      <c r="I4882" s="768" t="s">
        <v>1507</v>
      </c>
    </row>
    <row r="4883" spans="1:9" x14ac:dyDescent="0.25">
      <c r="A4883" s="753"/>
      <c r="C4883" s="131" t="s">
        <v>250</v>
      </c>
      <c r="D4883" s="131">
        <v>16</v>
      </c>
      <c r="E4883" s="131" t="s">
        <v>250</v>
      </c>
      <c r="F4883" s="767">
        <v>-8792.64</v>
      </c>
      <c r="G4883" s="767">
        <v>-2450.0300000000002</v>
      </c>
      <c r="H4883" s="767">
        <v>-11242.67</v>
      </c>
      <c r="I4883" s="768" t="s">
        <v>1509</v>
      </c>
    </row>
    <row r="4884" spans="1:9" x14ac:dyDescent="0.25">
      <c r="A4884" s="753"/>
      <c r="C4884" s="131" t="s">
        <v>1003</v>
      </c>
      <c r="D4884" s="131">
        <v>16</v>
      </c>
      <c r="E4884" s="131" t="s">
        <v>1003</v>
      </c>
      <c r="F4884" s="767">
        <v>6066.48</v>
      </c>
      <c r="G4884" s="767">
        <v>1702.93</v>
      </c>
      <c r="H4884" s="767">
        <v>7769.41</v>
      </c>
      <c r="I4884" s="768" t="s">
        <v>1510</v>
      </c>
    </row>
    <row r="4885" spans="1:9" x14ac:dyDescent="0.25">
      <c r="A4885" s="753"/>
      <c r="C4885" s="131" t="s">
        <v>79</v>
      </c>
      <c r="D4885" s="131">
        <v>16</v>
      </c>
      <c r="E4885" s="131" t="s">
        <v>79</v>
      </c>
      <c r="F4885" s="767">
        <v>-135308.69</v>
      </c>
      <c r="G4885" s="767">
        <v>-21474.45</v>
      </c>
      <c r="H4885" s="767">
        <v>-156783.14000000001</v>
      </c>
      <c r="I4885" s="768" t="s">
        <v>1512</v>
      </c>
    </row>
    <row r="4886" spans="1:9" x14ac:dyDescent="0.25">
      <c r="A4886" s="753"/>
      <c r="C4886" s="131" t="s">
        <v>1005</v>
      </c>
      <c r="D4886" s="131">
        <v>16</v>
      </c>
      <c r="E4886" s="131" t="s">
        <v>1005</v>
      </c>
      <c r="F4886" s="767">
        <v>95545.56</v>
      </c>
      <c r="G4886" s="767">
        <v>15633.54</v>
      </c>
      <c r="H4886" s="767">
        <v>111179.1</v>
      </c>
      <c r="I4886" s="768" t="s">
        <v>1513</v>
      </c>
    </row>
    <row r="4887" spans="1:9" x14ac:dyDescent="0.25">
      <c r="A4887" s="753"/>
      <c r="C4887" s="131" t="s">
        <v>157</v>
      </c>
      <c r="D4887" s="131">
        <v>16</v>
      </c>
      <c r="E4887" s="131" t="s">
        <v>157</v>
      </c>
      <c r="F4887" s="767">
        <v>-14674.54</v>
      </c>
      <c r="G4887" s="767">
        <v>-5744.3</v>
      </c>
      <c r="H4887" s="767">
        <v>-20418.84</v>
      </c>
      <c r="I4887" s="768" t="s">
        <v>1515</v>
      </c>
    </row>
    <row r="4888" spans="1:9" x14ac:dyDescent="0.25">
      <c r="A4888" s="753"/>
      <c r="C4888" s="131" t="s">
        <v>1007</v>
      </c>
      <c r="D4888" s="131">
        <v>16</v>
      </c>
      <c r="E4888" s="131" t="s">
        <v>1007</v>
      </c>
      <c r="F4888" s="767">
        <v>10191.86</v>
      </c>
      <c r="G4888" s="767">
        <v>3917.51</v>
      </c>
      <c r="H4888" s="767">
        <v>14109.37</v>
      </c>
      <c r="I4888" s="768" t="s">
        <v>1516</v>
      </c>
    </row>
    <row r="4889" spans="1:9" x14ac:dyDescent="0.25">
      <c r="A4889" s="753"/>
      <c r="C4889" s="131" t="s">
        <v>158</v>
      </c>
      <c r="D4889" s="131">
        <v>16</v>
      </c>
      <c r="E4889" s="131" t="s">
        <v>158</v>
      </c>
      <c r="F4889" s="767">
        <v>-78826.09</v>
      </c>
      <c r="G4889" s="767">
        <v>-13482.55</v>
      </c>
      <c r="H4889" s="767">
        <v>-92308.64</v>
      </c>
      <c r="I4889" s="768" t="s">
        <v>1518</v>
      </c>
    </row>
    <row r="4890" spans="1:9" x14ac:dyDescent="0.25">
      <c r="A4890" s="753"/>
      <c r="C4890" s="131" t="s">
        <v>1009</v>
      </c>
      <c r="D4890" s="131">
        <v>16</v>
      </c>
      <c r="E4890" s="131" t="s">
        <v>1009</v>
      </c>
      <c r="F4890" s="767">
        <v>59524.02</v>
      </c>
      <c r="G4890" s="767">
        <v>9512.77</v>
      </c>
      <c r="H4890" s="767">
        <v>69036.789999999994</v>
      </c>
      <c r="I4890" s="768" t="s">
        <v>1519</v>
      </c>
    </row>
    <row r="4891" spans="1:9" x14ac:dyDescent="0.25">
      <c r="A4891" s="753"/>
      <c r="C4891" s="131" t="s">
        <v>163</v>
      </c>
      <c r="D4891" s="131">
        <v>16</v>
      </c>
      <c r="E4891" s="131" t="s">
        <v>163</v>
      </c>
      <c r="F4891" s="767">
        <v>-424504.46</v>
      </c>
      <c r="G4891" s="767">
        <v>-19252.650000000001</v>
      </c>
      <c r="H4891" s="767">
        <v>-443757.11</v>
      </c>
      <c r="I4891" s="768" t="s">
        <v>1521</v>
      </c>
    </row>
    <row r="4892" spans="1:9" x14ac:dyDescent="0.25">
      <c r="A4892" s="753"/>
      <c r="C4892" s="131" t="s">
        <v>1011</v>
      </c>
      <c r="D4892" s="131">
        <v>16</v>
      </c>
      <c r="E4892" s="131" t="s">
        <v>1011</v>
      </c>
      <c r="F4892" s="767">
        <v>322952.71999999997</v>
      </c>
      <c r="G4892" s="767">
        <v>13590.86</v>
      </c>
      <c r="H4892" s="767">
        <v>336543.58</v>
      </c>
      <c r="I4892" s="768" t="s">
        <v>1522</v>
      </c>
    </row>
    <row r="4893" spans="1:9" x14ac:dyDescent="0.25">
      <c r="A4893" s="753"/>
      <c r="C4893" s="131" t="s">
        <v>1011</v>
      </c>
      <c r="D4893" s="131">
        <v>16</v>
      </c>
      <c r="E4893" s="131" t="s">
        <v>1523</v>
      </c>
      <c r="F4893" s="767">
        <v>14634.81</v>
      </c>
      <c r="G4893" s="767">
        <v>1119.28</v>
      </c>
      <c r="H4893" s="767">
        <v>15754.09</v>
      </c>
      <c r="I4893" s="768" t="s">
        <v>1524</v>
      </c>
    </row>
    <row r="4894" spans="1:9" x14ac:dyDescent="0.25">
      <c r="A4894" s="753"/>
      <c r="C4894" s="131" t="s">
        <v>1014</v>
      </c>
      <c r="D4894" s="131">
        <v>16</v>
      </c>
      <c r="E4894" s="131" t="s">
        <v>1014</v>
      </c>
      <c r="F4894" s="767">
        <v>-460130.66</v>
      </c>
      <c r="G4894" s="767">
        <v>-117139.92</v>
      </c>
      <c r="H4894" s="767">
        <v>-577270.57999999996</v>
      </c>
      <c r="I4894" s="768" t="s">
        <v>1528</v>
      </c>
    </row>
    <row r="4895" spans="1:9" x14ac:dyDescent="0.25">
      <c r="A4895" s="753"/>
      <c r="C4895" s="131" t="s">
        <v>1015</v>
      </c>
      <c r="D4895" s="131">
        <v>16</v>
      </c>
      <c r="E4895" s="131" t="s">
        <v>1015</v>
      </c>
      <c r="F4895" s="767">
        <v>-43509.4</v>
      </c>
      <c r="G4895" s="767">
        <v>-6251.55</v>
      </c>
      <c r="H4895" s="767">
        <v>-49760.95</v>
      </c>
      <c r="I4895" s="768" t="s">
        <v>1529</v>
      </c>
    </row>
    <row r="4896" spans="1:9" x14ac:dyDescent="0.25">
      <c r="A4896" s="753"/>
      <c r="C4896" s="131" t="s">
        <v>1015</v>
      </c>
      <c r="D4896" s="131">
        <v>16</v>
      </c>
      <c r="E4896" s="131" t="s">
        <v>1016</v>
      </c>
      <c r="F4896" s="767">
        <v>-51591.54</v>
      </c>
      <c r="G4896" s="767">
        <v>-7747.54</v>
      </c>
      <c r="H4896" s="767">
        <v>-59339.08</v>
      </c>
      <c r="I4896" s="768" t="s">
        <v>1530</v>
      </c>
    </row>
    <row r="4897" spans="1:9" x14ac:dyDescent="0.25">
      <c r="A4897" s="753"/>
      <c r="C4897" s="131" t="s">
        <v>1017</v>
      </c>
      <c r="D4897" s="131">
        <v>16</v>
      </c>
      <c r="E4897" s="131" t="s">
        <v>1017</v>
      </c>
      <c r="F4897" s="767">
        <v>346897.11</v>
      </c>
      <c r="G4897" s="767">
        <v>87009.08</v>
      </c>
      <c r="H4897" s="767">
        <v>433906.19</v>
      </c>
      <c r="I4897" s="768" t="s">
        <v>1531</v>
      </c>
    </row>
    <row r="4898" spans="1:9" x14ac:dyDescent="0.25">
      <c r="A4898" s="753"/>
      <c r="C4898" s="131" t="s">
        <v>1018</v>
      </c>
      <c r="D4898" s="131">
        <v>16</v>
      </c>
      <c r="E4898" s="131" t="s">
        <v>1018</v>
      </c>
      <c r="F4898" s="767">
        <v>28074.54</v>
      </c>
      <c r="G4898" s="767">
        <v>4051.37</v>
      </c>
      <c r="H4898" s="767">
        <v>32125.91</v>
      </c>
      <c r="I4898" s="768" t="s">
        <v>1532</v>
      </c>
    </row>
    <row r="4899" spans="1:9" x14ac:dyDescent="0.25">
      <c r="A4899" s="753"/>
      <c r="C4899" s="131" t="s">
        <v>1018</v>
      </c>
      <c r="D4899" s="131">
        <v>16</v>
      </c>
      <c r="E4899" s="131" t="s">
        <v>1019</v>
      </c>
      <c r="F4899" s="767">
        <v>34304.589999999997</v>
      </c>
      <c r="G4899" s="767">
        <v>4971.3999999999996</v>
      </c>
      <c r="H4899" s="767">
        <v>39275.99</v>
      </c>
      <c r="I4899" s="768" t="s">
        <v>1533</v>
      </c>
    </row>
    <row r="4900" spans="1:9" x14ac:dyDescent="0.25">
      <c r="A4900" s="753"/>
      <c r="C4900" s="131" t="s">
        <v>1012</v>
      </c>
      <c r="D4900" s="131">
        <v>16</v>
      </c>
      <c r="E4900" s="131" t="s">
        <v>1012</v>
      </c>
      <c r="F4900" s="767">
        <v>-41204.53</v>
      </c>
      <c r="G4900" s="767">
        <v>-9632.99</v>
      </c>
      <c r="H4900" s="767">
        <v>-50837.52</v>
      </c>
      <c r="I4900" s="768" t="s">
        <v>1534</v>
      </c>
    </row>
    <row r="4901" spans="1:9" x14ac:dyDescent="0.25">
      <c r="A4901" s="753"/>
      <c r="C4901" s="131">
        <v>493</v>
      </c>
      <c r="D4901" s="131">
        <v>16</v>
      </c>
      <c r="E4901" s="131">
        <v>493</v>
      </c>
      <c r="F4901" s="767">
        <v>-18241.849999999999</v>
      </c>
      <c r="G4901" s="767">
        <v>-6515.27</v>
      </c>
      <c r="H4901" s="767">
        <v>-24757.119999999999</v>
      </c>
      <c r="I4901" s="768" t="s">
        <v>1536</v>
      </c>
    </row>
    <row r="4902" spans="1:9" x14ac:dyDescent="0.25">
      <c r="A4902" s="753"/>
      <c r="C4902" s="131">
        <v>693</v>
      </c>
      <c r="D4902" s="131">
        <v>16</v>
      </c>
      <c r="E4902" s="131">
        <v>693</v>
      </c>
      <c r="F4902" s="767">
        <v>15457.66</v>
      </c>
      <c r="G4902" s="767">
        <v>5826.33</v>
      </c>
      <c r="H4902" s="767">
        <v>21283.99</v>
      </c>
      <c r="I4902" s="768" t="s">
        <v>1537</v>
      </c>
    </row>
    <row r="4903" spans="1:9" x14ac:dyDescent="0.25">
      <c r="A4903" s="753">
        <v>906718</v>
      </c>
      <c r="B4903" s="130">
        <v>450</v>
      </c>
      <c r="E4903" s="131"/>
    </row>
    <row r="4904" spans="1:9" x14ac:dyDescent="0.25">
      <c r="A4904" s="753">
        <v>906722</v>
      </c>
      <c r="B4904" s="130">
        <v>12344</v>
      </c>
      <c r="E4904" s="131"/>
    </row>
    <row r="4905" spans="1:9" x14ac:dyDescent="0.25">
      <c r="A4905" s="753">
        <v>906724</v>
      </c>
      <c r="B4905" s="130">
        <v>4125048</v>
      </c>
      <c r="E4905" s="131"/>
    </row>
    <row r="4906" spans="1:9" x14ac:dyDescent="0.25">
      <c r="A4906" s="753">
        <v>906726</v>
      </c>
      <c r="B4906" s="130">
        <v>1743951</v>
      </c>
      <c r="C4906" s="131" t="s">
        <v>180</v>
      </c>
      <c r="D4906" s="131">
        <v>16</v>
      </c>
      <c r="E4906" s="131" t="s">
        <v>180</v>
      </c>
      <c r="F4906" s="767">
        <v>-223158.6</v>
      </c>
      <c r="G4906" s="767">
        <v>-30673.15</v>
      </c>
      <c r="H4906" s="767">
        <v>-253831.75</v>
      </c>
      <c r="I4906" s="768" t="s">
        <v>1539</v>
      </c>
    </row>
    <row r="4907" spans="1:9" x14ac:dyDescent="0.25">
      <c r="A4907" s="753"/>
      <c r="C4907" s="131" t="s">
        <v>1022</v>
      </c>
      <c r="D4907" s="131">
        <v>16</v>
      </c>
      <c r="E4907" s="131" t="s">
        <v>1022</v>
      </c>
      <c r="F4907" s="767">
        <v>47986.87</v>
      </c>
      <c r="G4907" s="767">
        <v>6673.84</v>
      </c>
      <c r="H4907" s="767">
        <v>54660.71</v>
      </c>
      <c r="I4907" s="768" t="s">
        <v>1540</v>
      </c>
    </row>
    <row r="4908" spans="1:9" x14ac:dyDescent="0.25">
      <c r="A4908" s="753"/>
      <c r="C4908" s="131" t="s">
        <v>181</v>
      </c>
      <c r="D4908" s="131">
        <v>16</v>
      </c>
      <c r="E4908" s="131" t="s">
        <v>181</v>
      </c>
      <c r="F4908" s="767">
        <v>-249129.49</v>
      </c>
      <c r="G4908" s="767">
        <v>-49974.2</v>
      </c>
      <c r="H4908" s="767">
        <v>-299103.69</v>
      </c>
      <c r="I4908" s="768" t="s">
        <v>1542</v>
      </c>
    </row>
    <row r="4909" spans="1:9" x14ac:dyDescent="0.25">
      <c r="A4909" s="753"/>
      <c r="C4909" s="131" t="s">
        <v>1024</v>
      </c>
      <c r="D4909" s="131">
        <v>16</v>
      </c>
      <c r="E4909" s="131" t="s">
        <v>1024</v>
      </c>
      <c r="F4909" s="767">
        <v>51261.2</v>
      </c>
      <c r="G4909" s="767">
        <v>9755.92</v>
      </c>
      <c r="H4909" s="767">
        <v>61017.120000000003</v>
      </c>
      <c r="I4909" s="768" t="s">
        <v>1543</v>
      </c>
    </row>
    <row r="4910" spans="1:9" x14ac:dyDescent="0.25">
      <c r="A4910" s="753"/>
      <c r="C4910" s="131" t="s">
        <v>240</v>
      </c>
      <c r="D4910" s="131">
        <v>16</v>
      </c>
      <c r="E4910" s="131" t="s">
        <v>240</v>
      </c>
      <c r="F4910" s="767">
        <v>-24001.56</v>
      </c>
      <c r="G4910" s="767">
        <v>-8925.3700000000008</v>
      </c>
      <c r="H4910" s="767">
        <v>-32926.93</v>
      </c>
      <c r="I4910" s="768" t="s">
        <v>1545</v>
      </c>
    </row>
    <row r="4911" spans="1:9" x14ac:dyDescent="0.25">
      <c r="A4911" s="753"/>
      <c r="C4911" s="131" t="s">
        <v>1026</v>
      </c>
      <c r="D4911" s="131">
        <v>16</v>
      </c>
      <c r="E4911" s="131" t="s">
        <v>1026</v>
      </c>
      <c r="F4911" s="767">
        <v>4685.3999999999996</v>
      </c>
      <c r="G4911" s="767">
        <v>1665.67</v>
      </c>
      <c r="H4911" s="767">
        <v>6351.07</v>
      </c>
      <c r="I4911" s="768" t="s">
        <v>1546</v>
      </c>
    </row>
    <row r="4912" spans="1:9" x14ac:dyDescent="0.25">
      <c r="A4912" s="753"/>
      <c r="C4912" s="131" t="s">
        <v>184</v>
      </c>
      <c r="D4912" s="131">
        <v>16</v>
      </c>
      <c r="E4912" s="131" t="s">
        <v>184</v>
      </c>
      <c r="F4912" s="767">
        <v>-27656.76</v>
      </c>
      <c r="G4912" s="767">
        <v>-3470.04</v>
      </c>
      <c r="H4912" s="767">
        <v>-31126.799999999999</v>
      </c>
      <c r="I4912" s="768" t="s">
        <v>1548</v>
      </c>
    </row>
    <row r="4913" spans="1:9" x14ac:dyDescent="0.25">
      <c r="A4913" s="753"/>
      <c r="C4913" s="131" t="s">
        <v>1028</v>
      </c>
      <c r="D4913" s="131">
        <v>16</v>
      </c>
      <c r="E4913" s="131" t="s">
        <v>1028</v>
      </c>
      <c r="F4913" s="767">
        <v>8604.49</v>
      </c>
      <c r="G4913" s="767">
        <v>1078.93</v>
      </c>
      <c r="H4913" s="767">
        <v>9683.42</v>
      </c>
      <c r="I4913" s="768" t="s">
        <v>1549</v>
      </c>
    </row>
    <row r="4914" spans="1:9" x14ac:dyDescent="0.25">
      <c r="A4914" s="753"/>
      <c r="C4914" s="131" t="s">
        <v>185</v>
      </c>
      <c r="D4914" s="131">
        <v>16</v>
      </c>
      <c r="E4914" s="131" t="s">
        <v>185</v>
      </c>
      <c r="F4914" s="767">
        <v>-55793.89</v>
      </c>
      <c r="G4914" s="767">
        <v>-7683.68</v>
      </c>
      <c r="H4914" s="767">
        <v>-63477.57</v>
      </c>
      <c r="I4914" s="768" t="s">
        <v>1551</v>
      </c>
    </row>
    <row r="4915" spans="1:9" x14ac:dyDescent="0.25">
      <c r="A4915" s="753"/>
      <c r="C4915" s="131" t="s">
        <v>1030</v>
      </c>
      <c r="D4915" s="131">
        <v>16</v>
      </c>
      <c r="E4915" s="131" t="s">
        <v>1030</v>
      </c>
      <c r="F4915" s="767">
        <v>15652.1</v>
      </c>
      <c r="G4915" s="767">
        <v>2150.73</v>
      </c>
      <c r="H4915" s="767">
        <v>17802.830000000002</v>
      </c>
      <c r="I4915" s="768" t="s">
        <v>1552</v>
      </c>
    </row>
    <row r="4916" spans="1:9" x14ac:dyDescent="0.25">
      <c r="A4916" s="753"/>
      <c r="C4916" s="131" t="s">
        <v>241</v>
      </c>
      <c r="D4916" s="131">
        <v>16</v>
      </c>
      <c r="E4916" s="131" t="s">
        <v>241</v>
      </c>
      <c r="F4916" s="767">
        <v>-3684.22</v>
      </c>
      <c r="G4916" s="767">
        <v>-1872.72</v>
      </c>
      <c r="H4916" s="767">
        <v>-5556.94</v>
      </c>
      <c r="I4916" s="768" t="s">
        <v>1554</v>
      </c>
    </row>
    <row r="4917" spans="1:9" x14ac:dyDescent="0.25">
      <c r="A4917" s="753"/>
      <c r="C4917" s="131" t="s">
        <v>1032</v>
      </c>
      <c r="D4917" s="131">
        <v>16</v>
      </c>
      <c r="E4917" s="131" t="s">
        <v>1032</v>
      </c>
      <c r="F4917" s="767">
        <v>935.2</v>
      </c>
      <c r="G4917" s="767">
        <v>545.98</v>
      </c>
      <c r="H4917" s="767">
        <v>1481.18</v>
      </c>
      <c r="I4917" s="768" t="s">
        <v>1555</v>
      </c>
    </row>
    <row r="4918" spans="1:9" x14ac:dyDescent="0.25">
      <c r="A4918" s="753"/>
      <c r="C4918" s="131" t="s">
        <v>187</v>
      </c>
      <c r="D4918" s="131">
        <v>16</v>
      </c>
      <c r="E4918" s="131" t="s">
        <v>187</v>
      </c>
      <c r="F4918" s="767">
        <v>-13870.67</v>
      </c>
      <c r="G4918" s="767">
        <v>-120</v>
      </c>
      <c r="H4918" s="767">
        <v>-13990.67</v>
      </c>
      <c r="I4918" s="768" t="s">
        <v>1557</v>
      </c>
    </row>
    <row r="4919" spans="1:9" x14ac:dyDescent="0.25">
      <c r="A4919" s="753"/>
      <c r="C4919" s="131" t="s">
        <v>1034</v>
      </c>
      <c r="D4919" s="131">
        <v>16</v>
      </c>
      <c r="E4919" s="131" t="s">
        <v>1034</v>
      </c>
      <c r="F4919" s="767">
        <v>12869.93</v>
      </c>
      <c r="G4919" s="767">
        <v>120</v>
      </c>
      <c r="H4919" s="767">
        <v>12989.93</v>
      </c>
      <c r="I4919" s="768" t="s">
        <v>1558</v>
      </c>
    </row>
    <row r="4920" spans="1:9" x14ac:dyDescent="0.25">
      <c r="A4920" s="753"/>
      <c r="C4920" s="131" t="s">
        <v>188</v>
      </c>
      <c r="D4920" s="131">
        <v>16</v>
      </c>
      <c r="E4920" s="131" t="s">
        <v>188</v>
      </c>
      <c r="F4920" s="767">
        <v>-18862.04</v>
      </c>
      <c r="G4920" s="767">
        <v>-679.95</v>
      </c>
      <c r="H4920" s="767">
        <v>-19541.990000000002</v>
      </c>
      <c r="I4920" s="768" t="s">
        <v>1560</v>
      </c>
    </row>
    <row r="4921" spans="1:9" x14ac:dyDescent="0.25">
      <c r="A4921" s="753"/>
      <c r="C4921" s="131" t="s">
        <v>1036</v>
      </c>
      <c r="D4921" s="131">
        <v>16</v>
      </c>
      <c r="E4921" s="131" t="s">
        <v>1036</v>
      </c>
      <c r="F4921" s="767">
        <v>17651.16</v>
      </c>
      <c r="G4921" s="767">
        <v>605</v>
      </c>
      <c r="H4921" s="767">
        <v>18256.16</v>
      </c>
      <c r="I4921" s="768" t="s">
        <v>1561</v>
      </c>
    </row>
    <row r="4922" spans="1:9" x14ac:dyDescent="0.25">
      <c r="A4922" s="753"/>
      <c r="C4922" s="131" t="s">
        <v>242</v>
      </c>
      <c r="D4922" s="131">
        <v>16</v>
      </c>
      <c r="E4922" s="131" t="s">
        <v>242</v>
      </c>
      <c r="F4922" s="767">
        <v>-4675</v>
      </c>
      <c r="G4922" s="767">
        <v>0</v>
      </c>
      <c r="H4922" s="767">
        <v>-4675</v>
      </c>
      <c r="I4922" s="768" t="s">
        <v>1563</v>
      </c>
    </row>
    <row r="4923" spans="1:9" x14ac:dyDescent="0.25">
      <c r="A4923" s="753"/>
      <c r="C4923" s="131" t="s">
        <v>1038</v>
      </c>
      <c r="D4923" s="131">
        <v>16</v>
      </c>
      <c r="E4923" s="131" t="s">
        <v>1038</v>
      </c>
      <c r="F4923" s="767">
        <v>4609</v>
      </c>
      <c r="G4923" s="767">
        <v>0</v>
      </c>
      <c r="H4923" s="767">
        <v>4609</v>
      </c>
      <c r="I4923" s="768" t="s">
        <v>1564</v>
      </c>
    </row>
    <row r="4924" spans="1:9" x14ac:dyDescent="0.25">
      <c r="A4924" s="753"/>
      <c r="C4924" s="131" t="s">
        <v>191</v>
      </c>
      <c r="D4924" s="131">
        <v>16</v>
      </c>
      <c r="E4924" s="131" t="s">
        <v>191</v>
      </c>
      <c r="F4924" s="767">
        <v>-40374.730000000003</v>
      </c>
      <c r="G4924" s="767">
        <v>-4808.7</v>
      </c>
      <c r="H4924" s="767">
        <v>-45183.43</v>
      </c>
      <c r="I4924" s="768" t="s">
        <v>1566</v>
      </c>
    </row>
    <row r="4925" spans="1:9" x14ac:dyDescent="0.25">
      <c r="A4925" s="753"/>
      <c r="C4925" s="131" t="s">
        <v>1040</v>
      </c>
      <c r="D4925" s="131">
        <v>16</v>
      </c>
      <c r="E4925" s="131" t="s">
        <v>1040</v>
      </c>
      <c r="F4925" s="767">
        <v>13595.03</v>
      </c>
      <c r="G4925" s="767">
        <v>1629.14</v>
      </c>
      <c r="H4925" s="767">
        <v>15224.17</v>
      </c>
      <c r="I4925" s="768" t="s">
        <v>1567</v>
      </c>
    </row>
    <row r="4926" spans="1:9" x14ac:dyDescent="0.25">
      <c r="A4926" s="753"/>
      <c r="C4926" s="131" t="s">
        <v>192</v>
      </c>
      <c r="D4926" s="131">
        <v>16</v>
      </c>
      <c r="E4926" s="131" t="s">
        <v>192</v>
      </c>
      <c r="F4926" s="767">
        <v>-74036.63</v>
      </c>
      <c r="G4926" s="767">
        <v>-12430.06</v>
      </c>
      <c r="H4926" s="767">
        <v>-86466.69</v>
      </c>
      <c r="I4926" s="768" t="s">
        <v>1569</v>
      </c>
    </row>
    <row r="4927" spans="1:9" x14ac:dyDescent="0.25">
      <c r="A4927" s="753"/>
      <c r="C4927" s="131" t="s">
        <v>1042</v>
      </c>
      <c r="D4927" s="131">
        <v>16</v>
      </c>
      <c r="E4927" s="131" t="s">
        <v>1042</v>
      </c>
      <c r="F4927" s="767">
        <v>27428.22</v>
      </c>
      <c r="G4927" s="767">
        <v>4080.65</v>
      </c>
      <c r="H4927" s="767">
        <v>31508.87</v>
      </c>
      <c r="I4927" s="768" t="s">
        <v>1570</v>
      </c>
    </row>
    <row r="4928" spans="1:9" x14ac:dyDescent="0.25">
      <c r="A4928" s="753"/>
      <c r="C4928" s="131" t="s">
        <v>243</v>
      </c>
      <c r="D4928" s="131">
        <v>16</v>
      </c>
      <c r="E4928" s="131" t="s">
        <v>243</v>
      </c>
      <c r="F4928" s="767">
        <v>-19970.28</v>
      </c>
      <c r="G4928" s="767">
        <v>-1766.7</v>
      </c>
      <c r="H4928" s="767">
        <v>-21736.98</v>
      </c>
      <c r="I4928" s="768" t="s">
        <v>1572</v>
      </c>
    </row>
    <row r="4929" spans="1:9" x14ac:dyDescent="0.25">
      <c r="A4929" s="753"/>
      <c r="C4929" s="131" t="s">
        <v>1044</v>
      </c>
      <c r="D4929" s="131">
        <v>16</v>
      </c>
      <c r="E4929" s="131" t="s">
        <v>1044</v>
      </c>
      <c r="F4929" s="767">
        <v>6460.85</v>
      </c>
      <c r="G4929" s="767">
        <v>538.25</v>
      </c>
      <c r="H4929" s="767">
        <v>6999.1</v>
      </c>
      <c r="I4929" s="768" t="s">
        <v>1573</v>
      </c>
    </row>
    <row r="4930" spans="1:9" x14ac:dyDescent="0.25">
      <c r="A4930" s="753"/>
      <c r="C4930" s="131" t="s">
        <v>195</v>
      </c>
      <c r="D4930" s="131">
        <v>16</v>
      </c>
      <c r="E4930" s="131" t="s">
        <v>195</v>
      </c>
      <c r="F4930" s="767">
        <v>-68222.350000000006</v>
      </c>
      <c r="G4930" s="767">
        <v>-8204.73</v>
      </c>
      <c r="H4930" s="767">
        <v>-76427.08</v>
      </c>
      <c r="I4930" s="768" t="s">
        <v>1577</v>
      </c>
    </row>
    <row r="4931" spans="1:9" x14ac:dyDescent="0.25">
      <c r="A4931" s="753"/>
      <c r="C4931" s="131" t="s">
        <v>195</v>
      </c>
      <c r="D4931" s="131">
        <v>16</v>
      </c>
      <c r="E4931" s="131" t="s">
        <v>1578</v>
      </c>
      <c r="F4931" s="767">
        <v>-63422.27</v>
      </c>
      <c r="G4931" s="767">
        <v>-5236.8500000000004</v>
      </c>
      <c r="H4931" s="767">
        <v>-68659.12</v>
      </c>
      <c r="I4931" s="768" t="s">
        <v>1579</v>
      </c>
    </row>
    <row r="4932" spans="1:9" x14ac:dyDescent="0.25">
      <c r="A4932" s="753"/>
      <c r="C4932" s="131" t="s">
        <v>1046</v>
      </c>
      <c r="D4932" s="131">
        <v>16</v>
      </c>
      <c r="E4932" s="131" t="s">
        <v>1046</v>
      </c>
      <c r="F4932" s="767">
        <v>17018.05</v>
      </c>
      <c r="G4932" s="767">
        <v>1951.39</v>
      </c>
      <c r="H4932" s="767">
        <v>18969.439999999999</v>
      </c>
      <c r="I4932" s="768" t="s">
        <v>1580</v>
      </c>
    </row>
    <row r="4933" spans="1:9" x14ac:dyDescent="0.25">
      <c r="A4933" s="753"/>
      <c r="C4933" s="131" t="s">
        <v>1046</v>
      </c>
      <c r="D4933" s="131">
        <v>16</v>
      </c>
      <c r="E4933" s="131" t="s">
        <v>1581</v>
      </c>
      <c r="F4933" s="767">
        <v>43286.97</v>
      </c>
      <c r="G4933" s="767">
        <v>3504.8</v>
      </c>
      <c r="H4933" s="767">
        <v>46791.77</v>
      </c>
      <c r="I4933" s="768" t="s">
        <v>1582</v>
      </c>
    </row>
    <row r="4934" spans="1:9" x14ac:dyDescent="0.25">
      <c r="A4934" s="753"/>
      <c r="C4934" s="131" t="s">
        <v>223</v>
      </c>
      <c r="D4934" s="131">
        <v>16</v>
      </c>
      <c r="E4934" s="131" t="s">
        <v>223</v>
      </c>
      <c r="F4934" s="767">
        <v>-107161.95</v>
      </c>
      <c r="G4934" s="767">
        <v>-18030.36</v>
      </c>
      <c r="H4934" s="767">
        <v>-125192.31</v>
      </c>
      <c r="I4934" s="768" t="s">
        <v>1585</v>
      </c>
    </row>
    <row r="4935" spans="1:9" x14ac:dyDescent="0.25">
      <c r="A4935" s="753"/>
      <c r="C4935" s="131" t="s">
        <v>223</v>
      </c>
      <c r="D4935" s="131">
        <v>16</v>
      </c>
      <c r="E4935" s="131" t="s">
        <v>2</v>
      </c>
      <c r="F4935" s="767">
        <v>-58469.59</v>
      </c>
      <c r="G4935" s="767">
        <v>-6399.5</v>
      </c>
      <c r="H4935" s="767">
        <v>-64869.09</v>
      </c>
      <c r="I4935" s="768" t="s">
        <v>1586</v>
      </c>
    </row>
    <row r="4936" spans="1:9" x14ac:dyDescent="0.25">
      <c r="A4936" s="753"/>
      <c r="C4936" s="131" t="s">
        <v>1048</v>
      </c>
      <c r="D4936" s="131">
        <v>16</v>
      </c>
      <c r="E4936" s="131" t="s">
        <v>1048</v>
      </c>
      <c r="F4936" s="767">
        <v>22432.58</v>
      </c>
      <c r="G4936" s="767">
        <v>3475.07</v>
      </c>
      <c r="H4936" s="767">
        <v>25907.65</v>
      </c>
      <c r="I4936" s="768" t="s">
        <v>1587</v>
      </c>
    </row>
    <row r="4937" spans="1:9" x14ac:dyDescent="0.25">
      <c r="A4937" s="753"/>
      <c r="C4937" s="131" t="s">
        <v>1048</v>
      </c>
      <c r="D4937" s="131">
        <v>16</v>
      </c>
      <c r="E4937" s="131" t="s">
        <v>1052</v>
      </c>
      <c r="F4937" s="767">
        <v>38716.980000000003</v>
      </c>
      <c r="G4937" s="767">
        <v>4209</v>
      </c>
      <c r="H4937" s="767">
        <v>42925.98</v>
      </c>
      <c r="I4937" s="768" t="s">
        <v>1588</v>
      </c>
    </row>
    <row r="4938" spans="1:9" x14ac:dyDescent="0.25">
      <c r="A4938" s="753"/>
      <c r="C4938" s="131" t="s">
        <v>244</v>
      </c>
      <c r="D4938" s="131">
        <v>16</v>
      </c>
      <c r="E4938" s="131" t="s">
        <v>244</v>
      </c>
      <c r="F4938" s="767">
        <v>-35052.92</v>
      </c>
      <c r="G4938" s="767">
        <v>-6870.44</v>
      </c>
      <c r="H4938" s="767">
        <v>-41923.360000000001</v>
      </c>
      <c r="I4938" s="768" t="s">
        <v>1592</v>
      </c>
    </row>
    <row r="4939" spans="1:9" x14ac:dyDescent="0.25">
      <c r="A4939" s="753"/>
      <c r="C4939" s="131" t="s">
        <v>244</v>
      </c>
      <c r="D4939" s="131">
        <v>16</v>
      </c>
      <c r="E4939" s="131" t="s">
        <v>1593</v>
      </c>
      <c r="F4939" s="767">
        <v>-15694.35</v>
      </c>
      <c r="G4939" s="767">
        <v>-1458.55</v>
      </c>
      <c r="H4939" s="767">
        <v>-17152.900000000001</v>
      </c>
      <c r="I4939" s="768" t="s">
        <v>1594</v>
      </c>
    </row>
    <row r="4940" spans="1:9" x14ac:dyDescent="0.25">
      <c r="A4940" s="753"/>
      <c r="C4940" s="131" t="s">
        <v>1050</v>
      </c>
      <c r="D4940" s="131">
        <v>16</v>
      </c>
      <c r="E4940" s="131" t="s">
        <v>1050</v>
      </c>
      <c r="F4940" s="767">
        <v>4983.3999999999996</v>
      </c>
      <c r="G4940" s="767">
        <v>963.32</v>
      </c>
      <c r="H4940" s="767">
        <v>5946.72</v>
      </c>
      <c r="I4940" s="768" t="s">
        <v>1595</v>
      </c>
    </row>
    <row r="4941" spans="1:9" x14ac:dyDescent="0.25">
      <c r="A4941" s="753"/>
      <c r="C4941" s="131" t="s">
        <v>1050</v>
      </c>
      <c r="D4941" s="131">
        <v>16</v>
      </c>
      <c r="E4941" s="131" t="s">
        <v>1596</v>
      </c>
      <c r="F4941" s="767">
        <v>10361.23</v>
      </c>
      <c r="G4941" s="767">
        <v>843.5</v>
      </c>
      <c r="H4941" s="767">
        <v>11204.73</v>
      </c>
      <c r="I4941" s="768" t="s">
        <v>1597</v>
      </c>
    </row>
    <row r="4942" spans="1:9" x14ac:dyDescent="0.25">
      <c r="A4942" s="753"/>
      <c r="C4942" s="131" t="s">
        <v>4</v>
      </c>
      <c r="D4942" s="131">
        <v>16</v>
      </c>
      <c r="E4942" s="131" t="s">
        <v>4</v>
      </c>
      <c r="F4942" s="767">
        <v>14739.28</v>
      </c>
      <c r="G4942" s="767">
        <v>1447.15</v>
      </c>
      <c r="H4942" s="767">
        <v>16186.43</v>
      </c>
      <c r="I4942" s="768" t="s">
        <v>1604</v>
      </c>
    </row>
    <row r="4943" spans="1:9" x14ac:dyDescent="0.25">
      <c r="A4943" s="753"/>
      <c r="C4943" s="131" t="s">
        <v>5</v>
      </c>
      <c r="D4943" s="131">
        <v>16</v>
      </c>
      <c r="E4943" s="131" t="s">
        <v>5</v>
      </c>
      <c r="F4943" s="767">
        <v>9826.17</v>
      </c>
      <c r="G4943" s="767">
        <v>964.76</v>
      </c>
      <c r="H4943" s="767">
        <v>10790.93</v>
      </c>
      <c r="I4943" s="768" t="s">
        <v>1605</v>
      </c>
    </row>
    <row r="4944" spans="1:9" x14ac:dyDescent="0.25">
      <c r="A4944" s="753"/>
      <c r="C4944" s="131" t="s">
        <v>8</v>
      </c>
      <c r="D4944" s="131">
        <v>16</v>
      </c>
      <c r="E4944" s="131" t="s">
        <v>8</v>
      </c>
      <c r="F4944" s="767">
        <v>-1771.96</v>
      </c>
      <c r="G4944" s="767">
        <v>-456.8</v>
      </c>
      <c r="H4944" s="767">
        <v>-2228.7600000000002</v>
      </c>
      <c r="I4944" s="768" t="s">
        <v>1600</v>
      </c>
    </row>
    <row r="4945" spans="1:9" x14ac:dyDescent="0.25">
      <c r="A4945" s="753"/>
      <c r="C4945" s="131" t="s">
        <v>8</v>
      </c>
      <c r="D4945" s="131">
        <v>16</v>
      </c>
      <c r="E4945" s="131" t="s">
        <v>1091</v>
      </c>
      <c r="F4945" s="767">
        <v>-92340.07</v>
      </c>
      <c r="G4945" s="767">
        <v>-17325.650000000001</v>
      </c>
      <c r="H4945" s="767">
        <v>-109665.72</v>
      </c>
      <c r="I4945" s="768" t="s">
        <v>1601</v>
      </c>
    </row>
    <row r="4946" spans="1:9" x14ac:dyDescent="0.25">
      <c r="A4946" s="753"/>
      <c r="C4946" s="131" t="s">
        <v>1054</v>
      </c>
      <c r="D4946" s="131">
        <v>16</v>
      </c>
      <c r="E4946" s="131" t="s">
        <v>1054</v>
      </c>
      <c r="F4946" s="767">
        <v>0.8</v>
      </c>
      <c r="G4946" s="767">
        <v>6.27</v>
      </c>
      <c r="H4946" s="767">
        <v>7.07</v>
      </c>
      <c r="I4946" s="768" t="s">
        <v>1602</v>
      </c>
    </row>
    <row r="4947" spans="1:9" x14ac:dyDescent="0.25">
      <c r="A4947" s="753"/>
      <c r="C4947" s="131" t="s">
        <v>1054</v>
      </c>
      <c r="D4947" s="131">
        <v>16</v>
      </c>
      <c r="E4947" s="131" t="s">
        <v>1092</v>
      </c>
      <c r="F4947" s="767">
        <v>58543.32</v>
      </c>
      <c r="G4947" s="767">
        <v>11708.3</v>
      </c>
      <c r="H4947" s="767">
        <v>70251.62</v>
      </c>
      <c r="I4947" s="768" t="s">
        <v>1603</v>
      </c>
    </row>
    <row r="4948" spans="1:9" x14ac:dyDescent="0.25">
      <c r="A4948" s="753"/>
      <c r="C4948" s="131" t="s">
        <v>10</v>
      </c>
      <c r="D4948" s="131">
        <v>16</v>
      </c>
      <c r="E4948" s="131" t="s">
        <v>10</v>
      </c>
      <c r="F4948" s="767">
        <v>-203433.86</v>
      </c>
      <c r="G4948" s="767">
        <v>-17795.72</v>
      </c>
      <c r="H4948" s="767">
        <v>-221229.58</v>
      </c>
      <c r="I4948" s="768" t="s">
        <v>1468</v>
      </c>
    </row>
    <row r="4949" spans="1:9" x14ac:dyDescent="0.25">
      <c r="A4949" s="753"/>
      <c r="C4949" s="131" t="s">
        <v>976</v>
      </c>
      <c r="D4949" s="131">
        <v>16</v>
      </c>
      <c r="E4949" s="131" t="s">
        <v>976</v>
      </c>
      <c r="F4949" s="767">
        <v>125114.1</v>
      </c>
      <c r="G4949" s="767">
        <v>10366.67</v>
      </c>
      <c r="H4949" s="767">
        <v>135480.76999999999</v>
      </c>
      <c r="I4949" s="768" t="s">
        <v>1469</v>
      </c>
    </row>
    <row r="4950" spans="1:9" x14ac:dyDescent="0.25">
      <c r="A4950" s="753"/>
      <c r="C4950" s="131" t="s">
        <v>11</v>
      </c>
      <c r="D4950" s="131">
        <v>16</v>
      </c>
      <c r="E4950" s="131" t="s">
        <v>11</v>
      </c>
      <c r="F4950" s="767">
        <v>-298866.40999999997</v>
      </c>
      <c r="G4950" s="767">
        <v>-36569.339999999997</v>
      </c>
      <c r="H4950" s="767">
        <v>-335435.75</v>
      </c>
      <c r="I4950" s="768" t="s">
        <v>1471</v>
      </c>
    </row>
    <row r="4951" spans="1:9" x14ac:dyDescent="0.25">
      <c r="A4951" s="753"/>
      <c r="C4951" s="131" t="s">
        <v>978</v>
      </c>
      <c r="D4951" s="131">
        <v>16</v>
      </c>
      <c r="E4951" s="131" t="s">
        <v>978</v>
      </c>
      <c r="F4951" s="767">
        <v>176671.26</v>
      </c>
      <c r="G4951" s="767">
        <v>22215.05</v>
      </c>
      <c r="H4951" s="767">
        <v>198886.31</v>
      </c>
      <c r="I4951" s="768" t="s">
        <v>1472</v>
      </c>
    </row>
    <row r="4952" spans="1:9" x14ac:dyDescent="0.25">
      <c r="A4952" s="753"/>
      <c r="C4952" s="131" t="s">
        <v>246</v>
      </c>
      <c r="D4952" s="131">
        <v>16</v>
      </c>
      <c r="E4952" s="131" t="s">
        <v>246</v>
      </c>
      <c r="F4952" s="767">
        <v>-20320.09</v>
      </c>
      <c r="G4952" s="767">
        <v>-4659.7299999999996</v>
      </c>
      <c r="H4952" s="767">
        <v>-24979.82</v>
      </c>
      <c r="I4952" s="768" t="s">
        <v>1474</v>
      </c>
    </row>
    <row r="4953" spans="1:9" x14ac:dyDescent="0.25">
      <c r="A4953" s="753"/>
      <c r="C4953" s="131" t="s">
        <v>980</v>
      </c>
      <c r="D4953" s="131">
        <v>16</v>
      </c>
      <c r="E4953" s="131" t="s">
        <v>980</v>
      </c>
      <c r="F4953" s="767">
        <v>12187.51</v>
      </c>
      <c r="G4953" s="767">
        <v>2375.86</v>
      </c>
      <c r="H4953" s="767">
        <v>14563.37</v>
      </c>
      <c r="I4953" s="768" t="s">
        <v>1475</v>
      </c>
    </row>
    <row r="4954" spans="1:9" x14ac:dyDescent="0.25">
      <c r="A4954" s="753"/>
      <c r="C4954" s="131" t="s">
        <v>14</v>
      </c>
      <c r="D4954" s="131">
        <v>16</v>
      </c>
      <c r="E4954" s="131" t="s">
        <v>14</v>
      </c>
      <c r="F4954" s="767">
        <v>-20161.36</v>
      </c>
      <c r="G4954" s="767">
        <v>-2374.63</v>
      </c>
      <c r="H4954" s="767">
        <v>-22535.99</v>
      </c>
      <c r="I4954" s="768" t="s">
        <v>1477</v>
      </c>
    </row>
    <row r="4955" spans="1:9" x14ac:dyDescent="0.25">
      <c r="A4955" s="753"/>
      <c r="C4955" s="131" t="s">
        <v>982</v>
      </c>
      <c r="D4955" s="131">
        <v>16</v>
      </c>
      <c r="E4955" s="131" t="s">
        <v>982</v>
      </c>
      <c r="F4955" s="767">
        <v>14373.38</v>
      </c>
      <c r="G4955" s="767">
        <v>1696.21</v>
      </c>
      <c r="H4955" s="767">
        <v>16069.59</v>
      </c>
      <c r="I4955" s="768" t="s">
        <v>1478</v>
      </c>
    </row>
    <row r="4956" spans="1:9" x14ac:dyDescent="0.25">
      <c r="A4956" s="753"/>
      <c r="C4956" s="131" t="s">
        <v>17</v>
      </c>
      <c r="D4956" s="131">
        <v>16</v>
      </c>
      <c r="E4956" s="131" t="s">
        <v>17</v>
      </c>
      <c r="F4956" s="767">
        <v>-44656.33</v>
      </c>
      <c r="G4956" s="767">
        <v>-5956.64</v>
      </c>
      <c r="H4956" s="767">
        <v>-50612.97</v>
      </c>
      <c r="I4956" s="768" t="s">
        <v>1480</v>
      </c>
    </row>
    <row r="4957" spans="1:9" x14ac:dyDescent="0.25">
      <c r="A4957" s="753"/>
      <c r="C4957" s="131" t="s">
        <v>984</v>
      </c>
      <c r="D4957" s="131">
        <v>16</v>
      </c>
      <c r="E4957" s="131" t="s">
        <v>984</v>
      </c>
      <c r="F4957" s="767">
        <v>31895.46</v>
      </c>
      <c r="G4957" s="767">
        <v>4254.84</v>
      </c>
      <c r="H4957" s="767">
        <v>36150.300000000003</v>
      </c>
      <c r="I4957" s="768" t="s">
        <v>1481</v>
      </c>
    </row>
    <row r="4958" spans="1:9" x14ac:dyDescent="0.25">
      <c r="A4958" s="753"/>
      <c r="C4958" s="131" t="s">
        <v>247</v>
      </c>
      <c r="D4958" s="131">
        <v>16</v>
      </c>
      <c r="E4958" s="131" t="s">
        <v>247</v>
      </c>
      <c r="F4958" s="767">
        <v>-1433.56</v>
      </c>
      <c r="G4958" s="767">
        <v>-1314.44</v>
      </c>
      <c r="H4958" s="767">
        <v>-2748</v>
      </c>
      <c r="I4958" s="768" t="s">
        <v>1483</v>
      </c>
    </row>
    <row r="4959" spans="1:9" x14ac:dyDescent="0.25">
      <c r="A4959" s="753"/>
      <c r="C4959" s="131" t="s">
        <v>986</v>
      </c>
      <c r="D4959" s="131">
        <v>16</v>
      </c>
      <c r="E4959" s="131" t="s">
        <v>986</v>
      </c>
      <c r="F4959" s="767">
        <v>1023.99</v>
      </c>
      <c r="G4959" s="767">
        <v>938.88</v>
      </c>
      <c r="H4959" s="767">
        <v>1962.87</v>
      </c>
      <c r="I4959" s="768" t="s">
        <v>1484</v>
      </c>
    </row>
    <row r="4960" spans="1:9" x14ac:dyDescent="0.25">
      <c r="A4960" s="753"/>
      <c r="C4960" s="131" t="s">
        <v>19</v>
      </c>
      <c r="D4960" s="131">
        <v>16</v>
      </c>
      <c r="E4960" s="131" t="s">
        <v>19</v>
      </c>
      <c r="F4960" s="767">
        <v>-400.42</v>
      </c>
      <c r="G4960" s="767">
        <v>-2525.73</v>
      </c>
      <c r="H4960" s="767">
        <v>-2926.15</v>
      </c>
      <c r="I4960" s="768" t="s">
        <v>1486</v>
      </c>
    </row>
    <row r="4961" spans="1:9" x14ac:dyDescent="0.25">
      <c r="A4961" s="753"/>
      <c r="C4961" s="131" t="s">
        <v>988</v>
      </c>
      <c r="D4961" s="131">
        <v>16</v>
      </c>
      <c r="E4961" s="131" t="s">
        <v>988</v>
      </c>
      <c r="F4961" s="767">
        <v>242.14</v>
      </c>
      <c r="G4961" s="767">
        <v>1546.64</v>
      </c>
      <c r="H4961" s="767">
        <v>1788.78</v>
      </c>
      <c r="I4961" s="768" t="s">
        <v>1487</v>
      </c>
    </row>
    <row r="4962" spans="1:9" x14ac:dyDescent="0.25">
      <c r="A4962" s="753"/>
      <c r="C4962" s="131" t="s">
        <v>20</v>
      </c>
      <c r="D4962" s="131">
        <v>16</v>
      </c>
      <c r="E4962" s="131" t="s">
        <v>20</v>
      </c>
      <c r="F4962" s="767">
        <v>-4095.97</v>
      </c>
      <c r="G4962" s="767">
        <v>0</v>
      </c>
      <c r="H4962" s="767">
        <v>-4095.97</v>
      </c>
      <c r="I4962" s="768" t="s">
        <v>1489</v>
      </c>
    </row>
    <row r="4963" spans="1:9" x14ac:dyDescent="0.25">
      <c r="A4963" s="753"/>
      <c r="C4963" s="131" t="s">
        <v>990</v>
      </c>
      <c r="D4963" s="131">
        <v>16</v>
      </c>
      <c r="E4963" s="131" t="s">
        <v>990</v>
      </c>
      <c r="F4963" s="767">
        <v>2948.1</v>
      </c>
      <c r="G4963" s="767">
        <v>0</v>
      </c>
      <c r="H4963" s="767">
        <v>2948.1</v>
      </c>
      <c r="I4963" s="768" t="s">
        <v>1490</v>
      </c>
    </row>
    <row r="4964" spans="1:9" x14ac:dyDescent="0.25">
      <c r="A4964" s="753"/>
      <c r="C4964" s="131" t="s">
        <v>248</v>
      </c>
      <c r="D4964" s="131">
        <v>16</v>
      </c>
      <c r="E4964" s="131" t="s">
        <v>248</v>
      </c>
      <c r="F4964" s="767">
        <v>-206.7</v>
      </c>
      <c r="G4964" s="767">
        <v>0</v>
      </c>
      <c r="H4964" s="767">
        <v>-206.7</v>
      </c>
      <c r="I4964" s="768" t="s">
        <v>1492</v>
      </c>
    </row>
    <row r="4965" spans="1:9" x14ac:dyDescent="0.25">
      <c r="A4965" s="753"/>
      <c r="C4965" s="131" t="s">
        <v>992</v>
      </c>
      <c r="D4965" s="131">
        <v>16</v>
      </c>
      <c r="E4965" s="131" t="s">
        <v>992</v>
      </c>
      <c r="F4965" s="767">
        <v>136.69999999999999</v>
      </c>
      <c r="G4965" s="767">
        <v>0</v>
      </c>
      <c r="H4965" s="767">
        <v>136.69999999999999</v>
      </c>
      <c r="I4965" s="768" t="s">
        <v>1493</v>
      </c>
    </row>
    <row r="4966" spans="1:9" x14ac:dyDescent="0.25">
      <c r="A4966" s="753"/>
      <c r="C4966" s="131" t="s">
        <v>71</v>
      </c>
      <c r="D4966" s="131">
        <v>16</v>
      </c>
      <c r="E4966" s="131" t="s">
        <v>71</v>
      </c>
      <c r="F4966" s="767">
        <v>-99477.86</v>
      </c>
      <c r="G4966" s="767">
        <v>-14177.89</v>
      </c>
      <c r="H4966" s="767">
        <v>-113655.75</v>
      </c>
      <c r="I4966" s="768" t="s">
        <v>1495</v>
      </c>
    </row>
    <row r="4967" spans="1:9" x14ac:dyDescent="0.25">
      <c r="A4967" s="753"/>
      <c r="C4967" s="131" t="s">
        <v>994</v>
      </c>
      <c r="D4967" s="131">
        <v>16</v>
      </c>
      <c r="E4967" s="131" t="s">
        <v>994</v>
      </c>
      <c r="F4967" s="767">
        <v>74063.83</v>
      </c>
      <c r="G4967" s="767">
        <v>10128.51</v>
      </c>
      <c r="H4967" s="767">
        <v>84192.34</v>
      </c>
      <c r="I4967" s="768" t="s">
        <v>1496</v>
      </c>
    </row>
    <row r="4968" spans="1:9" x14ac:dyDescent="0.25">
      <c r="A4968" s="753"/>
      <c r="C4968" s="131" t="s">
        <v>72</v>
      </c>
      <c r="D4968" s="131">
        <v>16</v>
      </c>
      <c r="E4968" s="131" t="s">
        <v>72</v>
      </c>
      <c r="F4968" s="767">
        <v>-237960.89</v>
      </c>
      <c r="G4968" s="767">
        <v>-42435.12</v>
      </c>
      <c r="H4968" s="767">
        <v>-280396.01</v>
      </c>
      <c r="I4968" s="768" t="s">
        <v>1498</v>
      </c>
    </row>
    <row r="4969" spans="1:9" x14ac:dyDescent="0.25">
      <c r="A4969" s="753"/>
      <c r="C4969" s="131" t="s">
        <v>996</v>
      </c>
      <c r="D4969" s="131">
        <v>16</v>
      </c>
      <c r="E4969" s="131" t="s">
        <v>996</v>
      </c>
      <c r="F4969" s="767">
        <v>170036.69</v>
      </c>
      <c r="G4969" s="767">
        <v>30341.48</v>
      </c>
      <c r="H4969" s="767">
        <v>200378.17</v>
      </c>
      <c r="I4969" s="768" t="s">
        <v>1499</v>
      </c>
    </row>
    <row r="4970" spans="1:9" x14ac:dyDescent="0.25">
      <c r="A4970" s="753"/>
      <c r="C4970" s="131" t="s">
        <v>249</v>
      </c>
      <c r="D4970" s="131">
        <v>16</v>
      </c>
      <c r="E4970" s="131" t="s">
        <v>249</v>
      </c>
      <c r="F4970" s="767">
        <v>-91941.16</v>
      </c>
      <c r="G4970" s="767">
        <v>-4351.46</v>
      </c>
      <c r="H4970" s="767">
        <v>-96292.62</v>
      </c>
      <c r="I4970" s="768" t="s">
        <v>1500</v>
      </c>
    </row>
    <row r="4971" spans="1:9" x14ac:dyDescent="0.25">
      <c r="A4971" s="753"/>
      <c r="C4971" s="131" t="s">
        <v>997</v>
      </c>
      <c r="D4971" s="131">
        <v>16</v>
      </c>
      <c r="E4971" s="131" t="s">
        <v>997</v>
      </c>
      <c r="F4971" s="767">
        <v>65356.25</v>
      </c>
      <c r="G4971" s="767">
        <v>3108.01</v>
      </c>
      <c r="H4971" s="767">
        <v>68464.259999999995</v>
      </c>
      <c r="I4971" s="768" t="s">
        <v>1501</v>
      </c>
    </row>
    <row r="4972" spans="1:9" x14ac:dyDescent="0.25">
      <c r="A4972" s="753"/>
      <c r="C4972" s="131" t="s">
        <v>75</v>
      </c>
      <c r="D4972" s="131">
        <v>16</v>
      </c>
      <c r="E4972" s="131" t="s">
        <v>75</v>
      </c>
      <c r="F4972" s="767">
        <v>-80671.759999999995</v>
      </c>
      <c r="G4972" s="767">
        <v>-12919.79</v>
      </c>
      <c r="H4972" s="767">
        <v>-93591.55</v>
      </c>
      <c r="I4972" s="768" t="s">
        <v>1503</v>
      </c>
    </row>
    <row r="4973" spans="1:9" x14ac:dyDescent="0.25">
      <c r="A4973" s="753"/>
      <c r="C4973" s="131" t="s">
        <v>999</v>
      </c>
      <c r="D4973" s="131">
        <v>16</v>
      </c>
      <c r="E4973" s="131" t="s">
        <v>999</v>
      </c>
      <c r="F4973" s="767">
        <v>54860.78</v>
      </c>
      <c r="G4973" s="767">
        <v>8463.65</v>
      </c>
      <c r="H4973" s="767">
        <v>63324.43</v>
      </c>
      <c r="I4973" s="768" t="s">
        <v>1504</v>
      </c>
    </row>
    <row r="4974" spans="1:9" x14ac:dyDescent="0.25">
      <c r="A4974" s="753"/>
      <c r="C4974" s="131" t="s">
        <v>76</v>
      </c>
      <c r="D4974" s="131">
        <v>16</v>
      </c>
      <c r="E4974" s="131" t="s">
        <v>76</v>
      </c>
      <c r="F4974" s="767">
        <v>-44918.95</v>
      </c>
      <c r="G4974" s="767">
        <v>-12043.76</v>
      </c>
      <c r="H4974" s="767">
        <v>-56962.71</v>
      </c>
      <c r="I4974" s="768" t="s">
        <v>1506</v>
      </c>
    </row>
    <row r="4975" spans="1:9" x14ac:dyDescent="0.25">
      <c r="A4975" s="753"/>
      <c r="C4975" s="131" t="s">
        <v>1001</v>
      </c>
      <c r="D4975" s="131">
        <v>16</v>
      </c>
      <c r="E4975" s="131" t="s">
        <v>1001</v>
      </c>
      <c r="F4975" s="767">
        <v>29209.96</v>
      </c>
      <c r="G4975" s="767">
        <v>7830.74</v>
      </c>
      <c r="H4975" s="767">
        <v>37040.699999999997</v>
      </c>
      <c r="I4975" s="768" t="s">
        <v>1507</v>
      </c>
    </row>
    <row r="4976" spans="1:9" x14ac:dyDescent="0.25">
      <c r="A4976" s="753"/>
      <c r="C4976" s="131" t="s">
        <v>250</v>
      </c>
      <c r="D4976" s="131">
        <v>16</v>
      </c>
      <c r="E4976" s="131" t="s">
        <v>250</v>
      </c>
      <c r="F4976" s="767">
        <v>-8792.64</v>
      </c>
      <c r="G4976" s="767">
        <v>-2450.0300000000002</v>
      </c>
      <c r="H4976" s="767">
        <v>-11242.67</v>
      </c>
      <c r="I4976" s="768" t="s">
        <v>1509</v>
      </c>
    </row>
    <row r="4977" spans="1:9" x14ac:dyDescent="0.25">
      <c r="A4977" s="753"/>
      <c r="C4977" s="131" t="s">
        <v>1003</v>
      </c>
      <c r="D4977" s="131">
        <v>16</v>
      </c>
      <c r="E4977" s="131" t="s">
        <v>1003</v>
      </c>
      <c r="F4977" s="767">
        <v>6066.48</v>
      </c>
      <c r="G4977" s="767">
        <v>1702.93</v>
      </c>
      <c r="H4977" s="767">
        <v>7769.41</v>
      </c>
      <c r="I4977" s="768" t="s">
        <v>1510</v>
      </c>
    </row>
    <row r="4978" spans="1:9" x14ac:dyDescent="0.25">
      <c r="A4978" s="753"/>
      <c r="C4978" s="131" t="s">
        <v>79</v>
      </c>
      <c r="D4978" s="131">
        <v>16</v>
      </c>
      <c r="E4978" s="131" t="s">
        <v>79</v>
      </c>
      <c r="F4978" s="767">
        <v>-135308.69</v>
      </c>
      <c r="G4978" s="767">
        <v>-21474.45</v>
      </c>
      <c r="H4978" s="767">
        <v>-156783.14000000001</v>
      </c>
      <c r="I4978" s="768" t="s">
        <v>1512</v>
      </c>
    </row>
    <row r="4979" spans="1:9" x14ac:dyDescent="0.25">
      <c r="A4979" s="753"/>
      <c r="C4979" s="131" t="s">
        <v>1005</v>
      </c>
      <c r="D4979" s="131">
        <v>16</v>
      </c>
      <c r="E4979" s="131" t="s">
        <v>1005</v>
      </c>
      <c r="F4979" s="767">
        <v>95545.56</v>
      </c>
      <c r="G4979" s="767">
        <v>15633.54</v>
      </c>
      <c r="H4979" s="767">
        <v>111179.1</v>
      </c>
      <c r="I4979" s="768" t="s">
        <v>1513</v>
      </c>
    </row>
    <row r="4980" spans="1:9" x14ac:dyDescent="0.25">
      <c r="A4980" s="753"/>
      <c r="C4980" s="131" t="s">
        <v>157</v>
      </c>
      <c r="D4980" s="131">
        <v>16</v>
      </c>
      <c r="E4980" s="131" t="s">
        <v>157</v>
      </c>
      <c r="F4980" s="767">
        <v>-14674.54</v>
      </c>
      <c r="G4980" s="767">
        <v>-5744.3</v>
      </c>
      <c r="H4980" s="767">
        <v>-20418.84</v>
      </c>
      <c r="I4980" s="768" t="s">
        <v>1515</v>
      </c>
    </row>
    <row r="4981" spans="1:9" x14ac:dyDescent="0.25">
      <c r="A4981" s="753"/>
      <c r="C4981" s="131" t="s">
        <v>1007</v>
      </c>
      <c r="D4981" s="131">
        <v>16</v>
      </c>
      <c r="E4981" s="131" t="s">
        <v>1007</v>
      </c>
      <c r="F4981" s="767">
        <v>10191.86</v>
      </c>
      <c r="G4981" s="767">
        <v>3917.51</v>
      </c>
      <c r="H4981" s="767">
        <v>14109.37</v>
      </c>
      <c r="I4981" s="768" t="s">
        <v>1516</v>
      </c>
    </row>
    <row r="4982" spans="1:9" x14ac:dyDescent="0.25">
      <c r="A4982" s="753"/>
      <c r="C4982" s="131" t="s">
        <v>158</v>
      </c>
      <c r="D4982" s="131">
        <v>16</v>
      </c>
      <c r="E4982" s="131" t="s">
        <v>158</v>
      </c>
      <c r="F4982" s="767">
        <v>-78826.09</v>
      </c>
      <c r="G4982" s="767">
        <v>-13482.55</v>
      </c>
      <c r="H4982" s="767">
        <v>-92308.64</v>
      </c>
      <c r="I4982" s="768" t="s">
        <v>1518</v>
      </c>
    </row>
    <row r="4983" spans="1:9" x14ac:dyDescent="0.25">
      <c r="A4983" s="753"/>
      <c r="C4983" s="131" t="s">
        <v>1009</v>
      </c>
      <c r="D4983" s="131">
        <v>16</v>
      </c>
      <c r="E4983" s="131" t="s">
        <v>1009</v>
      </c>
      <c r="F4983" s="767">
        <v>59524.02</v>
      </c>
      <c r="G4983" s="767">
        <v>9512.77</v>
      </c>
      <c r="H4983" s="767">
        <v>69036.789999999994</v>
      </c>
      <c r="I4983" s="768" t="s">
        <v>1519</v>
      </c>
    </row>
    <row r="4984" spans="1:9" x14ac:dyDescent="0.25">
      <c r="A4984" s="753"/>
      <c r="C4984" s="131" t="s">
        <v>163</v>
      </c>
      <c r="D4984" s="131">
        <v>16</v>
      </c>
      <c r="E4984" s="131" t="s">
        <v>163</v>
      </c>
      <c r="F4984" s="767">
        <v>-424504.46</v>
      </c>
      <c r="G4984" s="767">
        <v>-19252.650000000001</v>
      </c>
      <c r="H4984" s="767">
        <v>-443757.11</v>
      </c>
      <c r="I4984" s="768" t="s">
        <v>1521</v>
      </c>
    </row>
    <row r="4985" spans="1:9" x14ac:dyDescent="0.25">
      <c r="A4985" s="753"/>
      <c r="C4985" s="131" t="s">
        <v>1011</v>
      </c>
      <c r="D4985" s="131">
        <v>16</v>
      </c>
      <c r="E4985" s="131" t="s">
        <v>1011</v>
      </c>
      <c r="F4985" s="767">
        <v>322952.71999999997</v>
      </c>
      <c r="G4985" s="767">
        <v>13590.86</v>
      </c>
      <c r="H4985" s="767">
        <v>336543.58</v>
      </c>
      <c r="I4985" s="768" t="s">
        <v>1522</v>
      </c>
    </row>
    <row r="4986" spans="1:9" x14ac:dyDescent="0.25">
      <c r="A4986" s="753"/>
      <c r="C4986" s="131" t="s">
        <v>1011</v>
      </c>
      <c r="D4986" s="131">
        <v>16</v>
      </c>
      <c r="E4986" s="131" t="s">
        <v>1523</v>
      </c>
      <c r="F4986" s="767">
        <v>14634.81</v>
      </c>
      <c r="G4986" s="767">
        <v>1119.28</v>
      </c>
      <c r="H4986" s="767">
        <v>15754.09</v>
      </c>
      <c r="I4986" s="768" t="s">
        <v>1524</v>
      </c>
    </row>
    <row r="4987" spans="1:9" x14ac:dyDescent="0.25">
      <c r="A4987" s="753"/>
      <c r="C4987" s="131" t="s">
        <v>1014</v>
      </c>
      <c r="D4987" s="131">
        <v>16</v>
      </c>
      <c r="E4987" s="131" t="s">
        <v>1014</v>
      </c>
      <c r="F4987" s="767">
        <v>-460130.66</v>
      </c>
      <c r="G4987" s="767">
        <v>-117139.92</v>
      </c>
      <c r="H4987" s="767">
        <v>-577270.57999999996</v>
      </c>
      <c r="I4987" s="768" t="s">
        <v>1528</v>
      </c>
    </row>
    <row r="4988" spans="1:9" x14ac:dyDescent="0.25">
      <c r="A4988" s="753"/>
      <c r="C4988" s="131" t="s">
        <v>1015</v>
      </c>
      <c r="D4988" s="131">
        <v>16</v>
      </c>
      <c r="E4988" s="131" t="s">
        <v>1015</v>
      </c>
      <c r="F4988" s="767">
        <v>-43509.4</v>
      </c>
      <c r="G4988" s="767">
        <v>-6251.55</v>
      </c>
      <c r="H4988" s="767">
        <v>-49760.95</v>
      </c>
      <c r="I4988" s="768" t="s">
        <v>1529</v>
      </c>
    </row>
    <row r="4989" spans="1:9" x14ac:dyDescent="0.25">
      <c r="A4989" s="753"/>
      <c r="C4989" s="131" t="s">
        <v>1015</v>
      </c>
      <c r="D4989" s="131">
        <v>16</v>
      </c>
      <c r="E4989" s="131" t="s">
        <v>1016</v>
      </c>
      <c r="F4989" s="767">
        <v>-51591.54</v>
      </c>
      <c r="G4989" s="767">
        <v>-7747.54</v>
      </c>
      <c r="H4989" s="767">
        <v>-59339.08</v>
      </c>
      <c r="I4989" s="768" t="s">
        <v>1530</v>
      </c>
    </row>
    <row r="4990" spans="1:9" x14ac:dyDescent="0.25">
      <c r="A4990" s="753"/>
      <c r="C4990" s="131" t="s">
        <v>1017</v>
      </c>
      <c r="D4990" s="131">
        <v>16</v>
      </c>
      <c r="E4990" s="131" t="s">
        <v>1017</v>
      </c>
      <c r="F4990" s="767">
        <v>346897.11</v>
      </c>
      <c r="G4990" s="767">
        <v>87009.08</v>
      </c>
      <c r="H4990" s="767">
        <v>433906.19</v>
      </c>
      <c r="I4990" s="768" t="s">
        <v>1531</v>
      </c>
    </row>
    <row r="4991" spans="1:9" x14ac:dyDescent="0.25">
      <c r="A4991" s="753"/>
      <c r="C4991" s="131" t="s">
        <v>1018</v>
      </c>
      <c r="D4991" s="131">
        <v>16</v>
      </c>
      <c r="E4991" s="131" t="s">
        <v>1018</v>
      </c>
      <c r="F4991" s="767">
        <v>28074.54</v>
      </c>
      <c r="G4991" s="767">
        <v>4051.37</v>
      </c>
      <c r="H4991" s="767">
        <v>32125.91</v>
      </c>
      <c r="I4991" s="768" t="s">
        <v>1532</v>
      </c>
    </row>
    <row r="4992" spans="1:9" x14ac:dyDescent="0.25">
      <c r="A4992" s="753"/>
      <c r="C4992" s="131" t="s">
        <v>1018</v>
      </c>
      <c r="D4992" s="131">
        <v>16</v>
      </c>
      <c r="E4992" s="131" t="s">
        <v>1019</v>
      </c>
      <c r="F4992" s="767">
        <v>34304.589999999997</v>
      </c>
      <c r="G4992" s="767">
        <v>4971.3999999999996</v>
      </c>
      <c r="H4992" s="767">
        <v>39275.99</v>
      </c>
      <c r="I4992" s="768" t="s">
        <v>1533</v>
      </c>
    </row>
    <row r="4993" spans="1:9" x14ac:dyDescent="0.25">
      <c r="A4993" s="753"/>
      <c r="C4993" s="131" t="s">
        <v>1012</v>
      </c>
      <c r="D4993" s="131">
        <v>16</v>
      </c>
      <c r="E4993" s="131" t="s">
        <v>1012</v>
      </c>
      <c r="F4993" s="767">
        <v>-41204.53</v>
      </c>
      <c r="G4993" s="767">
        <v>-9632.99</v>
      </c>
      <c r="H4993" s="767">
        <v>-50837.52</v>
      </c>
      <c r="I4993" s="768" t="s">
        <v>1534</v>
      </c>
    </row>
    <row r="4994" spans="1:9" x14ac:dyDescent="0.25">
      <c r="A4994" s="753"/>
      <c r="C4994" s="131">
        <v>493</v>
      </c>
      <c r="D4994" s="131">
        <v>16</v>
      </c>
      <c r="E4994" s="131">
        <v>493</v>
      </c>
      <c r="F4994" s="767">
        <v>-18241.849999999999</v>
      </c>
      <c r="G4994" s="767">
        <v>-6515.27</v>
      </c>
      <c r="H4994" s="767">
        <v>-24757.119999999999</v>
      </c>
      <c r="I4994" s="768" t="s">
        <v>1536</v>
      </c>
    </row>
    <row r="4995" spans="1:9" x14ac:dyDescent="0.25">
      <c r="A4995" s="753"/>
      <c r="C4995" s="131">
        <v>693</v>
      </c>
      <c r="D4995" s="131">
        <v>16</v>
      </c>
      <c r="E4995" s="131">
        <v>693</v>
      </c>
      <c r="F4995" s="767">
        <v>15457.66</v>
      </c>
      <c r="G4995" s="767">
        <v>5826.33</v>
      </c>
      <c r="H4995" s="767">
        <v>21283.99</v>
      </c>
      <c r="I4995" s="768" t="s">
        <v>1537</v>
      </c>
    </row>
    <row r="4996" spans="1:9" x14ac:dyDescent="0.25">
      <c r="A4996" s="753">
        <v>906728</v>
      </c>
      <c r="B4996" s="130">
        <v>423</v>
      </c>
      <c r="E4996" s="131"/>
    </row>
    <row r="4997" spans="1:9" x14ac:dyDescent="0.25">
      <c r="A4997" s="753">
        <v>702612</v>
      </c>
      <c r="B4997" s="130">
        <v>0</v>
      </c>
      <c r="E4997" s="131"/>
    </row>
    <row r="4998" spans="1:9" x14ac:dyDescent="0.25">
      <c r="A4998" s="753">
        <v>702614</v>
      </c>
      <c r="B4998" s="130">
        <v>0</v>
      </c>
      <c r="E4998" s="131"/>
    </row>
    <row r="4999" spans="1:9" x14ac:dyDescent="0.25">
      <c r="A4999" s="753">
        <v>702616</v>
      </c>
      <c r="B4999" s="130">
        <v>0</v>
      </c>
      <c r="E4999" s="131"/>
    </row>
    <row r="5000" spans="1:9" x14ac:dyDescent="0.25">
      <c r="A5000" s="753">
        <v>702622</v>
      </c>
      <c r="B5000" s="130">
        <v>0</v>
      </c>
      <c r="E5000" s="131"/>
    </row>
    <row r="5001" spans="1:9" x14ac:dyDescent="0.25">
      <c r="A5001" s="753">
        <v>702624</v>
      </c>
      <c r="B5001" s="130">
        <v>0</v>
      </c>
      <c r="E5001" s="131"/>
    </row>
    <row r="5002" spans="1:9" x14ac:dyDescent="0.25">
      <c r="A5002" s="753">
        <v>702626</v>
      </c>
      <c r="B5002" s="130">
        <v>0</v>
      </c>
      <c r="E5002" s="131"/>
    </row>
    <row r="5003" spans="1:9" x14ac:dyDescent="0.25">
      <c r="A5003" s="753">
        <v>702812</v>
      </c>
      <c r="B5003" s="130">
        <v>57</v>
      </c>
      <c r="E5003" s="131"/>
    </row>
    <row r="5004" spans="1:9" x14ac:dyDescent="0.25">
      <c r="A5004" s="753">
        <v>702814</v>
      </c>
      <c r="B5004" s="130">
        <v>75173</v>
      </c>
      <c r="E5004" s="131"/>
    </row>
    <row r="5005" spans="1:9" x14ac:dyDescent="0.25">
      <c r="A5005" s="753">
        <v>702816</v>
      </c>
      <c r="B5005" s="130">
        <v>42908</v>
      </c>
      <c r="C5005" s="131" t="s">
        <v>1126</v>
      </c>
      <c r="D5005" s="131">
        <v>16</v>
      </c>
      <c r="E5005" s="131" t="s">
        <v>1126</v>
      </c>
      <c r="F5005" s="767">
        <v>-89737.82</v>
      </c>
      <c r="G5005" s="767">
        <v>-10469.99</v>
      </c>
      <c r="H5005" s="767">
        <v>-100207.81</v>
      </c>
      <c r="I5005" s="768" t="s">
        <v>1793</v>
      </c>
    </row>
    <row r="5006" spans="1:9" x14ac:dyDescent="0.25">
      <c r="A5006" s="753"/>
      <c r="C5006" s="131" t="s">
        <v>1126</v>
      </c>
      <c r="D5006" s="131">
        <v>16</v>
      </c>
      <c r="E5006" s="131" t="s">
        <v>1170</v>
      </c>
      <c r="F5006" s="767">
        <v>-1769.38</v>
      </c>
      <c r="G5006" s="767">
        <v>0</v>
      </c>
      <c r="H5006" s="767">
        <v>-1769.38</v>
      </c>
      <c r="I5006" s="768" t="s">
        <v>1794</v>
      </c>
    </row>
    <row r="5007" spans="1:9" x14ac:dyDescent="0.25">
      <c r="A5007" s="753"/>
      <c r="C5007" s="131" t="s">
        <v>1126</v>
      </c>
      <c r="D5007" s="131">
        <v>16</v>
      </c>
      <c r="E5007" s="131" t="s">
        <v>1795</v>
      </c>
      <c r="F5007" s="767">
        <v>-118382</v>
      </c>
      <c r="G5007" s="767">
        <v>-10194</v>
      </c>
      <c r="H5007" s="767">
        <v>-128576</v>
      </c>
      <c r="I5007" s="768" t="s">
        <v>1796</v>
      </c>
    </row>
    <row r="5008" spans="1:9" x14ac:dyDescent="0.25">
      <c r="A5008" s="753"/>
      <c r="C5008" s="131" t="s">
        <v>1126</v>
      </c>
      <c r="D5008" s="131">
        <v>16</v>
      </c>
      <c r="E5008" s="131" t="s">
        <v>1797</v>
      </c>
      <c r="F5008" s="767">
        <v>-10120</v>
      </c>
      <c r="G5008" s="767">
        <v>0</v>
      </c>
      <c r="H5008" s="767">
        <v>-10120</v>
      </c>
      <c r="I5008" s="768" t="s">
        <v>1798</v>
      </c>
    </row>
    <row r="5009" spans="1:9" x14ac:dyDescent="0.25">
      <c r="A5009" s="753"/>
      <c r="C5009" s="131" t="s">
        <v>1126</v>
      </c>
      <c r="D5009" s="131">
        <v>16</v>
      </c>
      <c r="E5009" s="131" t="s">
        <v>1799</v>
      </c>
      <c r="F5009" s="767">
        <v>-8310</v>
      </c>
      <c r="G5009" s="767">
        <v>0</v>
      </c>
      <c r="H5009" s="767">
        <v>-8310</v>
      </c>
      <c r="I5009" s="768" t="s">
        <v>1800</v>
      </c>
    </row>
    <row r="5010" spans="1:9" x14ac:dyDescent="0.25">
      <c r="A5010" s="753"/>
      <c r="C5010" s="131" t="s">
        <v>1126</v>
      </c>
      <c r="D5010" s="131">
        <v>16</v>
      </c>
      <c r="E5010" s="131" t="s">
        <v>1149</v>
      </c>
      <c r="F5010" s="767">
        <v>-196190.88</v>
      </c>
      <c r="G5010" s="767">
        <v>-18865</v>
      </c>
      <c r="H5010" s="767">
        <v>-215055.88</v>
      </c>
      <c r="I5010" s="768" t="s">
        <v>1801</v>
      </c>
    </row>
    <row r="5011" spans="1:9" x14ac:dyDescent="0.25">
      <c r="A5011" s="753"/>
      <c r="C5011" s="131" t="s">
        <v>1126</v>
      </c>
      <c r="D5011" s="131">
        <v>16</v>
      </c>
      <c r="E5011" s="131" t="s">
        <v>1802</v>
      </c>
      <c r="F5011" s="767">
        <v>-4815</v>
      </c>
      <c r="G5011" s="767">
        <v>0</v>
      </c>
      <c r="H5011" s="767">
        <v>-4815</v>
      </c>
      <c r="I5011" s="768" t="s">
        <v>1803</v>
      </c>
    </row>
    <row r="5012" spans="1:9" x14ac:dyDescent="0.25">
      <c r="A5012" s="753"/>
      <c r="C5012" s="131" t="s">
        <v>1126</v>
      </c>
      <c r="D5012" s="131">
        <v>16</v>
      </c>
      <c r="E5012" s="131" t="s">
        <v>973</v>
      </c>
      <c r="F5012" s="767">
        <v>-108290</v>
      </c>
      <c r="G5012" s="767">
        <v>-13685</v>
      </c>
      <c r="H5012" s="767">
        <v>-121975</v>
      </c>
      <c r="I5012" s="768" t="s">
        <v>1804</v>
      </c>
    </row>
    <row r="5013" spans="1:9" x14ac:dyDescent="0.25">
      <c r="A5013" s="753"/>
      <c r="C5013" s="131" t="s">
        <v>1126</v>
      </c>
      <c r="D5013" s="131">
        <v>16</v>
      </c>
      <c r="E5013" s="131" t="s">
        <v>126</v>
      </c>
      <c r="F5013" s="767">
        <v>-41380.5</v>
      </c>
      <c r="G5013" s="767">
        <v>-3046</v>
      </c>
      <c r="H5013" s="767">
        <v>-44426.5</v>
      </c>
      <c r="I5013" s="768" t="s">
        <v>1805</v>
      </c>
    </row>
    <row r="5014" spans="1:9" x14ac:dyDescent="0.25">
      <c r="A5014" s="753"/>
      <c r="C5014" s="131" t="s">
        <v>1127</v>
      </c>
      <c r="D5014" s="131">
        <v>16</v>
      </c>
      <c r="E5014" s="131" t="s">
        <v>1127</v>
      </c>
      <c r="F5014" s="767">
        <v>18783.349999999999</v>
      </c>
      <c r="G5014" s="767">
        <v>1934.9</v>
      </c>
      <c r="H5014" s="767">
        <v>20718.25</v>
      </c>
      <c r="I5014" s="768" t="s">
        <v>1806</v>
      </c>
    </row>
    <row r="5015" spans="1:9" x14ac:dyDescent="0.25">
      <c r="A5015" s="753"/>
      <c r="C5015" s="131" t="s">
        <v>1127</v>
      </c>
      <c r="D5015" s="131">
        <v>16</v>
      </c>
      <c r="E5015" s="131" t="s">
        <v>1807</v>
      </c>
      <c r="F5015" s="767">
        <v>87942</v>
      </c>
      <c r="G5015" s="767">
        <v>7464</v>
      </c>
      <c r="H5015" s="767">
        <v>95406</v>
      </c>
      <c r="I5015" s="768" t="s">
        <v>1808</v>
      </c>
    </row>
    <row r="5016" spans="1:9" x14ac:dyDescent="0.25">
      <c r="A5016" s="753"/>
      <c r="C5016" s="131" t="s">
        <v>1127</v>
      </c>
      <c r="D5016" s="131">
        <v>16</v>
      </c>
      <c r="E5016" s="131" t="s">
        <v>1809</v>
      </c>
      <c r="F5016" s="767">
        <v>7084</v>
      </c>
      <c r="G5016" s="767">
        <v>0</v>
      </c>
      <c r="H5016" s="767">
        <v>7084</v>
      </c>
      <c r="I5016" s="768" t="s">
        <v>1810</v>
      </c>
    </row>
    <row r="5017" spans="1:9" x14ac:dyDescent="0.25">
      <c r="A5017" s="753"/>
      <c r="C5017" s="131" t="s">
        <v>1127</v>
      </c>
      <c r="D5017" s="131">
        <v>16</v>
      </c>
      <c r="E5017" s="131" t="s">
        <v>1811</v>
      </c>
      <c r="F5017" s="767">
        <v>5210</v>
      </c>
      <c r="G5017" s="767">
        <v>0</v>
      </c>
      <c r="H5017" s="767">
        <v>5210</v>
      </c>
      <c r="I5017" s="768" t="s">
        <v>1812</v>
      </c>
    </row>
    <row r="5018" spans="1:9" x14ac:dyDescent="0.25">
      <c r="A5018" s="753"/>
      <c r="C5018" s="131" t="s">
        <v>1127</v>
      </c>
      <c r="D5018" s="131">
        <v>16</v>
      </c>
      <c r="E5018" s="131" t="s">
        <v>1150</v>
      </c>
      <c r="F5018" s="767">
        <v>82708.88</v>
      </c>
      <c r="G5018" s="767">
        <v>7700</v>
      </c>
      <c r="H5018" s="767">
        <v>90408.88</v>
      </c>
      <c r="I5018" s="768" t="s">
        <v>1813</v>
      </c>
    </row>
    <row r="5019" spans="1:9" x14ac:dyDescent="0.25">
      <c r="A5019" s="753"/>
      <c r="C5019" s="131" t="s">
        <v>1127</v>
      </c>
      <c r="D5019" s="131">
        <v>16</v>
      </c>
      <c r="E5019" s="131" t="s">
        <v>1814</v>
      </c>
      <c r="F5019" s="767">
        <v>2355.4</v>
      </c>
      <c r="G5019" s="767">
        <v>0</v>
      </c>
      <c r="H5019" s="767">
        <v>2355.4</v>
      </c>
      <c r="I5019" s="768" t="s">
        <v>1815</v>
      </c>
    </row>
    <row r="5020" spans="1:9" x14ac:dyDescent="0.25">
      <c r="A5020" s="753"/>
      <c r="C5020" s="131" t="s">
        <v>1127</v>
      </c>
      <c r="D5020" s="131">
        <v>16</v>
      </c>
      <c r="E5020" s="131" t="s">
        <v>1058</v>
      </c>
      <c r="F5020" s="767">
        <v>26863</v>
      </c>
      <c r="G5020" s="767">
        <v>2009.95</v>
      </c>
      <c r="H5020" s="767">
        <v>28872.95</v>
      </c>
      <c r="I5020" s="768" t="s">
        <v>1816</v>
      </c>
    </row>
    <row r="5021" spans="1:9" x14ac:dyDescent="0.25">
      <c r="A5021" s="753"/>
      <c r="C5021" s="131" t="s">
        <v>1129</v>
      </c>
      <c r="D5021" s="131">
        <v>16</v>
      </c>
      <c r="E5021" s="131" t="s">
        <v>1129</v>
      </c>
      <c r="F5021" s="767">
        <v>-114317.94</v>
      </c>
      <c r="G5021" s="767">
        <v>-15368</v>
      </c>
      <c r="H5021" s="767">
        <v>-129685.94</v>
      </c>
      <c r="I5021" s="768" t="s">
        <v>1818</v>
      </c>
    </row>
    <row r="5022" spans="1:9" x14ac:dyDescent="0.25">
      <c r="A5022" s="753"/>
      <c r="C5022" s="131" t="s">
        <v>1130</v>
      </c>
      <c r="D5022" s="131">
        <v>16</v>
      </c>
      <c r="E5022" s="131" t="s">
        <v>1130</v>
      </c>
      <c r="F5022" s="767">
        <v>64063</v>
      </c>
      <c r="G5022" s="767">
        <v>10427</v>
      </c>
      <c r="H5022" s="767">
        <v>74490</v>
      </c>
      <c r="I5022" s="768" t="s">
        <v>1819</v>
      </c>
    </row>
    <row r="5023" spans="1:9" x14ac:dyDescent="0.25">
      <c r="A5023" s="753"/>
      <c r="C5023" s="131" t="s">
        <v>1132</v>
      </c>
      <c r="D5023" s="131">
        <v>16</v>
      </c>
      <c r="E5023" s="131" t="s">
        <v>1132</v>
      </c>
      <c r="F5023" s="767">
        <v>-31815.1</v>
      </c>
      <c r="G5023" s="767">
        <v>-3545.2</v>
      </c>
      <c r="H5023" s="767">
        <v>-35360.300000000003</v>
      </c>
      <c r="I5023" s="768" t="s">
        <v>1821</v>
      </c>
    </row>
    <row r="5024" spans="1:9" x14ac:dyDescent="0.25">
      <c r="A5024" s="753"/>
      <c r="C5024" s="131" t="s">
        <v>1133</v>
      </c>
      <c r="D5024" s="131">
        <v>16</v>
      </c>
      <c r="E5024" s="131" t="s">
        <v>1133</v>
      </c>
      <c r="F5024" s="767">
        <v>22107.3</v>
      </c>
      <c r="G5024" s="767">
        <v>2729.1</v>
      </c>
      <c r="H5024" s="767">
        <v>24836.400000000001</v>
      </c>
      <c r="I5024" s="768" t="s">
        <v>1822</v>
      </c>
    </row>
    <row r="5025" spans="1:9" x14ac:dyDescent="0.25">
      <c r="A5025" s="753">
        <v>702822</v>
      </c>
      <c r="B5025" s="130">
        <v>580</v>
      </c>
      <c r="E5025" s="131"/>
    </row>
    <row r="5026" spans="1:9" x14ac:dyDescent="0.25">
      <c r="A5026" s="753">
        <v>702824</v>
      </c>
      <c r="B5026" s="130">
        <v>800302</v>
      </c>
      <c r="E5026" s="131"/>
    </row>
    <row r="5027" spans="1:9" x14ac:dyDescent="0.25">
      <c r="A5027" s="753">
        <v>702826</v>
      </c>
      <c r="B5027" s="130">
        <v>450921</v>
      </c>
      <c r="C5027" s="131" t="s">
        <v>1126</v>
      </c>
      <c r="D5027" s="131">
        <v>16</v>
      </c>
      <c r="E5027" s="131" t="s">
        <v>1126</v>
      </c>
      <c r="F5027" s="767">
        <v>-89737.82</v>
      </c>
      <c r="G5027" s="767">
        <v>-10469.99</v>
      </c>
      <c r="H5027" s="767">
        <v>-100207.81</v>
      </c>
      <c r="I5027" s="768" t="s">
        <v>1793</v>
      </c>
    </row>
    <row r="5028" spans="1:9" x14ac:dyDescent="0.25">
      <c r="A5028" s="753"/>
      <c r="C5028" s="131" t="s">
        <v>1126</v>
      </c>
      <c r="D5028" s="131">
        <v>16</v>
      </c>
      <c r="E5028" s="131" t="s">
        <v>1170</v>
      </c>
      <c r="F5028" s="767">
        <v>-1769.38</v>
      </c>
      <c r="G5028" s="767">
        <v>0</v>
      </c>
      <c r="H5028" s="767">
        <v>-1769.38</v>
      </c>
      <c r="I5028" s="768" t="s">
        <v>1794</v>
      </c>
    </row>
    <row r="5029" spans="1:9" x14ac:dyDescent="0.25">
      <c r="A5029" s="753"/>
      <c r="C5029" s="131" t="s">
        <v>1126</v>
      </c>
      <c r="D5029" s="131">
        <v>16</v>
      </c>
      <c r="E5029" s="131" t="s">
        <v>1795</v>
      </c>
      <c r="F5029" s="767">
        <v>-118382</v>
      </c>
      <c r="G5029" s="767">
        <v>-10194</v>
      </c>
      <c r="H5029" s="767">
        <v>-128576</v>
      </c>
      <c r="I5029" s="768" t="s">
        <v>1796</v>
      </c>
    </row>
    <row r="5030" spans="1:9" x14ac:dyDescent="0.25">
      <c r="A5030" s="753"/>
      <c r="C5030" s="131" t="s">
        <v>1126</v>
      </c>
      <c r="D5030" s="131">
        <v>16</v>
      </c>
      <c r="E5030" s="131" t="s">
        <v>1797</v>
      </c>
      <c r="F5030" s="767">
        <v>-10120</v>
      </c>
      <c r="G5030" s="767">
        <v>0</v>
      </c>
      <c r="H5030" s="767">
        <v>-10120</v>
      </c>
      <c r="I5030" s="768" t="s">
        <v>1798</v>
      </c>
    </row>
    <row r="5031" spans="1:9" x14ac:dyDescent="0.25">
      <c r="A5031" s="753"/>
      <c r="C5031" s="131" t="s">
        <v>1126</v>
      </c>
      <c r="D5031" s="131">
        <v>16</v>
      </c>
      <c r="E5031" s="131" t="s">
        <v>1799</v>
      </c>
      <c r="F5031" s="767">
        <v>-8310</v>
      </c>
      <c r="G5031" s="767">
        <v>0</v>
      </c>
      <c r="H5031" s="767">
        <v>-8310</v>
      </c>
      <c r="I5031" s="768" t="s">
        <v>1800</v>
      </c>
    </row>
    <row r="5032" spans="1:9" x14ac:dyDescent="0.25">
      <c r="A5032" s="753"/>
      <c r="C5032" s="131" t="s">
        <v>1126</v>
      </c>
      <c r="D5032" s="131">
        <v>16</v>
      </c>
      <c r="E5032" s="131" t="s">
        <v>1149</v>
      </c>
      <c r="F5032" s="767">
        <v>-196190.88</v>
      </c>
      <c r="G5032" s="767">
        <v>-18865</v>
      </c>
      <c r="H5032" s="767">
        <v>-215055.88</v>
      </c>
      <c r="I5032" s="768" t="s">
        <v>1801</v>
      </c>
    </row>
    <row r="5033" spans="1:9" x14ac:dyDescent="0.25">
      <c r="A5033" s="753"/>
      <c r="C5033" s="131" t="s">
        <v>1126</v>
      </c>
      <c r="D5033" s="131">
        <v>16</v>
      </c>
      <c r="E5033" s="131" t="s">
        <v>1802</v>
      </c>
      <c r="F5033" s="767">
        <v>-4815</v>
      </c>
      <c r="G5033" s="767">
        <v>0</v>
      </c>
      <c r="H5033" s="767">
        <v>-4815</v>
      </c>
      <c r="I5033" s="768" t="s">
        <v>1803</v>
      </c>
    </row>
    <row r="5034" spans="1:9" x14ac:dyDescent="0.25">
      <c r="A5034" s="753"/>
      <c r="C5034" s="131" t="s">
        <v>1126</v>
      </c>
      <c r="D5034" s="131">
        <v>16</v>
      </c>
      <c r="E5034" s="131" t="s">
        <v>973</v>
      </c>
      <c r="F5034" s="767">
        <v>-108290</v>
      </c>
      <c r="G5034" s="767">
        <v>-13685</v>
      </c>
      <c r="H5034" s="767">
        <v>-121975</v>
      </c>
      <c r="I5034" s="768" t="s">
        <v>1804</v>
      </c>
    </row>
    <row r="5035" spans="1:9" x14ac:dyDescent="0.25">
      <c r="A5035" s="753"/>
      <c r="C5035" s="131" t="s">
        <v>1126</v>
      </c>
      <c r="D5035" s="131">
        <v>16</v>
      </c>
      <c r="E5035" s="131" t="s">
        <v>126</v>
      </c>
      <c r="F5035" s="767">
        <v>-41380.5</v>
      </c>
      <c r="G5035" s="767">
        <v>-3046</v>
      </c>
      <c r="H5035" s="767">
        <v>-44426.5</v>
      </c>
      <c r="I5035" s="768" t="s">
        <v>1805</v>
      </c>
    </row>
    <row r="5036" spans="1:9" x14ac:dyDescent="0.25">
      <c r="A5036" s="753"/>
      <c r="C5036" s="131" t="s">
        <v>1127</v>
      </c>
      <c r="D5036" s="131">
        <v>16</v>
      </c>
      <c r="E5036" s="131" t="s">
        <v>1127</v>
      </c>
      <c r="F5036" s="767">
        <v>18783.349999999999</v>
      </c>
      <c r="G5036" s="767">
        <v>1934.9</v>
      </c>
      <c r="H5036" s="767">
        <v>20718.25</v>
      </c>
      <c r="I5036" s="768" t="s">
        <v>1806</v>
      </c>
    </row>
    <row r="5037" spans="1:9" x14ac:dyDescent="0.25">
      <c r="A5037" s="753"/>
      <c r="C5037" s="131" t="s">
        <v>1127</v>
      </c>
      <c r="D5037" s="131">
        <v>16</v>
      </c>
      <c r="E5037" s="131" t="s">
        <v>1807</v>
      </c>
      <c r="F5037" s="767">
        <v>87942</v>
      </c>
      <c r="G5037" s="767">
        <v>7464</v>
      </c>
      <c r="H5037" s="767">
        <v>95406</v>
      </c>
      <c r="I5037" s="768" t="s">
        <v>1808</v>
      </c>
    </row>
    <row r="5038" spans="1:9" x14ac:dyDescent="0.25">
      <c r="A5038" s="753"/>
      <c r="C5038" s="131" t="s">
        <v>1127</v>
      </c>
      <c r="D5038" s="131">
        <v>16</v>
      </c>
      <c r="E5038" s="131" t="s">
        <v>1809</v>
      </c>
      <c r="F5038" s="767">
        <v>7084</v>
      </c>
      <c r="G5038" s="767">
        <v>0</v>
      </c>
      <c r="H5038" s="767">
        <v>7084</v>
      </c>
      <c r="I5038" s="768" t="s">
        <v>1810</v>
      </c>
    </row>
    <row r="5039" spans="1:9" x14ac:dyDescent="0.25">
      <c r="A5039" s="753"/>
      <c r="C5039" s="131" t="s">
        <v>1127</v>
      </c>
      <c r="D5039" s="131">
        <v>16</v>
      </c>
      <c r="E5039" s="131" t="s">
        <v>1811</v>
      </c>
      <c r="F5039" s="767">
        <v>5210</v>
      </c>
      <c r="G5039" s="767">
        <v>0</v>
      </c>
      <c r="H5039" s="767">
        <v>5210</v>
      </c>
      <c r="I5039" s="768" t="s">
        <v>1812</v>
      </c>
    </row>
    <row r="5040" spans="1:9" x14ac:dyDescent="0.25">
      <c r="A5040" s="753"/>
      <c r="C5040" s="131" t="s">
        <v>1127</v>
      </c>
      <c r="D5040" s="131">
        <v>16</v>
      </c>
      <c r="E5040" s="131" t="s">
        <v>1150</v>
      </c>
      <c r="F5040" s="767">
        <v>82708.88</v>
      </c>
      <c r="G5040" s="767">
        <v>7700</v>
      </c>
      <c r="H5040" s="767">
        <v>90408.88</v>
      </c>
      <c r="I5040" s="768" t="s">
        <v>1813</v>
      </c>
    </row>
    <row r="5041" spans="1:9" x14ac:dyDescent="0.25">
      <c r="A5041" s="753"/>
      <c r="C5041" s="131" t="s">
        <v>1127</v>
      </c>
      <c r="D5041" s="131">
        <v>16</v>
      </c>
      <c r="E5041" s="131" t="s">
        <v>1814</v>
      </c>
      <c r="F5041" s="767">
        <v>2355.4</v>
      </c>
      <c r="G5041" s="767">
        <v>0</v>
      </c>
      <c r="H5041" s="767">
        <v>2355.4</v>
      </c>
      <c r="I5041" s="768" t="s">
        <v>1815</v>
      </c>
    </row>
    <row r="5042" spans="1:9" x14ac:dyDescent="0.25">
      <c r="A5042" s="753"/>
      <c r="C5042" s="131" t="s">
        <v>1127</v>
      </c>
      <c r="D5042" s="131">
        <v>16</v>
      </c>
      <c r="E5042" s="131" t="s">
        <v>1058</v>
      </c>
      <c r="F5042" s="767">
        <v>26863</v>
      </c>
      <c r="G5042" s="767">
        <v>2009.95</v>
      </c>
      <c r="H5042" s="767">
        <v>28872.95</v>
      </c>
      <c r="I5042" s="768" t="s">
        <v>1816</v>
      </c>
    </row>
    <row r="5043" spans="1:9" x14ac:dyDescent="0.25">
      <c r="A5043" s="753"/>
      <c r="C5043" s="131" t="s">
        <v>1129</v>
      </c>
      <c r="D5043" s="131">
        <v>16</v>
      </c>
      <c r="E5043" s="131" t="s">
        <v>1129</v>
      </c>
      <c r="F5043" s="767">
        <v>-114317.94</v>
      </c>
      <c r="G5043" s="767">
        <v>-15368</v>
      </c>
      <c r="H5043" s="767">
        <v>-129685.94</v>
      </c>
      <c r="I5043" s="768" t="s">
        <v>1818</v>
      </c>
    </row>
    <row r="5044" spans="1:9" x14ac:dyDescent="0.25">
      <c r="A5044" s="753"/>
      <c r="C5044" s="131" t="s">
        <v>1130</v>
      </c>
      <c r="D5044" s="131">
        <v>16</v>
      </c>
      <c r="E5044" s="131" t="s">
        <v>1130</v>
      </c>
      <c r="F5044" s="767">
        <v>64063</v>
      </c>
      <c r="G5044" s="767">
        <v>10427</v>
      </c>
      <c r="H5044" s="767">
        <v>74490</v>
      </c>
      <c r="I5044" s="768" t="s">
        <v>1819</v>
      </c>
    </row>
    <row r="5045" spans="1:9" x14ac:dyDescent="0.25">
      <c r="A5045" s="753"/>
      <c r="C5045" s="131" t="s">
        <v>1132</v>
      </c>
      <c r="D5045" s="131">
        <v>16</v>
      </c>
      <c r="E5045" s="131" t="s">
        <v>1132</v>
      </c>
      <c r="F5045" s="767">
        <v>-31815.1</v>
      </c>
      <c r="G5045" s="767">
        <v>-3545.2</v>
      </c>
      <c r="H5045" s="767">
        <v>-35360.300000000003</v>
      </c>
      <c r="I5045" s="768" t="s">
        <v>1821</v>
      </c>
    </row>
    <row r="5046" spans="1:9" x14ac:dyDescent="0.25">
      <c r="A5046" s="753"/>
      <c r="C5046" s="131" t="s">
        <v>1133</v>
      </c>
      <c r="D5046" s="131">
        <v>16</v>
      </c>
      <c r="E5046" s="131" t="s">
        <v>1133</v>
      </c>
      <c r="F5046" s="767">
        <v>22107.3</v>
      </c>
      <c r="G5046" s="767">
        <v>2729.1</v>
      </c>
      <c r="H5046" s="767">
        <v>24836.400000000001</v>
      </c>
      <c r="I5046" s="768" t="s">
        <v>1822</v>
      </c>
    </row>
    <row r="5047" spans="1:9" x14ac:dyDescent="0.25">
      <c r="A5047" s="753">
        <v>707516</v>
      </c>
      <c r="B5047" s="130">
        <v>16633</v>
      </c>
      <c r="C5047" s="131">
        <v>442</v>
      </c>
      <c r="D5047" s="131">
        <v>16</v>
      </c>
      <c r="E5047" s="131">
        <v>442</v>
      </c>
      <c r="F5047" s="767">
        <v>-1651403.26</v>
      </c>
      <c r="G5047" s="767">
        <v>-76551</v>
      </c>
      <c r="H5047" s="767">
        <v>-1727954.26</v>
      </c>
      <c r="I5047" s="768" t="s">
        <v>1701</v>
      </c>
    </row>
    <row r="5048" spans="1:9" x14ac:dyDescent="0.25">
      <c r="A5048" s="753"/>
      <c r="C5048" s="131">
        <v>642</v>
      </c>
      <c r="D5048" s="131">
        <v>16</v>
      </c>
      <c r="E5048" s="131">
        <v>642</v>
      </c>
      <c r="F5048" s="767">
        <v>1546952.19</v>
      </c>
      <c r="G5048" s="767">
        <v>67158.94</v>
      </c>
      <c r="H5048" s="767">
        <v>1614111.13</v>
      </c>
      <c r="I5048" s="768" t="s">
        <v>1702</v>
      </c>
    </row>
    <row r="5049" spans="1:9" x14ac:dyDescent="0.25">
      <c r="A5049" s="753"/>
      <c r="C5049" s="131">
        <v>643</v>
      </c>
      <c r="D5049" s="131">
        <v>16</v>
      </c>
      <c r="E5049" s="131">
        <v>643</v>
      </c>
      <c r="F5049" s="767">
        <v>40863.03</v>
      </c>
      <c r="G5049" s="767">
        <v>4191.04</v>
      </c>
      <c r="H5049" s="767">
        <v>45054.07</v>
      </c>
      <c r="I5049" s="768" t="s">
        <v>1703</v>
      </c>
    </row>
    <row r="5050" spans="1:9" x14ac:dyDescent="0.25">
      <c r="A5050" s="753"/>
      <c r="C5050" s="131" t="s">
        <v>1096</v>
      </c>
      <c r="D5050" s="131">
        <v>16</v>
      </c>
      <c r="E5050" s="131" t="s">
        <v>1096</v>
      </c>
      <c r="F5050" s="767">
        <v>-2644494</v>
      </c>
      <c r="G5050" s="767">
        <v>-161600</v>
      </c>
      <c r="H5050" s="767">
        <v>-2806094</v>
      </c>
      <c r="I5050" s="768" t="s">
        <v>1705</v>
      </c>
    </row>
    <row r="5051" spans="1:9" x14ac:dyDescent="0.25">
      <c r="A5051" s="753"/>
      <c r="C5051" s="131" t="s">
        <v>1086</v>
      </c>
      <c r="D5051" s="131">
        <v>16</v>
      </c>
      <c r="E5051" s="131" t="s">
        <v>1086</v>
      </c>
      <c r="F5051" s="767">
        <v>2614487.8199999998</v>
      </c>
      <c r="G5051" s="767">
        <v>157364.25</v>
      </c>
      <c r="H5051" s="767">
        <v>2771852.07</v>
      </c>
      <c r="I5051" s="768" t="s">
        <v>1706</v>
      </c>
    </row>
    <row r="5052" spans="1:9" x14ac:dyDescent="0.25">
      <c r="A5052" s="753"/>
      <c r="C5052" s="131">
        <v>451</v>
      </c>
      <c r="D5052" s="131">
        <v>16</v>
      </c>
      <c r="E5052" s="131">
        <v>451</v>
      </c>
      <c r="F5052" s="767">
        <v>-14963.99</v>
      </c>
      <c r="G5052" s="767">
        <v>-798</v>
      </c>
      <c r="H5052" s="767">
        <v>-15761.99</v>
      </c>
      <c r="I5052" s="768" t="s">
        <v>1713</v>
      </c>
    </row>
    <row r="5053" spans="1:9" x14ac:dyDescent="0.25">
      <c r="A5053" s="753"/>
      <c r="C5053" s="131">
        <v>451</v>
      </c>
      <c r="D5053" s="131">
        <v>16</v>
      </c>
      <c r="E5053" s="131" t="s">
        <v>2262</v>
      </c>
      <c r="F5053" s="767">
        <v>0</v>
      </c>
      <c r="G5053" s="767">
        <v>-1879</v>
      </c>
      <c r="H5053" s="767">
        <v>-1879</v>
      </c>
      <c r="I5053" s="768" t="s">
        <v>2263</v>
      </c>
    </row>
    <row r="5054" spans="1:9" x14ac:dyDescent="0.25">
      <c r="A5054" s="753"/>
      <c r="C5054" s="131">
        <v>451</v>
      </c>
      <c r="D5054" s="131">
        <v>16</v>
      </c>
      <c r="E5054" s="131" t="s">
        <v>2264</v>
      </c>
      <c r="F5054" s="767">
        <v>0</v>
      </c>
      <c r="G5054" s="767">
        <v>-1495</v>
      </c>
      <c r="H5054" s="767">
        <v>-1495</v>
      </c>
      <c r="I5054" s="768" t="s">
        <v>2265</v>
      </c>
    </row>
    <row r="5055" spans="1:9" x14ac:dyDescent="0.25">
      <c r="A5055" s="753"/>
      <c r="C5055" s="131">
        <v>453</v>
      </c>
      <c r="D5055" s="131">
        <v>16</v>
      </c>
      <c r="E5055" s="131">
        <v>453</v>
      </c>
      <c r="F5055" s="767">
        <v>-19920.2</v>
      </c>
      <c r="G5055" s="767">
        <v>-2226.5</v>
      </c>
      <c r="H5055" s="767">
        <v>-22146.7</v>
      </c>
      <c r="I5055" s="768" t="s">
        <v>1714</v>
      </c>
    </row>
    <row r="5056" spans="1:9" x14ac:dyDescent="0.25">
      <c r="A5056" s="753"/>
      <c r="C5056" s="131">
        <v>455</v>
      </c>
      <c r="D5056" s="131">
        <v>16</v>
      </c>
      <c r="E5056" s="131">
        <v>455</v>
      </c>
      <c r="F5056" s="767">
        <v>-24874</v>
      </c>
      <c r="G5056" s="767">
        <v>-3631</v>
      </c>
      <c r="H5056" s="767">
        <v>-28505</v>
      </c>
      <c r="I5056" s="768" t="s">
        <v>1715</v>
      </c>
    </row>
    <row r="5057" spans="1:9" x14ac:dyDescent="0.25">
      <c r="A5057" s="753"/>
      <c r="C5057" s="131">
        <v>651</v>
      </c>
      <c r="D5057" s="131">
        <v>16</v>
      </c>
      <c r="E5057" s="131">
        <v>651</v>
      </c>
      <c r="F5057" s="767">
        <v>2984.9</v>
      </c>
      <c r="G5057" s="767">
        <v>140</v>
      </c>
      <c r="H5057" s="767">
        <v>3124.9</v>
      </c>
      <c r="I5057" s="768" t="s">
        <v>1716</v>
      </c>
    </row>
    <row r="5058" spans="1:9" x14ac:dyDescent="0.25">
      <c r="A5058" s="753"/>
      <c r="C5058" s="131">
        <v>651</v>
      </c>
      <c r="D5058" s="131">
        <v>16</v>
      </c>
      <c r="E5058" s="131" t="s">
        <v>2266</v>
      </c>
      <c r="F5058" s="767">
        <v>0</v>
      </c>
      <c r="G5058" s="767">
        <v>1315.3</v>
      </c>
      <c r="H5058" s="767">
        <v>1315.3</v>
      </c>
      <c r="I5058" s="768" t="s">
        <v>2267</v>
      </c>
    </row>
    <row r="5059" spans="1:9" x14ac:dyDescent="0.25">
      <c r="A5059" s="753"/>
      <c r="C5059" s="131">
        <v>651</v>
      </c>
      <c r="D5059" s="131">
        <v>16</v>
      </c>
      <c r="E5059" s="131" t="s">
        <v>2268</v>
      </c>
      <c r="F5059" s="767">
        <v>0</v>
      </c>
      <c r="G5059" s="767">
        <v>747.5</v>
      </c>
      <c r="H5059" s="767">
        <v>747.5</v>
      </c>
      <c r="I5059" s="768" t="s">
        <v>2269</v>
      </c>
    </row>
    <row r="5060" spans="1:9" x14ac:dyDescent="0.25">
      <c r="A5060" s="753"/>
      <c r="C5060" s="131">
        <v>655</v>
      </c>
      <c r="D5060" s="131">
        <v>16</v>
      </c>
      <c r="E5060" s="131">
        <v>655</v>
      </c>
      <c r="F5060" s="767">
        <v>16330</v>
      </c>
      <c r="G5060" s="767">
        <v>631</v>
      </c>
      <c r="H5060" s="767">
        <v>16961</v>
      </c>
      <c r="I5060" s="768" t="s">
        <v>1717</v>
      </c>
    </row>
    <row r="5061" spans="1:9" x14ac:dyDescent="0.25">
      <c r="A5061" s="753"/>
      <c r="C5061" s="131">
        <v>817</v>
      </c>
      <c r="D5061" s="131">
        <v>16</v>
      </c>
      <c r="E5061" s="131">
        <v>817</v>
      </c>
      <c r="F5061" s="767">
        <v>-26075</v>
      </c>
      <c r="G5061" s="767">
        <v>0</v>
      </c>
      <c r="H5061" s="767">
        <v>-26075</v>
      </c>
      <c r="I5061" s="768" t="s">
        <v>1718</v>
      </c>
    </row>
    <row r="5062" spans="1:9" x14ac:dyDescent="0.25">
      <c r="A5062" s="753">
        <v>707616</v>
      </c>
      <c r="B5062" s="130">
        <v>80071</v>
      </c>
      <c r="C5062" s="131" t="s">
        <v>1060</v>
      </c>
      <c r="D5062" s="131">
        <v>16</v>
      </c>
      <c r="E5062" s="131" t="s">
        <v>1060</v>
      </c>
      <c r="F5062" s="767">
        <v>-1460919</v>
      </c>
      <c r="G5062" s="767">
        <v>-53091</v>
      </c>
      <c r="H5062" s="767">
        <v>-1514010</v>
      </c>
      <c r="I5062" s="768" t="s">
        <v>1609</v>
      </c>
    </row>
    <row r="5063" spans="1:9" x14ac:dyDescent="0.25">
      <c r="A5063" s="753"/>
      <c r="C5063" s="131" t="s">
        <v>1061</v>
      </c>
      <c r="D5063" s="131">
        <v>16</v>
      </c>
      <c r="E5063" s="131" t="s">
        <v>1061</v>
      </c>
      <c r="F5063" s="767">
        <v>-1549824.14</v>
      </c>
      <c r="G5063" s="767">
        <v>-195712.38</v>
      </c>
      <c r="H5063" s="767">
        <v>-1745536.52</v>
      </c>
      <c r="I5063" s="768" t="s">
        <v>1610</v>
      </c>
    </row>
    <row r="5064" spans="1:9" x14ac:dyDescent="0.25">
      <c r="A5064" s="753"/>
      <c r="C5064" s="131" t="s">
        <v>1062</v>
      </c>
      <c r="D5064" s="131">
        <v>16</v>
      </c>
      <c r="E5064" s="131" t="s">
        <v>1062</v>
      </c>
      <c r="F5064" s="767">
        <v>1375160.23</v>
      </c>
      <c r="G5064" s="767">
        <v>47910.8</v>
      </c>
      <c r="H5064" s="767">
        <v>1423071.03</v>
      </c>
      <c r="I5064" s="768" t="s">
        <v>1611</v>
      </c>
    </row>
    <row r="5065" spans="1:9" x14ac:dyDescent="0.25">
      <c r="A5065" s="753"/>
      <c r="C5065" s="131" t="s">
        <v>1063</v>
      </c>
      <c r="D5065" s="131">
        <v>16</v>
      </c>
      <c r="E5065" s="131" t="s">
        <v>1063</v>
      </c>
      <c r="F5065" s="767">
        <v>1475708.6</v>
      </c>
      <c r="G5065" s="767">
        <v>186649.34</v>
      </c>
      <c r="H5065" s="767">
        <v>1662357.94</v>
      </c>
      <c r="I5065" s="768" t="s">
        <v>1612</v>
      </c>
    </row>
    <row r="5066" spans="1:9" x14ac:dyDescent="0.25">
      <c r="A5066" s="753"/>
      <c r="C5066" s="131" t="s">
        <v>1064</v>
      </c>
      <c r="D5066" s="131">
        <v>16</v>
      </c>
      <c r="E5066" s="131" t="s">
        <v>1064</v>
      </c>
      <c r="F5066" s="767">
        <v>21586.03</v>
      </c>
      <c r="G5066" s="767">
        <v>462.45</v>
      </c>
      <c r="H5066" s="767">
        <v>22048.48</v>
      </c>
      <c r="I5066" s="768" t="s">
        <v>1613</v>
      </c>
    </row>
    <row r="5067" spans="1:9" x14ac:dyDescent="0.25">
      <c r="A5067" s="753"/>
      <c r="C5067" s="131" t="s">
        <v>1065</v>
      </c>
      <c r="D5067" s="131">
        <v>16</v>
      </c>
      <c r="E5067" s="131" t="s">
        <v>1065</v>
      </c>
      <c r="F5067" s="767">
        <v>18995.09</v>
      </c>
      <c r="G5067" s="767">
        <v>3073.52</v>
      </c>
      <c r="H5067" s="767">
        <v>22068.61</v>
      </c>
      <c r="I5067" s="768" t="s">
        <v>1614</v>
      </c>
    </row>
    <row r="5068" spans="1:9" x14ac:dyDescent="0.25">
      <c r="A5068" s="753"/>
      <c r="C5068" s="131" t="s">
        <v>1067</v>
      </c>
      <c r="D5068" s="131">
        <v>16</v>
      </c>
      <c r="E5068" s="131" t="s">
        <v>1067</v>
      </c>
      <c r="F5068" s="767">
        <v>-1130418.73</v>
      </c>
      <c r="G5068" s="767">
        <v>-109756</v>
      </c>
      <c r="H5068" s="767">
        <v>-1240174.73</v>
      </c>
      <c r="I5068" s="768" t="s">
        <v>1618</v>
      </c>
    </row>
    <row r="5069" spans="1:9" x14ac:dyDescent="0.25">
      <c r="A5069" s="753"/>
      <c r="C5069" s="131" t="s">
        <v>1068</v>
      </c>
      <c r="D5069" s="131">
        <v>16</v>
      </c>
      <c r="E5069" s="131" t="s">
        <v>1068</v>
      </c>
      <c r="F5069" s="767">
        <v>-1119790.01</v>
      </c>
      <c r="G5069" s="767">
        <v>-77747</v>
      </c>
      <c r="H5069" s="767">
        <v>-1197537.01</v>
      </c>
      <c r="I5069" s="768" t="s">
        <v>1619</v>
      </c>
    </row>
    <row r="5070" spans="1:9" x14ac:dyDescent="0.25">
      <c r="A5070" s="753"/>
      <c r="C5070" s="131" t="s">
        <v>1069</v>
      </c>
      <c r="D5070" s="131">
        <v>16</v>
      </c>
      <c r="E5070" s="131" t="s">
        <v>1069</v>
      </c>
      <c r="F5070" s="767">
        <v>1022346.95</v>
      </c>
      <c r="G5070" s="767">
        <v>96071.65</v>
      </c>
      <c r="H5070" s="767">
        <v>1118418.6000000001</v>
      </c>
      <c r="I5070" s="768" t="s">
        <v>1620</v>
      </c>
    </row>
    <row r="5071" spans="1:9" x14ac:dyDescent="0.25">
      <c r="A5071" s="753"/>
      <c r="C5071" s="131" t="s">
        <v>1621</v>
      </c>
      <c r="D5071" s="131">
        <v>16</v>
      </c>
      <c r="E5071" s="131" t="s">
        <v>1621</v>
      </c>
      <c r="F5071" s="767">
        <v>1010840.53</v>
      </c>
      <c r="G5071" s="767">
        <v>65873.399999999994</v>
      </c>
      <c r="H5071" s="767">
        <v>1076713.93</v>
      </c>
      <c r="I5071" s="768" t="s">
        <v>1622</v>
      </c>
    </row>
    <row r="5072" spans="1:9" x14ac:dyDescent="0.25">
      <c r="A5072" s="753"/>
      <c r="C5072" s="131" t="s">
        <v>1070</v>
      </c>
      <c r="D5072" s="131">
        <v>16</v>
      </c>
      <c r="E5072" s="131" t="s">
        <v>1070</v>
      </c>
      <c r="F5072" s="767">
        <v>49886.239999999998</v>
      </c>
      <c r="G5072" s="767">
        <v>2176.36</v>
      </c>
      <c r="H5072" s="767">
        <v>52062.6</v>
      </c>
      <c r="I5072" s="768" t="s">
        <v>1623</v>
      </c>
    </row>
    <row r="5073" spans="1:9" x14ac:dyDescent="0.25">
      <c r="A5073" s="753"/>
      <c r="C5073" s="131" t="s">
        <v>1071</v>
      </c>
      <c r="D5073" s="131">
        <v>16</v>
      </c>
      <c r="E5073" s="131" t="s">
        <v>1071</v>
      </c>
      <c r="F5073" s="767">
        <v>58297.48</v>
      </c>
      <c r="G5073" s="767">
        <v>1557.59</v>
      </c>
      <c r="H5073" s="767">
        <v>59855.07</v>
      </c>
      <c r="I5073" s="768" t="s">
        <v>1624</v>
      </c>
    </row>
    <row r="5074" spans="1:9" x14ac:dyDescent="0.25">
      <c r="A5074" s="753"/>
      <c r="C5074" s="131" t="s">
        <v>1073</v>
      </c>
      <c r="D5074" s="131">
        <v>16</v>
      </c>
      <c r="E5074" s="131" t="s">
        <v>1073</v>
      </c>
      <c r="F5074" s="767">
        <v>-965583</v>
      </c>
      <c r="G5074" s="767">
        <v>-284605</v>
      </c>
      <c r="H5074" s="767">
        <v>-1250188</v>
      </c>
      <c r="I5074" s="768" t="s">
        <v>1628</v>
      </c>
    </row>
    <row r="5075" spans="1:9" x14ac:dyDescent="0.25">
      <c r="A5075" s="753"/>
      <c r="C5075" s="131" t="s">
        <v>1074</v>
      </c>
      <c r="D5075" s="131">
        <v>16</v>
      </c>
      <c r="E5075" s="131" t="s">
        <v>1074</v>
      </c>
      <c r="F5075" s="767">
        <v>-1430324.1</v>
      </c>
      <c r="G5075" s="767">
        <v>-390900</v>
      </c>
      <c r="H5075" s="767">
        <v>-1821224.1</v>
      </c>
      <c r="I5075" s="768" t="s">
        <v>1629</v>
      </c>
    </row>
    <row r="5076" spans="1:9" x14ac:dyDescent="0.25">
      <c r="A5076" s="753"/>
      <c r="C5076" s="131" t="s">
        <v>1075</v>
      </c>
      <c r="D5076" s="131">
        <v>16</v>
      </c>
      <c r="E5076" s="131" t="s">
        <v>1075</v>
      </c>
      <c r="F5076" s="767">
        <v>954358.14</v>
      </c>
      <c r="G5076" s="767">
        <v>291394.84000000003</v>
      </c>
      <c r="H5076" s="767">
        <v>1245752.98</v>
      </c>
      <c r="I5076" s="768" t="s">
        <v>1630</v>
      </c>
    </row>
    <row r="5077" spans="1:9" x14ac:dyDescent="0.25">
      <c r="A5077" s="753"/>
      <c r="C5077" s="131" t="s">
        <v>1076</v>
      </c>
      <c r="D5077" s="131">
        <v>16</v>
      </c>
      <c r="E5077" s="131" t="s">
        <v>1076</v>
      </c>
      <c r="F5077" s="767">
        <v>1420210.23</v>
      </c>
      <c r="G5077" s="767">
        <v>376052.95</v>
      </c>
      <c r="H5077" s="767">
        <v>1796263.18</v>
      </c>
      <c r="I5077" s="768" t="s">
        <v>1631</v>
      </c>
    </row>
    <row r="5078" spans="1:9" x14ac:dyDescent="0.25">
      <c r="A5078" s="753"/>
      <c r="C5078" s="131">
        <v>448</v>
      </c>
      <c r="D5078" s="131">
        <v>16</v>
      </c>
      <c r="E5078" s="131">
        <v>448</v>
      </c>
      <c r="F5078" s="767">
        <v>-1190183.3500000001</v>
      </c>
      <c r="G5078" s="767">
        <v>-142311.89000000001</v>
      </c>
      <c r="H5078" s="767">
        <v>-1332495.24</v>
      </c>
      <c r="I5078" s="768" t="s">
        <v>1633</v>
      </c>
    </row>
    <row r="5079" spans="1:9" x14ac:dyDescent="0.25">
      <c r="A5079" s="753"/>
      <c r="C5079" s="131">
        <v>648</v>
      </c>
      <c r="D5079" s="131">
        <v>16</v>
      </c>
      <c r="E5079" s="131">
        <v>648</v>
      </c>
      <c r="F5079" s="767">
        <v>1150313.78</v>
      </c>
      <c r="G5079" s="767">
        <v>138940.88</v>
      </c>
      <c r="H5079" s="767">
        <v>1289254.6599999999</v>
      </c>
      <c r="I5079" s="768" t="s">
        <v>1634</v>
      </c>
    </row>
    <row r="5080" spans="1:9" x14ac:dyDescent="0.25">
      <c r="A5080" s="753"/>
      <c r="C5080" s="131">
        <v>450</v>
      </c>
      <c r="D5080" s="131">
        <v>16</v>
      </c>
      <c r="E5080" s="131" t="s">
        <v>296</v>
      </c>
      <c r="F5080" s="767">
        <v>-24681.279999999999</v>
      </c>
      <c r="G5080" s="767">
        <v>-1050.4000000000001</v>
      </c>
      <c r="H5080" s="767">
        <v>-25731.68</v>
      </c>
      <c r="I5080" s="768" t="s">
        <v>1641</v>
      </c>
    </row>
    <row r="5081" spans="1:9" x14ac:dyDescent="0.25">
      <c r="A5081" s="753"/>
      <c r="C5081" s="131">
        <v>450</v>
      </c>
      <c r="D5081" s="131">
        <v>16</v>
      </c>
      <c r="E5081" s="131" t="s">
        <v>1642</v>
      </c>
      <c r="F5081" s="767">
        <v>-1526</v>
      </c>
      <c r="G5081" s="767">
        <v>0</v>
      </c>
      <c r="H5081" s="767">
        <v>-1526</v>
      </c>
      <c r="I5081" s="768" t="s">
        <v>1643</v>
      </c>
    </row>
    <row r="5082" spans="1:9" x14ac:dyDescent="0.25">
      <c r="A5082" s="753"/>
      <c r="C5082" s="131">
        <v>450</v>
      </c>
      <c r="D5082" s="131">
        <v>16</v>
      </c>
      <c r="E5082" s="131">
        <v>450</v>
      </c>
      <c r="F5082" s="767">
        <v>-15561</v>
      </c>
      <c r="G5082" s="767">
        <v>-1596</v>
      </c>
      <c r="H5082" s="767">
        <v>-17157</v>
      </c>
      <c r="I5082" s="768" t="s">
        <v>1644</v>
      </c>
    </row>
    <row r="5083" spans="1:9" x14ac:dyDescent="0.25">
      <c r="A5083" s="753"/>
      <c r="C5083" s="131">
        <v>450</v>
      </c>
      <c r="D5083" s="131">
        <v>16</v>
      </c>
      <c r="E5083" s="131" t="s">
        <v>1645</v>
      </c>
      <c r="F5083" s="767">
        <v>-675</v>
      </c>
      <c r="G5083" s="767">
        <v>0</v>
      </c>
      <c r="H5083" s="767">
        <v>-675</v>
      </c>
      <c r="I5083" s="768" t="s">
        <v>1646</v>
      </c>
    </row>
    <row r="5084" spans="1:9" x14ac:dyDescent="0.25">
      <c r="A5084" s="753"/>
      <c r="C5084" s="131">
        <v>450</v>
      </c>
      <c r="D5084" s="131">
        <v>16</v>
      </c>
      <c r="E5084" s="131" t="s">
        <v>295</v>
      </c>
      <c r="F5084" s="767">
        <v>-9310</v>
      </c>
      <c r="G5084" s="767">
        <v>-545</v>
      </c>
      <c r="H5084" s="767">
        <v>-9855</v>
      </c>
      <c r="I5084" s="768" t="s">
        <v>1647</v>
      </c>
    </row>
    <row r="5085" spans="1:9" x14ac:dyDescent="0.25">
      <c r="A5085" s="753"/>
      <c r="C5085" s="131">
        <v>450</v>
      </c>
      <c r="D5085" s="131">
        <v>16</v>
      </c>
      <c r="E5085" s="131" t="s">
        <v>1648</v>
      </c>
      <c r="F5085" s="767">
        <v>-965</v>
      </c>
      <c r="G5085" s="767">
        <v>0</v>
      </c>
      <c r="H5085" s="767">
        <v>-965</v>
      </c>
      <c r="I5085" s="768" t="s">
        <v>1649</v>
      </c>
    </row>
    <row r="5086" spans="1:9" x14ac:dyDescent="0.25">
      <c r="A5086" s="753"/>
      <c r="C5086" s="131">
        <v>450</v>
      </c>
      <c r="D5086" s="131">
        <v>16</v>
      </c>
      <c r="E5086" s="131" t="s">
        <v>974</v>
      </c>
      <c r="F5086" s="767">
        <v>-80920</v>
      </c>
      <c r="G5086" s="767">
        <v>-7140</v>
      </c>
      <c r="H5086" s="767">
        <v>-88060</v>
      </c>
      <c r="I5086" s="768" t="s">
        <v>1650</v>
      </c>
    </row>
    <row r="5087" spans="1:9" x14ac:dyDescent="0.25">
      <c r="A5087" s="753"/>
      <c r="C5087" s="131">
        <v>450</v>
      </c>
      <c r="D5087" s="131">
        <v>16</v>
      </c>
      <c r="E5087" s="131" t="s">
        <v>292</v>
      </c>
      <c r="F5087" s="767">
        <v>-2798</v>
      </c>
      <c r="G5087" s="767">
        <v>0</v>
      </c>
      <c r="H5087" s="767">
        <v>-2798</v>
      </c>
      <c r="I5087" s="768" t="s">
        <v>1651</v>
      </c>
    </row>
    <row r="5088" spans="1:9" x14ac:dyDescent="0.25">
      <c r="A5088" s="753"/>
      <c r="C5088" s="131">
        <v>450</v>
      </c>
      <c r="D5088" s="131">
        <v>16</v>
      </c>
      <c r="E5088" s="131" t="s">
        <v>1652</v>
      </c>
      <c r="F5088" s="767">
        <v>1068.2</v>
      </c>
      <c r="G5088" s="767">
        <v>0</v>
      </c>
      <c r="H5088" s="767">
        <v>1068.2</v>
      </c>
      <c r="I5088" s="768" t="s">
        <v>1653</v>
      </c>
    </row>
    <row r="5089" spans="1:9" x14ac:dyDescent="0.25">
      <c r="A5089" s="753"/>
      <c r="C5089" s="131">
        <v>450</v>
      </c>
      <c r="D5089" s="131">
        <v>16</v>
      </c>
      <c r="E5089" s="131" t="s">
        <v>1176</v>
      </c>
      <c r="F5089" s="767">
        <v>6380</v>
      </c>
      <c r="G5089" s="767">
        <v>545</v>
      </c>
      <c r="H5089" s="767">
        <v>6925</v>
      </c>
      <c r="I5089" s="768" t="s">
        <v>1654</v>
      </c>
    </row>
    <row r="5090" spans="1:9" x14ac:dyDescent="0.25">
      <c r="A5090" s="753"/>
      <c r="C5090" s="131">
        <v>450</v>
      </c>
      <c r="D5090" s="131">
        <v>16</v>
      </c>
      <c r="E5090" s="131" t="s">
        <v>1655</v>
      </c>
      <c r="F5090" s="767">
        <v>840</v>
      </c>
      <c r="G5090" s="767">
        <v>0</v>
      </c>
      <c r="H5090" s="767">
        <v>840</v>
      </c>
      <c r="I5090" s="768" t="s">
        <v>1656</v>
      </c>
    </row>
    <row r="5091" spans="1:9" x14ac:dyDescent="0.25">
      <c r="A5091" s="753"/>
      <c r="C5091" s="131">
        <v>450</v>
      </c>
      <c r="D5091" s="131">
        <v>16</v>
      </c>
      <c r="E5091" s="131">
        <v>650</v>
      </c>
      <c r="F5091" s="767">
        <v>2730</v>
      </c>
      <c r="G5091" s="767">
        <v>280</v>
      </c>
      <c r="H5091" s="767">
        <v>3010</v>
      </c>
      <c r="I5091" s="768" t="s">
        <v>1657</v>
      </c>
    </row>
    <row r="5092" spans="1:9" x14ac:dyDescent="0.25">
      <c r="A5092" s="753"/>
      <c r="C5092" s="131">
        <v>450</v>
      </c>
      <c r="D5092" s="131">
        <v>16</v>
      </c>
      <c r="E5092" s="131" t="s">
        <v>1174</v>
      </c>
      <c r="F5092" s="767">
        <v>1770</v>
      </c>
      <c r="G5092" s="767">
        <v>0</v>
      </c>
      <c r="H5092" s="767">
        <v>1770</v>
      </c>
      <c r="I5092" s="768" t="s">
        <v>1658</v>
      </c>
    </row>
    <row r="5093" spans="1:9" x14ac:dyDescent="0.25">
      <c r="A5093" s="753"/>
      <c r="C5093" s="131" t="s">
        <v>1080</v>
      </c>
      <c r="D5093" s="131">
        <v>16</v>
      </c>
      <c r="E5093" s="131" t="s">
        <v>1667</v>
      </c>
      <c r="F5093" s="767">
        <v>1160</v>
      </c>
      <c r="G5093" s="767">
        <v>0</v>
      </c>
      <c r="H5093" s="767">
        <v>1160</v>
      </c>
      <c r="I5093" s="768" t="s">
        <v>1668</v>
      </c>
    </row>
    <row r="5094" spans="1:9" x14ac:dyDescent="0.25">
      <c r="A5094" s="753"/>
      <c r="C5094" s="131" t="s">
        <v>1080</v>
      </c>
      <c r="D5094" s="131">
        <v>16</v>
      </c>
      <c r="E5094" s="131" t="s">
        <v>1669</v>
      </c>
      <c r="F5094" s="767">
        <v>-2349</v>
      </c>
      <c r="G5094" s="767">
        <v>0</v>
      </c>
      <c r="H5094" s="767">
        <v>-2349</v>
      </c>
      <c r="I5094" s="768" t="s">
        <v>1670</v>
      </c>
    </row>
    <row r="5095" spans="1:9" x14ac:dyDescent="0.25">
      <c r="A5095" s="753"/>
      <c r="C5095" s="131" t="s">
        <v>1080</v>
      </c>
      <c r="D5095" s="131">
        <v>16</v>
      </c>
      <c r="E5095" s="131" t="s">
        <v>1671</v>
      </c>
      <c r="F5095" s="767">
        <v>1165</v>
      </c>
      <c r="G5095" s="767">
        <v>0</v>
      </c>
      <c r="H5095" s="767">
        <v>1165</v>
      </c>
      <c r="I5095" s="768" t="s">
        <v>1672</v>
      </c>
    </row>
    <row r="5096" spans="1:9" x14ac:dyDescent="0.25">
      <c r="A5096" s="753"/>
      <c r="C5096" s="131" t="s">
        <v>1080</v>
      </c>
      <c r="D5096" s="131">
        <v>16</v>
      </c>
      <c r="E5096" s="131" t="s">
        <v>1673</v>
      </c>
      <c r="F5096" s="767">
        <v>115.05</v>
      </c>
      <c r="G5096" s="767">
        <v>0</v>
      </c>
      <c r="H5096" s="767">
        <v>115.05</v>
      </c>
      <c r="I5096" s="768" t="s">
        <v>1674</v>
      </c>
    </row>
    <row r="5097" spans="1:9" x14ac:dyDescent="0.25">
      <c r="A5097" s="753"/>
      <c r="C5097" s="131" t="s">
        <v>1080</v>
      </c>
      <c r="D5097" s="131">
        <v>16</v>
      </c>
      <c r="E5097" s="131" t="s">
        <v>1675</v>
      </c>
      <c r="F5097" s="767">
        <v>-795</v>
      </c>
      <c r="G5097" s="767">
        <v>0</v>
      </c>
      <c r="H5097" s="767">
        <v>-795</v>
      </c>
      <c r="I5097" s="768" t="s">
        <v>1676</v>
      </c>
    </row>
    <row r="5098" spans="1:9" x14ac:dyDescent="0.25">
      <c r="A5098" s="753"/>
      <c r="C5098" s="131" t="s">
        <v>1080</v>
      </c>
      <c r="D5098" s="131">
        <v>16</v>
      </c>
      <c r="E5098" s="131" t="s">
        <v>1677</v>
      </c>
      <c r="F5098" s="767">
        <v>3640</v>
      </c>
      <c r="G5098" s="767">
        <v>350</v>
      </c>
      <c r="H5098" s="767">
        <v>3990</v>
      </c>
      <c r="I5098" s="768" t="s">
        <v>1678</v>
      </c>
    </row>
    <row r="5099" spans="1:9" x14ac:dyDescent="0.25">
      <c r="A5099" s="753"/>
      <c r="C5099" s="131" t="s">
        <v>1080</v>
      </c>
      <c r="D5099" s="131">
        <v>16</v>
      </c>
      <c r="E5099" s="131" t="s">
        <v>1679</v>
      </c>
      <c r="F5099" s="767">
        <v>-20748</v>
      </c>
      <c r="G5099" s="767">
        <v>-1995</v>
      </c>
      <c r="H5099" s="767">
        <v>-22743</v>
      </c>
      <c r="I5099" s="768" t="s">
        <v>1680</v>
      </c>
    </row>
    <row r="5100" spans="1:9" x14ac:dyDescent="0.25">
      <c r="A5100" s="753"/>
      <c r="C5100" s="131" t="s">
        <v>1080</v>
      </c>
      <c r="D5100" s="131">
        <v>16</v>
      </c>
      <c r="E5100" s="131" t="s">
        <v>1681</v>
      </c>
      <c r="F5100" s="767">
        <v>670</v>
      </c>
      <c r="G5100" s="767">
        <v>0</v>
      </c>
      <c r="H5100" s="767">
        <v>670</v>
      </c>
      <c r="I5100" s="768" t="s">
        <v>1682</v>
      </c>
    </row>
    <row r="5101" spans="1:9" x14ac:dyDescent="0.25">
      <c r="A5101" s="753"/>
      <c r="C5101" s="131" t="s">
        <v>1080</v>
      </c>
      <c r="D5101" s="131">
        <v>16</v>
      </c>
      <c r="E5101" s="131" t="s">
        <v>1683</v>
      </c>
      <c r="F5101" s="767">
        <v>-1199</v>
      </c>
      <c r="G5101" s="767">
        <v>0</v>
      </c>
      <c r="H5101" s="767">
        <v>-1199</v>
      </c>
      <c r="I5101" s="768" t="s">
        <v>1684</v>
      </c>
    </row>
    <row r="5102" spans="1:9" x14ac:dyDescent="0.25">
      <c r="A5102" s="753"/>
      <c r="C5102" s="131" t="s">
        <v>1080</v>
      </c>
      <c r="D5102" s="131">
        <v>16</v>
      </c>
      <c r="E5102" s="131" t="s">
        <v>1685</v>
      </c>
      <c r="F5102" s="767">
        <v>-14936.54</v>
      </c>
      <c r="G5102" s="767">
        <v>-4190.53</v>
      </c>
      <c r="H5102" s="767">
        <v>-19127.07</v>
      </c>
      <c r="I5102" s="768" t="s">
        <v>1686</v>
      </c>
    </row>
    <row r="5103" spans="1:9" x14ac:dyDescent="0.25">
      <c r="A5103" s="753"/>
      <c r="C5103" s="131" t="s">
        <v>1080</v>
      </c>
      <c r="D5103" s="131">
        <v>16</v>
      </c>
      <c r="E5103" s="131" t="s">
        <v>1687</v>
      </c>
      <c r="F5103" s="767">
        <v>-3765</v>
      </c>
      <c r="G5103" s="767">
        <v>0</v>
      </c>
      <c r="H5103" s="767">
        <v>-3765</v>
      </c>
      <c r="I5103" s="768" t="s">
        <v>1688</v>
      </c>
    </row>
    <row r="5104" spans="1:9" x14ac:dyDescent="0.25">
      <c r="A5104" s="753"/>
      <c r="C5104" s="131">
        <v>452</v>
      </c>
      <c r="D5104" s="131">
        <v>16</v>
      </c>
      <c r="E5104" s="131">
        <v>452</v>
      </c>
      <c r="F5104" s="767">
        <v>-123190.19</v>
      </c>
      <c r="G5104" s="767">
        <v>-7344</v>
      </c>
      <c r="H5104" s="767">
        <v>-130534.19</v>
      </c>
      <c r="I5104" s="768" t="s">
        <v>1690</v>
      </c>
    </row>
    <row r="5105" spans="1:9" x14ac:dyDescent="0.25">
      <c r="A5105" s="753"/>
      <c r="C5105" s="131">
        <v>652</v>
      </c>
      <c r="D5105" s="131">
        <v>16</v>
      </c>
      <c r="E5105" s="131">
        <v>652</v>
      </c>
      <c r="F5105" s="767">
        <v>75857</v>
      </c>
      <c r="G5105" s="767">
        <v>5728</v>
      </c>
      <c r="H5105" s="767">
        <v>81585</v>
      </c>
      <c r="I5105" s="768" t="s">
        <v>1691</v>
      </c>
    </row>
    <row r="5106" spans="1:9" x14ac:dyDescent="0.25">
      <c r="A5106" s="753"/>
      <c r="C5106" s="131" t="s">
        <v>1084</v>
      </c>
      <c r="D5106" s="131">
        <v>16</v>
      </c>
      <c r="E5106" s="131" t="s">
        <v>1084</v>
      </c>
      <c r="F5106" s="767">
        <v>-115818.16</v>
      </c>
      <c r="G5106" s="767">
        <v>-4632</v>
      </c>
      <c r="H5106" s="767">
        <v>-120450.16</v>
      </c>
      <c r="I5106" s="768" t="s">
        <v>1694</v>
      </c>
    </row>
    <row r="5107" spans="1:9" x14ac:dyDescent="0.25">
      <c r="A5107" s="753"/>
      <c r="C5107" s="131" t="s">
        <v>1085</v>
      </c>
      <c r="D5107" s="131">
        <v>16</v>
      </c>
      <c r="E5107" s="131" t="s">
        <v>1085</v>
      </c>
      <c r="F5107" s="767">
        <v>71941.759999999995</v>
      </c>
      <c r="G5107" s="767">
        <v>3339</v>
      </c>
      <c r="H5107" s="767">
        <v>75280.759999999995</v>
      </c>
      <c r="I5107" s="768" t="s">
        <v>1695</v>
      </c>
    </row>
    <row r="5108" spans="1:9" x14ac:dyDescent="0.25">
      <c r="A5108" s="753"/>
      <c r="C5108" s="131" t="s">
        <v>1088</v>
      </c>
      <c r="D5108" s="131">
        <v>16</v>
      </c>
      <c r="E5108" s="131" t="s">
        <v>1088</v>
      </c>
      <c r="F5108" s="767">
        <v>-26140</v>
      </c>
      <c r="G5108" s="767">
        <v>-5840</v>
      </c>
      <c r="H5108" s="767">
        <v>-31980</v>
      </c>
      <c r="I5108" s="768" t="s">
        <v>1697</v>
      </c>
    </row>
    <row r="5109" spans="1:9" x14ac:dyDescent="0.25">
      <c r="A5109" s="753"/>
      <c r="C5109" s="131" t="s">
        <v>1089</v>
      </c>
      <c r="D5109" s="131">
        <v>16</v>
      </c>
      <c r="E5109" s="131" t="s">
        <v>1089</v>
      </c>
      <c r="F5109" s="767">
        <v>20811</v>
      </c>
      <c r="G5109" s="767">
        <v>4612</v>
      </c>
      <c r="H5109" s="767">
        <v>25423</v>
      </c>
      <c r="I5109" s="768" t="s">
        <v>1698</v>
      </c>
    </row>
    <row r="5110" spans="1:9" x14ac:dyDescent="0.25">
      <c r="A5110" s="753"/>
      <c r="C5110" s="131">
        <v>442</v>
      </c>
      <c r="D5110" s="131">
        <v>16</v>
      </c>
      <c r="E5110" s="131">
        <v>442</v>
      </c>
      <c r="F5110" s="767">
        <v>-1651403.26</v>
      </c>
      <c r="G5110" s="767">
        <v>-76551</v>
      </c>
      <c r="H5110" s="767">
        <v>-1727954.26</v>
      </c>
      <c r="I5110" s="768" t="s">
        <v>1701</v>
      </c>
    </row>
    <row r="5111" spans="1:9" x14ac:dyDescent="0.25">
      <c r="A5111" s="753"/>
      <c r="C5111" s="131">
        <v>642</v>
      </c>
      <c r="D5111" s="131">
        <v>16</v>
      </c>
      <c r="E5111" s="131">
        <v>642</v>
      </c>
      <c r="F5111" s="767">
        <v>1546952.19</v>
      </c>
      <c r="G5111" s="767">
        <v>67158.94</v>
      </c>
      <c r="H5111" s="767">
        <v>1614111.13</v>
      </c>
      <c r="I5111" s="768" t="s">
        <v>1702</v>
      </c>
    </row>
    <row r="5112" spans="1:9" x14ac:dyDescent="0.25">
      <c r="A5112" s="753"/>
      <c r="C5112" s="131">
        <v>643</v>
      </c>
      <c r="D5112" s="131">
        <v>16</v>
      </c>
      <c r="E5112" s="131">
        <v>643</v>
      </c>
      <c r="F5112" s="767">
        <v>40863.03</v>
      </c>
      <c r="G5112" s="767">
        <v>4191.04</v>
      </c>
      <c r="H5112" s="767">
        <v>45054.07</v>
      </c>
      <c r="I5112" s="768" t="s">
        <v>1703</v>
      </c>
    </row>
    <row r="5113" spans="1:9" x14ac:dyDescent="0.25">
      <c r="A5113" s="753"/>
      <c r="C5113" s="131" t="s">
        <v>1096</v>
      </c>
      <c r="D5113" s="131">
        <v>16</v>
      </c>
      <c r="E5113" s="131" t="s">
        <v>1096</v>
      </c>
      <c r="F5113" s="767">
        <v>-2644494</v>
      </c>
      <c r="G5113" s="767">
        <v>-161600</v>
      </c>
      <c r="H5113" s="767">
        <v>-2806094</v>
      </c>
      <c r="I5113" s="768" t="s">
        <v>1705</v>
      </c>
    </row>
    <row r="5114" spans="1:9" x14ac:dyDescent="0.25">
      <c r="A5114" s="753"/>
      <c r="C5114" s="131" t="s">
        <v>1086</v>
      </c>
      <c r="D5114" s="131">
        <v>16</v>
      </c>
      <c r="E5114" s="131" t="s">
        <v>1086</v>
      </c>
      <c r="F5114" s="767">
        <v>2614487.8199999998</v>
      </c>
      <c r="G5114" s="767">
        <v>157364.25</v>
      </c>
      <c r="H5114" s="767">
        <v>2771852.07</v>
      </c>
      <c r="I5114" s="768" t="s">
        <v>1706</v>
      </c>
    </row>
    <row r="5115" spans="1:9" x14ac:dyDescent="0.25">
      <c r="A5115" s="753"/>
      <c r="C5115" s="131">
        <v>451</v>
      </c>
      <c r="D5115" s="131">
        <v>16</v>
      </c>
      <c r="E5115" s="131">
        <v>451</v>
      </c>
      <c r="F5115" s="767">
        <v>-14963.99</v>
      </c>
      <c r="G5115" s="767">
        <v>-798</v>
      </c>
      <c r="H5115" s="767">
        <v>-15761.99</v>
      </c>
      <c r="I5115" s="768" t="s">
        <v>1713</v>
      </c>
    </row>
    <row r="5116" spans="1:9" x14ac:dyDescent="0.25">
      <c r="A5116" s="753"/>
      <c r="C5116" s="131">
        <v>451</v>
      </c>
      <c r="D5116" s="131">
        <v>16</v>
      </c>
      <c r="E5116" s="131" t="s">
        <v>2262</v>
      </c>
      <c r="F5116" s="767">
        <v>0</v>
      </c>
      <c r="G5116" s="767">
        <v>-1879</v>
      </c>
      <c r="H5116" s="767">
        <v>-1879</v>
      </c>
      <c r="I5116" s="768" t="s">
        <v>2263</v>
      </c>
    </row>
    <row r="5117" spans="1:9" x14ac:dyDescent="0.25">
      <c r="A5117" s="753"/>
      <c r="C5117" s="131">
        <v>451</v>
      </c>
      <c r="D5117" s="131">
        <v>16</v>
      </c>
      <c r="E5117" s="131" t="s">
        <v>2264</v>
      </c>
      <c r="F5117" s="767">
        <v>0</v>
      </c>
      <c r="G5117" s="767">
        <v>-1495</v>
      </c>
      <c r="H5117" s="767">
        <v>-1495</v>
      </c>
      <c r="I5117" s="768" t="s">
        <v>2265</v>
      </c>
    </row>
    <row r="5118" spans="1:9" x14ac:dyDescent="0.25">
      <c r="A5118" s="753"/>
      <c r="C5118" s="131">
        <v>453</v>
      </c>
      <c r="D5118" s="131">
        <v>16</v>
      </c>
      <c r="E5118" s="131">
        <v>453</v>
      </c>
      <c r="F5118" s="767">
        <v>-19920.2</v>
      </c>
      <c r="G5118" s="767">
        <v>-2226.5</v>
      </c>
      <c r="H5118" s="767">
        <v>-22146.7</v>
      </c>
      <c r="I5118" s="768" t="s">
        <v>1714</v>
      </c>
    </row>
    <row r="5119" spans="1:9" x14ac:dyDescent="0.25">
      <c r="A5119" s="753"/>
      <c r="C5119" s="131">
        <v>455</v>
      </c>
      <c r="D5119" s="131">
        <v>16</v>
      </c>
      <c r="E5119" s="131">
        <v>455</v>
      </c>
      <c r="F5119" s="767">
        <v>-24874</v>
      </c>
      <c r="G5119" s="767">
        <v>-3631</v>
      </c>
      <c r="H5119" s="767">
        <v>-28505</v>
      </c>
      <c r="I5119" s="768" t="s">
        <v>1715</v>
      </c>
    </row>
    <row r="5120" spans="1:9" x14ac:dyDescent="0.25">
      <c r="A5120" s="753"/>
      <c r="C5120" s="131">
        <v>651</v>
      </c>
      <c r="D5120" s="131">
        <v>16</v>
      </c>
      <c r="E5120" s="131">
        <v>651</v>
      </c>
      <c r="F5120" s="767">
        <v>2984.9</v>
      </c>
      <c r="G5120" s="767">
        <v>140</v>
      </c>
      <c r="H5120" s="767">
        <v>3124.9</v>
      </c>
      <c r="I5120" s="768" t="s">
        <v>1716</v>
      </c>
    </row>
    <row r="5121" spans="1:9" x14ac:dyDescent="0.25">
      <c r="A5121" s="753"/>
      <c r="C5121" s="131">
        <v>651</v>
      </c>
      <c r="D5121" s="131">
        <v>16</v>
      </c>
      <c r="E5121" s="131" t="s">
        <v>2266</v>
      </c>
      <c r="F5121" s="767">
        <v>0</v>
      </c>
      <c r="G5121" s="767">
        <v>1315.3</v>
      </c>
      <c r="H5121" s="767">
        <v>1315.3</v>
      </c>
      <c r="I5121" s="768" t="s">
        <v>2267</v>
      </c>
    </row>
    <row r="5122" spans="1:9" x14ac:dyDescent="0.25">
      <c r="A5122" s="753"/>
      <c r="C5122" s="131">
        <v>651</v>
      </c>
      <c r="D5122" s="131">
        <v>16</v>
      </c>
      <c r="E5122" s="131" t="s">
        <v>2268</v>
      </c>
      <c r="F5122" s="767">
        <v>0</v>
      </c>
      <c r="G5122" s="767">
        <v>747.5</v>
      </c>
      <c r="H5122" s="767">
        <v>747.5</v>
      </c>
      <c r="I5122" s="768" t="s">
        <v>2269</v>
      </c>
    </row>
    <row r="5123" spans="1:9" x14ac:dyDescent="0.25">
      <c r="A5123" s="753"/>
      <c r="C5123" s="131">
        <v>655</v>
      </c>
      <c r="D5123" s="131">
        <v>16</v>
      </c>
      <c r="E5123" s="131">
        <v>655</v>
      </c>
      <c r="F5123" s="767">
        <v>16330</v>
      </c>
      <c r="G5123" s="767">
        <v>631</v>
      </c>
      <c r="H5123" s="767">
        <v>16961</v>
      </c>
      <c r="I5123" s="768" t="s">
        <v>1717</v>
      </c>
    </row>
    <row r="5124" spans="1:9" x14ac:dyDescent="0.25">
      <c r="A5124" s="753"/>
      <c r="C5124" s="131">
        <v>817</v>
      </c>
      <c r="D5124" s="131">
        <v>16</v>
      </c>
      <c r="E5124" s="131">
        <v>817</v>
      </c>
      <c r="F5124" s="767">
        <v>-26075</v>
      </c>
      <c r="G5124" s="767">
        <v>0</v>
      </c>
      <c r="H5124" s="767">
        <v>-26075</v>
      </c>
      <c r="I5124" s="768" t="s">
        <v>1718</v>
      </c>
    </row>
    <row r="5125" spans="1:9" x14ac:dyDescent="0.25">
      <c r="A5125" s="753">
        <v>602712</v>
      </c>
      <c r="B5125" s="130">
        <v>0</v>
      </c>
      <c r="E5125" s="131"/>
    </row>
    <row r="5126" spans="1:9" x14ac:dyDescent="0.25">
      <c r="A5126" s="753">
        <v>602714</v>
      </c>
      <c r="B5126" s="130">
        <v>0</v>
      </c>
      <c r="E5126" s="131"/>
    </row>
    <row r="5127" spans="1:9" x14ac:dyDescent="0.25">
      <c r="A5127" s="753">
        <v>602716</v>
      </c>
      <c r="B5127" s="130">
        <v>0</v>
      </c>
      <c r="C5127" s="131" t="s">
        <v>106</v>
      </c>
      <c r="D5127" s="131">
        <v>16</v>
      </c>
      <c r="E5127" s="131" t="s">
        <v>106</v>
      </c>
      <c r="F5127" s="767">
        <v>-227426</v>
      </c>
      <c r="G5127" s="767">
        <v>0</v>
      </c>
      <c r="H5127" s="767">
        <v>-227426</v>
      </c>
      <c r="I5127" s="768" t="s">
        <v>1754</v>
      </c>
    </row>
    <row r="5128" spans="1:9" x14ac:dyDescent="0.25">
      <c r="A5128" s="753"/>
      <c r="C5128" s="131" t="s">
        <v>1143</v>
      </c>
      <c r="D5128" s="131">
        <v>16</v>
      </c>
      <c r="E5128" s="131" t="s">
        <v>1143</v>
      </c>
      <c r="F5128" s="767">
        <v>214312.85</v>
      </c>
      <c r="G5128" s="767">
        <v>0</v>
      </c>
      <c r="H5128" s="767">
        <v>214312.85</v>
      </c>
      <c r="I5128" s="768" t="s">
        <v>1755</v>
      </c>
    </row>
    <row r="5129" spans="1:9" x14ac:dyDescent="0.25">
      <c r="A5129" s="753"/>
      <c r="C5129" s="131" t="s">
        <v>405</v>
      </c>
      <c r="D5129" s="131">
        <v>16</v>
      </c>
      <c r="E5129" s="131" t="s">
        <v>405</v>
      </c>
      <c r="F5129" s="767">
        <v>-235967</v>
      </c>
      <c r="G5129" s="767">
        <v>0</v>
      </c>
      <c r="H5129" s="767">
        <v>-235967</v>
      </c>
      <c r="I5129" s="768" t="s">
        <v>1757</v>
      </c>
    </row>
    <row r="5130" spans="1:9" x14ac:dyDescent="0.25">
      <c r="A5130" s="753"/>
      <c r="C5130" s="131" t="s">
        <v>1116</v>
      </c>
      <c r="D5130" s="131">
        <v>16</v>
      </c>
      <c r="E5130" s="131" t="s">
        <v>1116</v>
      </c>
      <c r="F5130" s="767">
        <v>220347.51999999999</v>
      </c>
      <c r="G5130" s="767">
        <v>0</v>
      </c>
      <c r="H5130" s="767">
        <v>220347.51999999999</v>
      </c>
      <c r="I5130" s="768" t="s">
        <v>1758</v>
      </c>
    </row>
    <row r="5131" spans="1:9" x14ac:dyDescent="0.25">
      <c r="A5131" s="753">
        <v>602718</v>
      </c>
      <c r="B5131" s="130">
        <v>0</v>
      </c>
      <c r="E5131" s="131"/>
    </row>
    <row r="5132" spans="1:9" x14ac:dyDescent="0.25">
      <c r="A5132" s="753">
        <v>602722</v>
      </c>
      <c r="B5132" s="130">
        <v>4</v>
      </c>
      <c r="E5132" s="131"/>
    </row>
    <row r="5133" spans="1:9" x14ac:dyDescent="0.25">
      <c r="A5133" s="753">
        <v>602724</v>
      </c>
      <c r="B5133" s="130">
        <v>463393</v>
      </c>
      <c r="E5133" s="131"/>
    </row>
    <row r="5134" spans="1:9" x14ac:dyDescent="0.25">
      <c r="A5134" s="753">
        <v>602726</v>
      </c>
      <c r="B5134" s="130">
        <v>28732</v>
      </c>
      <c r="C5134" s="131" t="s">
        <v>106</v>
      </c>
      <c r="D5134" s="131">
        <v>16</v>
      </c>
      <c r="E5134" s="131" t="s">
        <v>106</v>
      </c>
      <c r="F5134" s="767">
        <v>-227426</v>
      </c>
      <c r="G5134" s="767">
        <v>0</v>
      </c>
      <c r="H5134" s="767">
        <v>-227426</v>
      </c>
      <c r="I5134" s="768" t="s">
        <v>1754</v>
      </c>
    </row>
    <row r="5135" spans="1:9" x14ac:dyDescent="0.25">
      <c r="A5135" s="753"/>
      <c r="C5135" s="131" t="s">
        <v>1143</v>
      </c>
      <c r="D5135" s="131">
        <v>16</v>
      </c>
      <c r="E5135" s="131" t="s">
        <v>1143</v>
      </c>
      <c r="F5135" s="767">
        <v>214312.85</v>
      </c>
      <c r="G5135" s="767">
        <v>0</v>
      </c>
      <c r="H5135" s="767">
        <v>214312.85</v>
      </c>
      <c r="I5135" s="768" t="s">
        <v>1755</v>
      </c>
    </row>
    <row r="5136" spans="1:9" x14ac:dyDescent="0.25">
      <c r="A5136" s="753"/>
      <c r="C5136" s="131" t="s">
        <v>405</v>
      </c>
      <c r="D5136" s="131">
        <v>16</v>
      </c>
      <c r="E5136" s="131" t="s">
        <v>405</v>
      </c>
      <c r="F5136" s="767">
        <v>-235967</v>
      </c>
      <c r="G5136" s="767">
        <v>0</v>
      </c>
      <c r="H5136" s="767">
        <v>-235967</v>
      </c>
      <c r="I5136" s="768" t="s">
        <v>1757</v>
      </c>
    </row>
    <row r="5137" spans="1:9" x14ac:dyDescent="0.25">
      <c r="A5137" s="753"/>
      <c r="C5137" s="131" t="s">
        <v>1116</v>
      </c>
      <c r="D5137" s="131">
        <v>16</v>
      </c>
      <c r="E5137" s="131" t="s">
        <v>1116</v>
      </c>
      <c r="F5137" s="767">
        <v>220347.51999999999</v>
      </c>
      <c r="G5137" s="767">
        <v>0</v>
      </c>
      <c r="H5137" s="767">
        <v>220347.51999999999</v>
      </c>
      <c r="I5137" s="768" t="s">
        <v>1758</v>
      </c>
    </row>
    <row r="5138" spans="1:9" x14ac:dyDescent="0.25">
      <c r="A5138" s="753">
        <v>602728</v>
      </c>
      <c r="B5138" s="130">
        <v>7183</v>
      </c>
      <c r="E5138" s="131"/>
    </row>
    <row r="5139" spans="1:9" x14ac:dyDescent="0.25">
      <c r="A5139" s="753">
        <v>603312</v>
      </c>
      <c r="B5139" s="130">
        <v>0</v>
      </c>
      <c r="E5139" s="131"/>
    </row>
    <row r="5140" spans="1:9" x14ac:dyDescent="0.25">
      <c r="A5140" s="753">
        <v>603314</v>
      </c>
      <c r="B5140" s="130">
        <v>0</v>
      </c>
      <c r="E5140" s="131"/>
    </row>
    <row r="5141" spans="1:9" x14ac:dyDescent="0.25">
      <c r="A5141" s="753">
        <v>603316</v>
      </c>
      <c r="B5141" s="130">
        <v>0</v>
      </c>
      <c r="C5141" s="131">
        <v>480</v>
      </c>
      <c r="D5141" s="131">
        <v>16</v>
      </c>
      <c r="E5141" s="131">
        <v>480</v>
      </c>
      <c r="F5141" s="767">
        <v>-273292.68</v>
      </c>
      <c r="G5141" s="767">
        <v>0</v>
      </c>
      <c r="H5141" s="767">
        <v>-273292.68</v>
      </c>
      <c r="I5141" s="768" t="s">
        <v>1760</v>
      </c>
    </row>
    <row r="5142" spans="1:9" x14ac:dyDescent="0.25">
      <c r="A5142" s="753"/>
      <c r="C5142" s="131">
        <v>680</v>
      </c>
      <c r="D5142" s="131">
        <v>16</v>
      </c>
      <c r="E5142" s="131">
        <v>680</v>
      </c>
      <c r="F5142" s="767">
        <v>269709.11</v>
      </c>
      <c r="G5142" s="767">
        <v>0</v>
      </c>
      <c r="H5142" s="767">
        <v>269709.11</v>
      </c>
      <c r="I5142" s="768" t="s">
        <v>1761</v>
      </c>
    </row>
    <row r="5143" spans="1:9" x14ac:dyDescent="0.25">
      <c r="A5143" s="753"/>
      <c r="C5143" s="131" t="s">
        <v>406</v>
      </c>
      <c r="D5143" s="131">
        <v>16</v>
      </c>
      <c r="E5143" s="131" t="s">
        <v>406</v>
      </c>
      <c r="F5143" s="767">
        <v>-309378.09999999998</v>
      </c>
      <c r="G5143" s="767">
        <v>0</v>
      </c>
      <c r="H5143" s="767">
        <v>-309378.09999999998</v>
      </c>
      <c r="I5143" s="768" t="s">
        <v>1764</v>
      </c>
    </row>
    <row r="5144" spans="1:9" x14ac:dyDescent="0.25">
      <c r="A5144" s="753"/>
      <c r="C5144" s="131" t="s">
        <v>1119</v>
      </c>
      <c r="D5144" s="131">
        <v>16</v>
      </c>
      <c r="E5144" s="131" t="s">
        <v>1119</v>
      </c>
      <c r="F5144" s="767">
        <v>291459.78000000003</v>
      </c>
      <c r="G5144" s="767">
        <v>0</v>
      </c>
      <c r="H5144" s="767">
        <v>291459.78000000003</v>
      </c>
      <c r="I5144" s="768" t="s">
        <v>1765</v>
      </c>
    </row>
    <row r="5145" spans="1:9" x14ac:dyDescent="0.25">
      <c r="A5145" s="753"/>
      <c r="C5145" s="131">
        <v>481</v>
      </c>
      <c r="D5145" s="131">
        <v>16</v>
      </c>
      <c r="E5145" s="131">
        <v>481</v>
      </c>
      <c r="F5145" s="767">
        <v>-237027.97</v>
      </c>
      <c r="G5145" s="767">
        <v>0</v>
      </c>
      <c r="H5145" s="767">
        <v>-237027.97</v>
      </c>
      <c r="I5145" s="768" t="s">
        <v>408</v>
      </c>
    </row>
    <row r="5146" spans="1:9" x14ac:dyDescent="0.25">
      <c r="A5146" s="753"/>
      <c r="C5146" s="131">
        <v>681</v>
      </c>
      <c r="D5146" s="131">
        <v>16</v>
      </c>
      <c r="E5146" s="131">
        <v>681</v>
      </c>
      <c r="F5146" s="767">
        <v>233811.43</v>
      </c>
      <c r="G5146" s="767">
        <v>0</v>
      </c>
      <c r="H5146" s="767">
        <v>233811.43</v>
      </c>
      <c r="I5146" s="768" t="s">
        <v>408</v>
      </c>
    </row>
    <row r="5147" spans="1:9" x14ac:dyDescent="0.25">
      <c r="A5147" s="753"/>
      <c r="C5147" s="131" t="s">
        <v>410</v>
      </c>
      <c r="D5147" s="131">
        <v>16</v>
      </c>
      <c r="E5147" s="131" t="s">
        <v>410</v>
      </c>
      <c r="F5147" s="767">
        <v>-246468.25</v>
      </c>
      <c r="G5147" s="767">
        <v>0</v>
      </c>
      <c r="H5147" s="767">
        <v>-246468.25</v>
      </c>
      <c r="I5147" s="768" t="s">
        <v>1767</v>
      </c>
    </row>
    <row r="5148" spans="1:9" x14ac:dyDescent="0.25">
      <c r="A5148" s="753"/>
      <c r="C5148" s="131" t="s">
        <v>1120</v>
      </c>
      <c r="D5148" s="131">
        <v>16</v>
      </c>
      <c r="E5148" s="131" t="s">
        <v>1120</v>
      </c>
      <c r="F5148" s="767">
        <v>235559.82</v>
      </c>
      <c r="G5148" s="767">
        <v>0</v>
      </c>
      <c r="H5148" s="767">
        <v>235559.82</v>
      </c>
      <c r="I5148" s="768" t="s">
        <v>1767</v>
      </c>
    </row>
    <row r="5149" spans="1:9" x14ac:dyDescent="0.25">
      <c r="A5149" s="753">
        <v>603318</v>
      </c>
      <c r="B5149" s="130">
        <v>0</v>
      </c>
      <c r="E5149" s="131"/>
    </row>
    <row r="5150" spans="1:9" x14ac:dyDescent="0.25">
      <c r="A5150" s="753">
        <v>603322</v>
      </c>
      <c r="B5150" s="130">
        <v>6</v>
      </c>
      <c r="E5150" s="131"/>
    </row>
    <row r="5151" spans="1:9" x14ac:dyDescent="0.25">
      <c r="A5151" s="753">
        <v>603324</v>
      </c>
      <c r="B5151" s="130">
        <v>1066167</v>
      </c>
      <c r="E5151" s="131"/>
    </row>
    <row r="5152" spans="1:9" x14ac:dyDescent="0.25">
      <c r="A5152" s="753">
        <v>603326</v>
      </c>
      <c r="B5152" s="130">
        <v>35627</v>
      </c>
      <c r="C5152" s="131">
        <v>480</v>
      </c>
      <c r="D5152" s="131">
        <v>16</v>
      </c>
      <c r="E5152" s="131">
        <v>480</v>
      </c>
      <c r="F5152" s="767">
        <v>-273292.68</v>
      </c>
      <c r="G5152" s="767">
        <v>0</v>
      </c>
      <c r="H5152" s="767">
        <v>-273292.68</v>
      </c>
      <c r="I5152" s="768" t="s">
        <v>1760</v>
      </c>
    </row>
    <row r="5153" spans="1:9" x14ac:dyDescent="0.25">
      <c r="A5153" s="753"/>
      <c r="C5153" s="131">
        <v>680</v>
      </c>
      <c r="D5153" s="131">
        <v>16</v>
      </c>
      <c r="E5153" s="131">
        <v>680</v>
      </c>
      <c r="F5153" s="767">
        <v>269709.11</v>
      </c>
      <c r="G5153" s="767">
        <v>0</v>
      </c>
      <c r="H5153" s="767">
        <v>269709.11</v>
      </c>
      <c r="I5153" s="768" t="s">
        <v>1761</v>
      </c>
    </row>
    <row r="5154" spans="1:9" x14ac:dyDescent="0.25">
      <c r="A5154" s="753"/>
      <c r="C5154" s="131" t="s">
        <v>406</v>
      </c>
      <c r="D5154" s="131">
        <v>16</v>
      </c>
      <c r="E5154" s="131" t="s">
        <v>406</v>
      </c>
      <c r="F5154" s="767">
        <v>-309378.09999999998</v>
      </c>
      <c r="G5154" s="767">
        <v>0</v>
      </c>
      <c r="H5154" s="767">
        <v>-309378.09999999998</v>
      </c>
      <c r="I5154" s="768" t="s">
        <v>1764</v>
      </c>
    </row>
    <row r="5155" spans="1:9" x14ac:dyDescent="0.25">
      <c r="A5155" s="753"/>
      <c r="C5155" s="131" t="s">
        <v>1119</v>
      </c>
      <c r="D5155" s="131">
        <v>16</v>
      </c>
      <c r="E5155" s="131" t="s">
        <v>1119</v>
      </c>
      <c r="F5155" s="767">
        <v>291459.78000000003</v>
      </c>
      <c r="G5155" s="767">
        <v>0</v>
      </c>
      <c r="H5155" s="767">
        <v>291459.78000000003</v>
      </c>
      <c r="I5155" s="768" t="s">
        <v>1765</v>
      </c>
    </row>
    <row r="5156" spans="1:9" x14ac:dyDescent="0.25">
      <c r="A5156" s="753"/>
      <c r="C5156" s="131">
        <v>481</v>
      </c>
      <c r="D5156" s="131">
        <v>16</v>
      </c>
      <c r="E5156" s="131">
        <v>481</v>
      </c>
      <c r="F5156" s="767">
        <v>-237027.97</v>
      </c>
      <c r="G5156" s="767">
        <v>0</v>
      </c>
      <c r="H5156" s="767">
        <v>-237027.97</v>
      </c>
      <c r="I5156" s="768" t="s">
        <v>408</v>
      </c>
    </row>
    <row r="5157" spans="1:9" x14ac:dyDescent="0.25">
      <c r="A5157" s="753"/>
      <c r="C5157" s="131">
        <v>681</v>
      </c>
      <c r="D5157" s="131">
        <v>16</v>
      </c>
      <c r="E5157" s="131">
        <v>681</v>
      </c>
      <c r="F5157" s="767">
        <v>233811.43</v>
      </c>
      <c r="G5157" s="767">
        <v>0</v>
      </c>
      <c r="H5157" s="767">
        <v>233811.43</v>
      </c>
      <c r="I5157" s="768" t="s">
        <v>408</v>
      </c>
    </row>
    <row r="5158" spans="1:9" x14ac:dyDescent="0.25">
      <c r="A5158" s="753"/>
      <c r="C5158" s="131" t="s">
        <v>410</v>
      </c>
      <c r="D5158" s="131">
        <v>16</v>
      </c>
      <c r="E5158" s="131" t="s">
        <v>410</v>
      </c>
      <c r="F5158" s="767">
        <v>-246468.25</v>
      </c>
      <c r="G5158" s="767">
        <v>0</v>
      </c>
      <c r="H5158" s="767">
        <v>-246468.25</v>
      </c>
      <c r="I5158" s="768" t="s">
        <v>1767</v>
      </c>
    </row>
    <row r="5159" spans="1:9" x14ac:dyDescent="0.25">
      <c r="A5159" s="753"/>
      <c r="C5159" s="131" t="s">
        <v>1120</v>
      </c>
      <c r="D5159" s="131">
        <v>16</v>
      </c>
      <c r="E5159" s="131" t="s">
        <v>1120</v>
      </c>
      <c r="F5159" s="767">
        <v>235559.82</v>
      </c>
      <c r="G5159" s="767">
        <v>0</v>
      </c>
      <c r="H5159" s="767">
        <v>235559.82</v>
      </c>
      <c r="I5159" s="768" t="s">
        <v>1767</v>
      </c>
    </row>
    <row r="5160" spans="1:9" x14ac:dyDescent="0.25">
      <c r="A5160" s="753">
        <v>603328</v>
      </c>
      <c r="B5160" s="130">
        <v>5938</v>
      </c>
      <c r="E5160" s="131"/>
    </row>
    <row r="5161" spans="1:9" x14ac:dyDescent="0.25">
      <c r="A5161" s="753">
        <v>603812</v>
      </c>
      <c r="B5161" s="130">
        <v>23</v>
      </c>
      <c r="E5161" s="131"/>
    </row>
    <row r="5162" spans="1:9" x14ac:dyDescent="0.25">
      <c r="A5162" s="753">
        <v>603814</v>
      </c>
      <c r="B5162" s="130">
        <v>1817305</v>
      </c>
      <c r="E5162" s="131"/>
    </row>
    <row r="5163" spans="1:9" x14ac:dyDescent="0.25">
      <c r="A5163" s="753">
        <v>603816</v>
      </c>
      <c r="B5163" s="130">
        <v>112203</v>
      </c>
      <c r="C5163" s="131" t="s">
        <v>233</v>
      </c>
      <c r="D5163" s="131">
        <v>16</v>
      </c>
      <c r="E5163" s="131" t="s">
        <v>233</v>
      </c>
      <c r="F5163" s="767">
        <v>-49508.31</v>
      </c>
      <c r="G5163" s="767">
        <v>0</v>
      </c>
      <c r="H5163" s="767">
        <v>-49508.31</v>
      </c>
      <c r="I5163" s="768" t="s">
        <v>1824</v>
      </c>
    </row>
    <row r="5164" spans="1:9" x14ac:dyDescent="0.25">
      <c r="A5164" s="753"/>
      <c r="C5164" s="131" t="s">
        <v>1135</v>
      </c>
      <c r="D5164" s="131">
        <v>16</v>
      </c>
      <c r="E5164" s="131" t="s">
        <v>1135</v>
      </c>
      <c r="F5164" s="767">
        <v>44968.42</v>
      </c>
      <c r="G5164" s="767">
        <v>0</v>
      </c>
      <c r="H5164" s="767">
        <v>44968.42</v>
      </c>
      <c r="I5164" s="768" t="s">
        <v>1825</v>
      </c>
    </row>
    <row r="5165" spans="1:9" x14ac:dyDescent="0.25">
      <c r="A5165" s="753"/>
      <c r="C5165" s="131" t="s">
        <v>234</v>
      </c>
      <c r="D5165" s="131">
        <v>16</v>
      </c>
      <c r="E5165" s="131" t="s">
        <v>234</v>
      </c>
      <c r="F5165" s="767">
        <v>-66243.350000000006</v>
      </c>
      <c r="G5165" s="767">
        <v>0</v>
      </c>
      <c r="H5165" s="767">
        <v>-66243.350000000006</v>
      </c>
      <c r="I5165" s="768" t="s">
        <v>1827</v>
      </c>
    </row>
    <row r="5166" spans="1:9" x14ac:dyDescent="0.25">
      <c r="A5166" s="753"/>
      <c r="C5166" s="131" t="s">
        <v>1138</v>
      </c>
      <c r="D5166" s="131">
        <v>16</v>
      </c>
      <c r="E5166" s="131" t="s">
        <v>1138</v>
      </c>
      <c r="F5166" s="767">
        <v>64976.959999999999</v>
      </c>
      <c r="G5166" s="767">
        <v>0</v>
      </c>
      <c r="H5166" s="767">
        <v>64976.959999999999</v>
      </c>
      <c r="I5166" s="768" t="s">
        <v>1828</v>
      </c>
    </row>
    <row r="5167" spans="1:9" x14ac:dyDescent="0.25">
      <c r="A5167" s="753"/>
      <c r="C5167" s="131" t="s">
        <v>385</v>
      </c>
      <c r="D5167" s="131">
        <v>16</v>
      </c>
      <c r="E5167" s="131" t="s">
        <v>385</v>
      </c>
      <c r="F5167" s="767">
        <v>-88209.5</v>
      </c>
      <c r="G5167" s="767">
        <v>0</v>
      </c>
      <c r="H5167" s="767">
        <v>-88209.5</v>
      </c>
      <c r="I5167" s="768" t="s">
        <v>2283</v>
      </c>
    </row>
    <row r="5168" spans="1:9" x14ac:dyDescent="0.25">
      <c r="A5168" s="753"/>
      <c r="C5168" s="131" t="s">
        <v>1136</v>
      </c>
      <c r="D5168" s="131">
        <v>16</v>
      </c>
      <c r="E5168" s="131" t="s">
        <v>1136</v>
      </c>
      <c r="F5168" s="767">
        <v>84914.34</v>
      </c>
      <c r="G5168" s="767">
        <v>0</v>
      </c>
      <c r="H5168" s="767">
        <v>84914.34</v>
      </c>
      <c r="I5168" s="768" t="s">
        <v>1829</v>
      </c>
    </row>
    <row r="5169" spans="1:9" x14ac:dyDescent="0.25">
      <c r="A5169" s="753"/>
      <c r="C5169" s="131" t="s">
        <v>100</v>
      </c>
      <c r="D5169" s="131">
        <v>16</v>
      </c>
      <c r="E5169" s="131" t="s">
        <v>100</v>
      </c>
      <c r="F5169" s="767">
        <v>-63527.8</v>
      </c>
      <c r="G5169" s="767">
        <v>0</v>
      </c>
      <c r="H5169" s="767">
        <v>-63527.8</v>
      </c>
      <c r="I5169" s="768" t="s">
        <v>1831</v>
      </c>
    </row>
    <row r="5170" spans="1:9" x14ac:dyDescent="0.25">
      <c r="A5170" s="753"/>
      <c r="C5170" s="131" t="s">
        <v>1142</v>
      </c>
      <c r="D5170" s="131">
        <v>16</v>
      </c>
      <c r="E5170" s="131" t="s">
        <v>1142</v>
      </c>
      <c r="F5170" s="767">
        <v>62923.61</v>
      </c>
      <c r="G5170" s="767">
        <v>0</v>
      </c>
      <c r="H5170" s="767">
        <v>62923.61</v>
      </c>
      <c r="I5170" s="768" t="s">
        <v>1832</v>
      </c>
    </row>
    <row r="5171" spans="1:9" x14ac:dyDescent="0.25">
      <c r="A5171" s="753"/>
      <c r="C5171" s="131" t="s">
        <v>255</v>
      </c>
      <c r="D5171" s="131">
        <v>16</v>
      </c>
      <c r="E5171" s="131" t="s">
        <v>255</v>
      </c>
      <c r="F5171" s="767">
        <v>-295643.12</v>
      </c>
      <c r="G5171" s="767">
        <v>0</v>
      </c>
      <c r="H5171" s="767">
        <v>-295643.12</v>
      </c>
      <c r="I5171" s="768" t="s">
        <v>1833</v>
      </c>
    </row>
    <row r="5172" spans="1:9" x14ac:dyDescent="0.25">
      <c r="A5172" s="753"/>
      <c r="C5172" s="131" t="s">
        <v>1145</v>
      </c>
      <c r="D5172" s="131">
        <v>16</v>
      </c>
      <c r="E5172" s="131" t="s">
        <v>1145</v>
      </c>
      <c r="F5172" s="767">
        <v>278307.76</v>
      </c>
      <c r="G5172" s="767">
        <v>0</v>
      </c>
      <c r="H5172" s="767">
        <v>278307.76</v>
      </c>
      <c r="I5172" s="768" t="s">
        <v>1833</v>
      </c>
    </row>
    <row r="5173" spans="1:9" x14ac:dyDescent="0.25">
      <c r="A5173" s="753"/>
      <c r="C5173" s="131" t="s">
        <v>101</v>
      </c>
      <c r="D5173" s="131">
        <v>16</v>
      </c>
      <c r="E5173" s="131" t="s">
        <v>101</v>
      </c>
      <c r="F5173" s="767">
        <v>-80066.53</v>
      </c>
      <c r="G5173" s="767">
        <v>0</v>
      </c>
      <c r="H5173" s="767">
        <v>-80066.53</v>
      </c>
      <c r="I5173" s="768" t="s">
        <v>1834</v>
      </c>
    </row>
    <row r="5174" spans="1:9" x14ac:dyDescent="0.25">
      <c r="A5174" s="753"/>
      <c r="C5174" s="131" t="s">
        <v>1147</v>
      </c>
      <c r="D5174" s="131">
        <v>16</v>
      </c>
      <c r="E5174" s="131" t="s">
        <v>1147</v>
      </c>
      <c r="F5174" s="767">
        <v>76375.27</v>
      </c>
      <c r="G5174" s="767">
        <v>0</v>
      </c>
      <c r="H5174" s="767">
        <v>76375.27</v>
      </c>
      <c r="I5174" s="768" t="s">
        <v>1834</v>
      </c>
    </row>
    <row r="5175" spans="1:9" x14ac:dyDescent="0.25">
      <c r="A5175" s="753"/>
      <c r="C5175" s="131" t="s">
        <v>235</v>
      </c>
      <c r="D5175" s="131">
        <v>16</v>
      </c>
      <c r="E5175" s="131" t="s">
        <v>235</v>
      </c>
      <c r="F5175" s="767">
        <v>0</v>
      </c>
      <c r="G5175" s="767">
        <v>-181349.96</v>
      </c>
      <c r="H5175" s="767">
        <v>-181349.96</v>
      </c>
      <c r="I5175" s="768" t="s">
        <v>2286</v>
      </c>
    </row>
    <row r="5176" spans="1:9" x14ac:dyDescent="0.25">
      <c r="A5176" s="753"/>
      <c r="C5176" s="131" t="s">
        <v>2287</v>
      </c>
      <c r="D5176" s="131">
        <v>16</v>
      </c>
      <c r="E5176" s="131" t="s">
        <v>2287</v>
      </c>
      <c r="F5176" s="767">
        <v>0</v>
      </c>
      <c r="G5176" s="767">
        <v>175112.67</v>
      </c>
      <c r="H5176" s="767">
        <v>175112.67</v>
      </c>
      <c r="I5176" s="768" t="s">
        <v>2288</v>
      </c>
    </row>
    <row r="5177" spans="1:9" x14ac:dyDescent="0.25">
      <c r="A5177" s="753"/>
      <c r="C5177" s="131" t="s">
        <v>364</v>
      </c>
      <c r="D5177" s="131">
        <v>16</v>
      </c>
      <c r="E5177" s="131" t="s">
        <v>364</v>
      </c>
      <c r="F5177" s="767">
        <v>-120423.5</v>
      </c>
      <c r="G5177" s="767">
        <v>-107635.36</v>
      </c>
      <c r="H5177" s="767">
        <v>-228058.86</v>
      </c>
      <c r="I5177" s="768" t="s">
        <v>2291</v>
      </c>
    </row>
    <row r="5178" spans="1:9" x14ac:dyDescent="0.25">
      <c r="A5178" s="753"/>
      <c r="C5178" s="131" t="s">
        <v>2292</v>
      </c>
      <c r="D5178" s="131">
        <v>16</v>
      </c>
      <c r="E5178" s="131" t="s">
        <v>2292</v>
      </c>
      <c r="F5178" s="767">
        <v>111575</v>
      </c>
      <c r="G5178" s="767">
        <v>100537.06</v>
      </c>
      <c r="H5178" s="767">
        <v>212112.06</v>
      </c>
      <c r="I5178" s="768" t="s">
        <v>2293</v>
      </c>
    </row>
    <row r="5179" spans="1:9" x14ac:dyDescent="0.25">
      <c r="A5179" s="753"/>
      <c r="C5179" s="131" t="s">
        <v>371</v>
      </c>
      <c r="D5179" s="131">
        <v>16</v>
      </c>
      <c r="E5179" s="131" t="s">
        <v>371</v>
      </c>
      <c r="F5179" s="767">
        <v>-106923.5</v>
      </c>
      <c r="G5179" s="767">
        <v>0</v>
      </c>
      <c r="H5179" s="767">
        <v>-106923.5</v>
      </c>
      <c r="I5179" s="768" t="s">
        <v>1836</v>
      </c>
    </row>
    <row r="5180" spans="1:9" x14ac:dyDescent="0.25">
      <c r="A5180" s="753"/>
      <c r="C5180" s="131" t="s">
        <v>1152</v>
      </c>
      <c r="D5180" s="131">
        <v>16</v>
      </c>
      <c r="E5180" s="131" t="s">
        <v>1152</v>
      </c>
      <c r="F5180" s="767">
        <v>102290.17</v>
      </c>
      <c r="G5180" s="767">
        <v>0</v>
      </c>
      <c r="H5180" s="767">
        <v>102290.17</v>
      </c>
      <c r="I5180" s="768" t="s">
        <v>1837</v>
      </c>
    </row>
    <row r="5181" spans="1:9" x14ac:dyDescent="0.25">
      <c r="A5181" s="753"/>
      <c r="C5181" s="131" t="s">
        <v>0</v>
      </c>
      <c r="D5181" s="131">
        <v>16</v>
      </c>
      <c r="E5181" s="131" t="s">
        <v>0</v>
      </c>
      <c r="F5181" s="767">
        <v>-90273.5</v>
      </c>
      <c r="G5181" s="767">
        <v>0</v>
      </c>
      <c r="H5181" s="767">
        <v>-90273.5</v>
      </c>
      <c r="I5181" s="768" t="s">
        <v>1839</v>
      </c>
    </row>
    <row r="5182" spans="1:9" x14ac:dyDescent="0.25">
      <c r="A5182" s="753"/>
      <c r="C5182" s="131" t="s">
        <v>1117</v>
      </c>
      <c r="D5182" s="131">
        <v>16</v>
      </c>
      <c r="E5182" s="131" t="s">
        <v>1117</v>
      </c>
      <c r="F5182" s="767">
        <v>82763.5</v>
      </c>
      <c r="G5182" s="767">
        <v>0</v>
      </c>
      <c r="H5182" s="767">
        <v>82763.5</v>
      </c>
      <c r="I5182" s="768" t="s">
        <v>1840</v>
      </c>
    </row>
    <row r="5183" spans="1:9" x14ac:dyDescent="0.25">
      <c r="A5183" s="753"/>
      <c r="C5183" s="131" t="s">
        <v>388</v>
      </c>
      <c r="D5183" s="131">
        <v>16</v>
      </c>
      <c r="E5183" s="131" t="s">
        <v>388</v>
      </c>
      <c r="F5183" s="767">
        <v>-488096.67</v>
      </c>
      <c r="G5183" s="767">
        <v>-138273.37</v>
      </c>
      <c r="H5183" s="767">
        <v>-626370.04</v>
      </c>
      <c r="I5183" s="768" t="s">
        <v>1842</v>
      </c>
    </row>
    <row r="5184" spans="1:9" x14ac:dyDescent="0.25">
      <c r="A5184" s="753"/>
      <c r="C5184" s="131" t="s">
        <v>1157</v>
      </c>
      <c r="D5184" s="131">
        <v>16</v>
      </c>
      <c r="E5184" s="131" t="s">
        <v>1157</v>
      </c>
      <c r="F5184" s="767">
        <v>453839.9</v>
      </c>
      <c r="G5184" s="767">
        <v>126082.57</v>
      </c>
      <c r="H5184" s="767">
        <v>579922.47</v>
      </c>
      <c r="I5184" s="768" t="s">
        <v>1843</v>
      </c>
    </row>
    <row r="5185" spans="1:9" x14ac:dyDescent="0.25">
      <c r="A5185" s="753"/>
      <c r="C5185" s="131" t="s">
        <v>372</v>
      </c>
      <c r="D5185" s="131">
        <v>16</v>
      </c>
      <c r="E5185" s="131" t="s">
        <v>372</v>
      </c>
      <c r="F5185" s="767">
        <v>-1072320</v>
      </c>
      <c r="G5185" s="767">
        <v>-324698.42</v>
      </c>
      <c r="H5185" s="767">
        <v>-1397018.42</v>
      </c>
      <c r="I5185" s="768" t="s">
        <v>1845</v>
      </c>
    </row>
    <row r="5186" spans="1:9" x14ac:dyDescent="0.25">
      <c r="A5186" s="753"/>
      <c r="C5186" s="131" t="s">
        <v>1159</v>
      </c>
      <c r="D5186" s="131">
        <v>16</v>
      </c>
      <c r="E5186" s="131" t="s">
        <v>1159</v>
      </c>
      <c r="F5186" s="767">
        <v>1004366.9</v>
      </c>
      <c r="G5186" s="767">
        <v>299603.12</v>
      </c>
      <c r="H5186" s="767">
        <v>1303970.02</v>
      </c>
      <c r="I5186" s="768" t="s">
        <v>1846</v>
      </c>
    </row>
    <row r="5187" spans="1:9" x14ac:dyDescent="0.25">
      <c r="A5187" s="753"/>
      <c r="C5187" s="131" t="s">
        <v>389</v>
      </c>
      <c r="D5187" s="131">
        <v>16</v>
      </c>
      <c r="E5187" s="131" t="s">
        <v>389</v>
      </c>
      <c r="F5187" s="767">
        <v>-160941.5</v>
      </c>
      <c r="G5187" s="767">
        <v>0</v>
      </c>
      <c r="H5187" s="767">
        <v>-160941.5</v>
      </c>
      <c r="I5187" s="768" t="s">
        <v>2296</v>
      </c>
    </row>
    <row r="5188" spans="1:9" x14ac:dyDescent="0.25">
      <c r="A5188" s="753"/>
      <c r="C5188" s="131" t="s">
        <v>2297</v>
      </c>
      <c r="D5188" s="131">
        <v>16</v>
      </c>
      <c r="E5188" s="131" t="s">
        <v>2297</v>
      </c>
      <c r="F5188" s="767">
        <v>156088.57999999999</v>
      </c>
      <c r="G5188" s="767">
        <v>0</v>
      </c>
      <c r="H5188" s="767">
        <v>156088.57999999999</v>
      </c>
      <c r="I5188" s="768" t="s">
        <v>2298</v>
      </c>
    </row>
    <row r="5189" spans="1:9" x14ac:dyDescent="0.25">
      <c r="A5189" s="753"/>
      <c r="C5189" s="131" t="s">
        <v>373</v>
      </c>
      <c r="D5189" s="131">
        <v>16</v>
      </c>
      <c r="E5189" s="131" t="s">
        <v>373</v>
      </c>
      <c r="F5189" s="767">
        <v>-345515.77</v>
      </c>
      <c r="G5189" s="767">
        <v>0</v>
      </c>
      <c r="H5189" s="767">
        <v>-345515.77</v>
      </c>
      <c r="I5189" s="768" t="s">
        <v>2301</v>
      </c>
    </row>
    <row r="5190" spans="1:9" x14ac:dyDescent="0.25">
      <c r="A5190" s="753"/>
      <c r="C5190" s="131" t="s">
        <v>2302</v>
      </c>
      <c r="D5190" s="131">
        <v>16</v>
      </c>
      <c r="E5190" s="131" t="s">
        <v>2302</v>
      </c>
      <c r="F5190" s="767">
        <v>339379.44</v>
      </c>
      <c r="G5190" s="767">
        <v>0</v>
      </c>
      <c r="H5190" s="767">
        <v>339379.44</v>
      </c>
      <c r="I5190" s="768" t="s">
        <v>2303</v>
      </c>
    </row>
    <row r="5191" spans="1:9" x14ac:dyDescent="0.25">
      <c r="A5191" s="753"/>
      <c r="C5191" s="131" t="s">
        <v>365</v>
      </c>
      <c r="D5191" s="131">
        <v>16</v>
      </c>
      <c r="E5191" s="131" t="s">
        <v>365</v>
      </c>
      <c r="F5191" s="767">
        <v>-242245.5</v>
      </c>
      <c r="G5191" s="767">
        <v>0</v>
      </c>
      <c r="H5191" s="767">
        <v>-242245.5</v>
      </c>
      <c r="I5191" s="768" t="s">
        <v>1850</v>
      </c>
    </row>
    <row r="5192" spans="1:9" x14ac:dyDescent="0.25">
      <c r="A5192" s="753"/>
      <c r="C5192" s="131" t="s">
        <v>365</v>
      </c>
      <c r="D5192" s="131">
        <v>16</v>
      </c>
      <c r="E5192" s="131" t="s">
        <v>1139</v>
      </c>
      <c r="F5192" s="767">
        <v>-72260.61</v>
      </c>
      <c r="G5192" s="767">
        <v>0</v>
      </c>
      <c r="H5192" s="767">
        <v>-72260.61</v>
      </c>
      <c r="I5192" s="768" t="s">
        <v>1851</v>
      </c>
    </row>
    <row r="5193" spans="1:9" x14ac:dyDescent="0.25">
      <c r="A5193" s="753"/>
      <c r="C5193" s="131" t="s">
        <v>1161</v>
      </c>
      <c r="D5193" s="131">
        <v>16</v>
      </c>
      <c r="E5193" s="131" t="s">
        <v>1161</v>
      </c>
      <c r="F5193" s="767">
        <v>225357.57</v>
      </c>
      <c r="G5193" s="767">
        <v>0</v>
      </c>
      <c r="H5193" s="767">
        <v>225357.57</v>
      </c>
      <c r="I5193" s="768" t="s">
        <v>1852</v>
      </c>
    </row>
    <row r="5194" spans="1:9" x14ac:dyDescent="0.25">
      <c r="A5194" s="753"/>
      <c r="C5194" s="131" t="s">
        <v>1161</v>
      </c>
      <c r="D5194" s="131">
        <v>16</v>
      </c>
      <c r="E5194" s="131" t="s">
        <v>1140</v>
      </c>
      <c r="F5194" s="767">
        <v>65199.61</v>
      </c>
      <c r="G5194" s="767">
        <v>0</v>
      </c>
      <c r="H5194" s="767">
        <v>65199.61</v>
      </c>
      <c r="I5194" s="768" t="s">
        <v>1853</v>
      </c>
    </row>
    <row r="5195" spans="1:9" x14ac:dyDescent="0.25">
      <c r="A5195" s="753"/>
      <c r="C5195" s="131" t="s">
        <v>416</v>
      </c>
      <c r="D5195" s="131">
        <v>16</v>
      </c>
      <c r="E5195" s="131" t="s">
        <v>416</v>
      </c>
      <c r="F5195" s="767">
        <v>-97623.5</v>
      </c>
      <c r="G5195" s="767">
        <v>0</v>
      </c>
      <c r="H5195" s="767">
        <v>-97623.5</v>
      </c>
      <c r="I5195" s="768" t="s">
        <v>1854</v>
      </c>
    </row>
    <row r="5196" spans="1:9" x14ac:dyDescent="0.25">
      <c r="A5196" s="753"/>
      <c r="C5196" s="131" t="s">
        <v>1163</v>
      </c>
      <c r="D5196" s="131">
        <v>16</v>
      </c>
      <c r="E5196" s="131" t="s">
        <v>1163</v>
      </c>
      <c r="F5196" s="767">
        <v>90757.33</v>
      </c>
      <c r="G5196" s="767">
        <v>0</v>
      </c>
      <c r="H5196" s="767">
        <v>90757.33</v>
      </c>
      <c r="I5196" s="768" t="s">
        <v>1854</v>
      </c>
    </row>
    <row r="5197" spans="1:9" x14ac:dyDescent="0.25">
      <c r="A5197" s="753"/>
      <c r="C5197" s="131" t="s">
        <v>256</v>
      </c>
      <c r="D5197" s="131">
        <v>16</v>
      </c>
      <c r="E5197" s="131" t="s">
        <v>256</v>
      </c>
      <c r="F5197" s="767">
        <v>-121994.74</v>
      </c>
      <c r="G5197" s="767">
        <v>0</v>
      </c>
      <c r="H5197" s="767">
        <v>-121994.74</v>
      </c>
      <c r="I5197" s="768" t="s">
        <v>1856</v>
      </c>
    </row>
    <row r="5198" spans="1:9" x14ac:dyDescent="0.25">
      <c r="A5198" s="753"/>
      <c r="C5198" s="131" t="s">
        <v>1165</v>
      </c>
      <c r="D5198" s="131">
        <v>16</v>
      </c>
      <c r="E5198" s="131" t="s">
        <v>1165</v>
      </c>
      <c r="F5198" s="767">
        <v>116172.84</v>
      </c>
      <c r="G5198" s="767">
        <v>0</v>
      </c>
      <c r="H5198" s="767">
        <v>116172.84</v>
      </c>
      <c r="I5198" s="768" t="s">
        <v>1857</v>
      </c>
    </row>
    <row r="5199" spans="1:9" x14ac:dyDescent="0.25">
      <c r="A5199" s="753"/>
      <c r="C5199" s="131" t="s">
        <v>366</v>
      </c>
      <c r="D5199" s="131">
        <v>16</v>
      </c>
      <c r="E5199" s="131" t="s">
        <v>366</v>
      </c>
      <c r="F5199" s="767">
        <v>-133336.91</v>
      </c>
      <c r="G5199" s="767">
        <v>0</v>
      </c>
      <c r="H5199" s="767">
        <v>-133336.91</v>
      </c>
      <c r="I5199" s="768" t="s">
        <v>1859</v>
      </c>
    </row>
    <row r="5200" spans="1:9" x14ac:dyDescent="0.25">
      <c r="A5200" s="753"/>
      <c r="C5200" s="131" t="s">
        <v>1155</v>
      </c>
      <c r="D5200" s="131">
        <v>16</v>
      </c>
      <c r="E5200" s="131" t="s">
        <v>1155</v>
      </c>
      <c r="F5200" s="767">
        <v>124643.41</v>
      </c>
      <c r="G5200" s="767">
        <v>0</v>
      </c>
      <c r="H5200" s="767">
        <v>124643.41</v>
      </c>
      <c r="I5200" s="768" t="s">
        <v>1860</v>
      </c>
    </row>
    <row r="5201" spans="1:9" x14ac:dyDescent="0.25">
      <c r="A5201" s="753"/>
      <c r="C5201" s="131" t="s">
        <v>391</v>
      </c>
      <c r="D5201" s="131">
        <v>16</v>
      </c>
      <c r="E5201" s="131" t="s">
        <v>391</v>
      </c>
      <c r="F5201" s="767">
        <v>-227978.65</v>
      </c>
      <c r="G5201" s="767">
        <v>0</v>
      </c>
      <c r="H5201" s="767">
        <v>-227978.65</v>
      </c>
      <c r="I5201" s="768" t="s">
        <v>1862</v>
      </c>
    </row>
    <row r="5202" spans="1:9" x14ac:dyDescent="0.25">
      <c r="A5202" s="753"/>
      <c r="C5202" s="131" t="s">
        <v>1168</v>
      </c>
      <c r="D5202" s="131">
        <v>16</v>
      </c>
      <c r="E5202" s="131" t="s">
        <v>1168</v>
      </c>
      <c r="F5202" s="767">
        <v>216450.03</v>
      </c>
      <c r="G5202" s="767">
        <v>0</v>
      </c>
      <c r="H5202" s="767">
        <v>216450.03</v>
      </c>
      <c r="I5202" s="768" t="s">
        <v>1863</v>
      </c>
    </row>
    <row r="5203" spans="1:9" x14ac:dyDescent="0.25">
      <c r="A5203" s="753"/>
      <c r="C5203" s="131">
        <v>415</v>
      </c>
      <c r="D5203" s="131">
        <v>16</v>
      </c>
      <c r="E5203" s="131">
        <v>415</v>
      </c>
      <c r="F5203" s="767">
        <v>0</v>
      </c>
      <c r="G5203" s="767">
        <v>-140922.95000000001</v>
      </c>
      <c r="H5203" s="767">
        <v>-140922.95000000001</v>
      </c>
      <c r="I5203" s="768" t="s">
        <v>2306</v>
      </c>
    </row>
    <row r="5204" spans="1:9" x14ac:dyDescent="0.25">
      <c r="A5204" s="753"/>
      <c r="C5204" s="131">
        <v>615</v>
      </c>
      <c r="D5204" s="131">
        <v>16</v>
      </c>
      <c r="E5204" s="131">
        <v>615</v>
      </c>
      <c r="F5204" s="767">
        <v>0</v>
      </c>
      <c r="G5204" s="767">
        <v>135011.85</v>
      </c>
      <c r="H5204" s="767">
        <v>135011.85</v>
      </c>
      <c r="I5204" s="768" t="s">
        <v>2307</v>
      </c>
    </row>
    <row r="5205" spans="1:9" x14ac:dyDescent="0.25">
      <c r="A5205" s="753"/>
      <c r="C5205" s="131" t="s">
        <v>394</v>
      </c>
      <c r="D5205" s="131">
        <v>16</v>
      </c>
      <c r="E5205" s="131" t="s">
        <v>394</v>
      </c>
      <c r="F5205" s="767">
        <v>-118545.13</v>
      </c>
      <c r="G5205" s="767">
        <v>0</v>
      </c>
      <c r="H5205" s="767">
        <v>-118545.13</v>
      </c>
      <c r="I5205" s="768" t="s">
        <v>1865</v>
      </c>
    </row>
    <row r="5206" spans="1:9" x14ac:dyDescent="0.25">
      <c r="A5206" s="753"/>
      <c r="C5206" s="131" t="s">
        <v>1122</v>
      </c>
      <c r="D5206" s="131">
        <v>16</v>
      </c>
      <c r="E5206" s="131" t="s">
        <v>1122</v>
      </c>
      <c r="F5206" s="767">
        <v>118545.13</v>
      </c>
      <c r="G5206" s="767">
        <v>0</v>
      </c>
      <c r="H5206" s="767">
        <v>118545.13</v>
      </c>
      <c r="I5206" s="768" t="s">
        <v>1866</v>
      </c>
    </row>
    <row r="5207" spans="1:9" x14ac:dyDescent="0.25">
      <c r="A5207" s="753"/>
      <c r="C5207" s="131" t="s">
        <v>292</v>
      </c>
      <c r="D5207" s="131">
        <v>16</v>
      </c>
      <c r="E5207" s="131" t="s">
        <v>1080</v>
      </c>
      <c r="F5207" s="767">
        <v>-128273.5</v>
      </c>
      <c r="G5207" s="767">
        <v>0</v>
      </c>
      <c r="H5207" s="767">
        <v>-128273.5</v>
      </c>
      <c r="I5207" s="768" t="s">
        <v>1868</v>
      </c>
    </row>
    <row r="5208" spans="1:9" x14ac:dyDescent="0.25">
      <c r="A5208" s="753"/>
      <c r="C5208" s="131" t="s">
        <v>1174</v>
      </c>
      <c r="D5208" s="131">
        <v>16</v>
      </c>
      <c r="E5208" s="131" t="s">
        <v>1081</v>
      </c>
      <c r="F5208" s="767">
        <v>115038.03</v>
      </c>
      <c r="G5208" s="767">
        <v>0</v>
      </c>
      <c r="H5208" s="767">
        <v>115038.03</v>
      </c>
      <c r="I5208" s="768" t="s">
        <v>1869</v>
      </c>
    </row>
    <row r="5209" spans="1:9" x14ac:dyDescent="0.25">
      <c r="A5209" s="753"/>
      <c r="C5209" s="131" t="s">
        <v>297</v>
      </c>
      <c r="D5209" s="131">
        <v>16</v>
      </c>
      <c r="E5209" s="131" t="s">
        <v>297</v>
      </c>
      <c r="F5209" s="767">
        <v>-156342</v>
      </c>
      <c r="G5209" s="767">
        <v>0</v>
      </c>
      <c r="H5209" s="767">
        <v>-156342</v>
      </c>
      <c r="I5209" s="768" t="s">
        <v>1871</v>
      </c>
    </row>
    <row r="5210" spans="1:9" x14ac:dyDescent="0.25">
      <c r="A5210" s="753"/>
      <c r="C5210" s="131" t="s">
        <v>1083</v>
      </c>
      <c r="D5210" s="131">
        <v>16</v>
      </c>
      <c r="E5210" s="131" t="s">
        <v>1083</v>
      </c>
      <c r="F5210" s="767">
        <v>147709.57999999999</v>
      </c>
      <c r="G5210" s="767">
        <v>0</v>
      </c>
      <c r="H5210" s="767">
        <v>147709.57999999999</v>
      </c>
      <c r="I5210" s="768" t="s">
        <v>1872</v>
      </c>
    </row>
    <row r="5211" spans="1:9" x14ac:dyDescent="0.25">
      <c r="A5211" s="753"/>
      <c r="C5211" s="131" t="s">
        <v>299</v>
      </c>
      <c r="D5211" s="131">
        <v>16</v>
      </c>
      <c r="E5211" s="131" t="s">
        <v>299</v>
      </c>
      <c r="F5211" s="767">
        <v>-363200</v>
      </c>
      <c r="G5211" s="767">
        <v>0</v>
      </c>
      <c r="H5211" s="767">
        <v>-363200</v>
      </c>
      <c r="I5211" s="768" t="s">
        <v>1874</v>
      </c>
    </row>
    <row r="5212" spans="1:9" x14ac:dyDescent="0.25">
      <c r="A5212" s="753"/>
      <c r="C5212" s="131" t="s">
        <v>1180</v>
      </c>
      <c r="D5212" s="131">
        <v>16</v>
      </c>
      <c r="E5212" s="131" t="s">
        <v>1180</v>
      </c>
      <c r="F5212" s="767">
        <v>343503.43</v>
      </c>
      <c r="G5212" s="767">
        <v>0</v>
      </c>
      <c r="H5212" s="767">
        <v>343503.43</v>
      </c>
      <c r="I5212" s="768" t="s">
        <v>1875</v>
      </c>
    </row>
    <row r="5213" spans="1:9" x14ac:dyDescent="0.25">
      <c r="A5213" s="753"/>
      <c r="C5213" s="131">
        <v>416</v>
      </c>
      <c r="D5213" s="131">
        <v>16</v>
      </c>
      <c r="E5213" s="131">
        <v>416</v>
      </c>
      <c r="F5213" s="767">
        <v>-1003631.7</v>
      </c>
      <c r="G5213" s="767">
        <v>-238444</v>
      </c>
      <c r="H5213" s="767">
        <v>-1242075.7</v>
      </c>
      <c r="I5213" s="768" t="s">
        <v>1720</v>
      </c>
    </row>
    <row r="5214" spans="1:9" x14ac:dyDescent="0.25">
      <c r="A5214" s="753"/>
      <c r="C5214" s="131">
        <v>616</v>
      </c>
      <c r="D5214" s="131">
        <v>16</v>
      </c>
      <c r="E5214" s="131">
        <v>616</v>
      </c>
      <c r="F5214" s="767">
        <v>941860.05</v>
      </c>
      <c r="G5214" s="767">
        <v>224614.34</v>
      </c>
      <c r="H5214" s="767">
        <v>1166474.3899999999</v>
      </c>
      <c r="I5214" s="768" t="s">
        <v>1721</v>
      </c>
    </row>
    <row r="5215" spans="1:9" x14ac:dyDescent="0.25">
      <c r="A5215" s="753"/>
      <c r="C5215" s="131" t="s">
        <v>400</v>
      </c>
      <c r="D5215" s="131">
        <v>16</v>
      </c>
      <c r="E5215" s="131" t="s">
        <v>400</v>
      </c>
      <c r="F5215" s="767">
        <v>-139749.68</v>
      </c>
      <c r="G5215" s="767">
        <v>-74470.399999999994</v>
      </c>
      <c r="H5215" s="767">
        <v>-214220.08</v>
      </c>
      <c r="I5215" s="768" t="s">
        <v>1723</v>
      </c>
    </row>
    <row r="5216" spans="1:9" x14ac:dyDescent="0.25">
      <c r="A5216" s="753"/>
      <c r="C5216" s="131" t="s">
        <v>1100</v>
      </c>
      <c r="D5216" s="131">
        <v>16</v>
      </c>
      <c r="E5216" s="131" t="s">
        <v>1100</v>
      </c>
      <c r="F5216" s="767">
        <v>131422.87</v>
      </c>
      <c r="G5216" s="767">
        <v>69814.75</v>
      </c>
      <c r="H5216" s="767">
        <v>201237.62</v>
      </c>
      <c r="I5216" s="768" t="s">
        <v>1724</v>
      </c>
    </row>
    <row r="5217" spans="1:9" x14ac:dyDescent="0.25">
      <c r="A5217" s="753"/>
      <c r="C5217" s="131">
        <v>409</v>
      </c>
      <c r="D5217" s="131">
        <v>16</v>
      </c>
      <c r="E5217" s="131">
        <v>409</v>
      </c>
      <c r="F5217" s="767">
        <v>-363098.13</v>
      </c>
      <c r="G5217" s="767">
        <v>-188223.59</v>
      </c>
      <c r="H5217" s="767">
        <v>-551321.72</v>
      </c>
      <c r="I5217" s="768" t="s">
        <v>1725</v>
      </c>
    </row>
    <row r="5218" spans="1:9" x14ac:dyDescent="0.25">
      <c r="A5218" s="753"/>
      <c r="C5218" s="131">
        <v>609</v>
      </c>
      <c r="D5218" s="131">
        <v>16</v>
      </c>
      <c r="E5218" s="131">
        <v>609</v>
      </c>
      <c r="F5218" s="767">
        <v>341003.75</v>
      </c>
      <c r="G5218" s="767">
        <v>179636.18</v>
      </c>
      <c r="H5218" s="767">
        <v>520639.93</v>
      </c>
      <c r="I5218" s="768" t="s">
        <v>1725</v>
      </c>
    </row>
    <row r="5219" spans="1:9" x14ac:dyDescent="0.25">
      <c r="A5219" s="753"/>
      <c r="C5219" s="131" t="s">
        <v>1102</v>
      </c>
      <c r="D5219" s="131">
        <v>16</v>
      </c>
      <c r="E5219" s="131" t="s">
        <v>1102</v>
      </c>
      <c r="F5219" s="767">
        <v>-90100.5</v>
      </c>
      <c r="G5219" s="767">
        <v>-79723.5</v>
      </c>
      <c r="H5219" s="767">
        <v>-169824</v>
      </c>
      <c r="I5219" s="768" t="s">
        <v>1726</v>
      </c>
    </row>
    <row r="5220" spans="1:9" x14ac:dyDescent="0.25">
      <c r="A5220" s="753"/>
      <c r="C5220" s="131" t="s">
        <v>1103</v>
      </c>
      <c r="D5220" s="131">
        <v>16</v>
      </c>
      <c r="E5220" s="131" t="s">
        <v>1103</v>
      </c>
      <c r="F5220" s="767">
        <v>84965.15</v>
      </c>
      <c r="G5220" s="767">
        <v>74349.23</v>
      </c>
      <c r="H5220" s="767">
        <v>159314.38</v>
      </c>
      <c r="I5220" s="768" t="s">
        <v>1726</v>
      </c>
    </row>
    <row r="5221" spans="1:9" x14ac:dyDescent="0.25">
      <c r="A5221" s="753"/>
      <c r="C5221" s="131" t="s">
        <v>104</v>
      </c>
      <c r="D5221" s="131">
        <v>16</v>
      </c>
      <c r="E5221" s="131" t="s">
        <v>104</v>
      </c>
      <c r="F5221" s="767">
        <v>-1584890.7</v>
      </c>
      <c r="G5221" s="767">
        <v>0</v>
      </c>
      <c r="H5221" s="767">
        <v>-1584890.7</v>
      </c>
      <c r="I5221" s="768" t="s">
        <v>1728</v>
      </c>
    </row>
    <row r="5222" spans="1:9" x14ac:dyDescent="0.25">
      <c r="A5222" s="753"/>
      <c r="C5222" s="131" t="s">
        <v>1106</v>
      </c>
      <c r="D5222" s="131">
        <v>16</v>
      </c>
      <c r="E5222" s="131" t="s">
        <v>1106</v>
      </c>
      <c r="F5222" s="767">
        <v>1486270.54</v>
      </c>
      <c r="G5222" s="767">
        <v>0</v>
      </c>
      <c r="H5222" s="767">
        <v>1486270.54</v>
      </c>
      <c r="I5222" s="768" t="s">
        <v>1729</v>
      </c>
    </row>
    <row r="5223" spans="1:9" x14ac:dyDescent="0.25">
      <c r="A5223" s="753"/>
      <c r="C5223" s="131" t="s">
        <v>282</v>
      </c>
      <c r="D5223" s="131">
        <v>16</v>
      </c>
      <c r="E5223" s="131" t="s">
        <v>282</v>
      </c>
      <c r="F5223" s="767">
        <v>-355284</v>
      </c>
      <c r="G5223" s="767">
        <v>0</v>
      </c>
      <c r="H5223" s="767">
        <v>-355284</v>
      </c>
      <c r="I5223" s="768" t="s">
        <v>1731</v>
      </c>
    </row>
    <row r="5224" spans="1:9" x14ac:dyDescent="0.25">
      <c r="A5224" s="753"/>
      <c r="C5224" s="131" t="s">
        <v>1107</v>
      </c>
      <c r="D5224" s="131">
        <v>16</v>
      </c>
      <c r="E5224" s="131" t="s">
        <v>1107</v>
      </c>
      <c r="F5224" s="767">
        <v>333495.65000000002</v>
      </c>
      <c r="G5224" s="767">
        <v>0</v>
      </c>
      <c r="H5224" s="767">
        <v>333495.65000000002</v>
      </c>
      <c r="I5224" s="768" t="s">
        <v>1732</v>
      </c>
    </row>
    <row r="5225" spans="1:9" x14ac:dyDescent="0.25">
      <c r="A5225" s="753"/>
      <c r="C5225" s="131" t="s">
        <v>340</v>
      </c>
      <c r="D5225" s="131">
        <v>16</v>
      </c>
      <c r="E5225" s="131" t="s">
        <v>340</v>
      </c>
      <c r="F5225" s="767">
        <v>-482797.12</v>
      </c>
      <c r="G5225" s="767">
        <v>-236789.98</v>
      </c>
      <c r="H5225" s="767">
        <v>-719587.1</v>
      </c>
      <c r="I5225" s="768" t="s">
        <v>1734</v>
      </c>
    </row>
    <row r="5226" spans="1:9" x14ac:dyDescent="0.25">
      <c r="A5226" s="753"/>
      <c r="C5226" s="131" t="s">
        <v>1108</v>
      </c>
      <c r="D5226" s="131">
        <v>16</v>
      </c>
      <c r="E5226" s="131" t="s">
        <v>1108</v>
      </c>
      <c r="F5226" s="767">
        <v>453323.44</v>
      </c>
      <c r="G5226" s="767">
        <v>217365.05</v>
      </c>
      <c r="H5226" s="767">
        <v>670688.49</v>
      </c>
      <c r="I5226" s="768" t="s">
        <v>1735</v>
      </c>
    </row>
    <row r="5227" spans="1:9" x14ac:dyDescent="0.25">
      <c r="A5227" s="753"/>
      <c r="C5227" s="131" t="s">
        <v>301</v>
      </c>
      <c r="D5227" s="131">
        <v>16</v>
      </c>
      <c r="E5227" s="131" t="s">
        <v>301</v>
      </c>
      <c r="F5227" s="767">
        <v>-109302.93</v>
      </c>
      <c r="G5227" s="767">
        <v>0</v>
      </c>
      <c r="H5227" s="767">
        <v>-109302.93</v>
      </c>
      <c r="I5227" s="768" t="s">
        <v>2272</v>
      </c>
    </row>
    <row r="5228" spans="1:9" x14ac:dyDescent="0.25">
      <c r="A5228" s="753"/>
      <c r="C5228" s="131" t="s">
        <v>2273</v>
      </c>
      <c r="D5228" s="131">
        <v>16</v>
      </c>
      <c r="E5228" s="131" t="s">
        <v>2273</v>
      </c>
      <c r="F5228" s="767">
        <v>109633.12</v>
      </c>
      <c r="G5228" s="767">
        <v>0</v>
      </c>
      <c r="H5228" s="767">
        <v>109633.12</v>
      </c>
      <c r="I5228" s="768" t="s">
        <v>2274</v>
      </c>
    </row>
    <row r="5229" spans="1:9" x14ac:dyDescent="0.25">
      <c r="A5229" s="753"/>
      <c r="C5229" s="131" t="s">
        <v>237</v>
      </c>
      <c r="D5229" s="131">
        <v>16</v>
      </c>
      <c r="E5229" s="131" t="s">
        <v>237</v>
      </c>
      <c r="F5229" s="767">
        <v>-222837.66</v>
      </c>
      <c r="G5229" s="767">
        <v>0</v>
      </c>
      <c r="H5229" s="767">
        <v>-222837.66</v>
      </c>
      <c r="I5229" s="768" t="s">
        <v>1737</v>
      </c>
    </row>
    <row r="5230" spans="1:9" x14ac:dyDescent="0.25">
      <c r="A5230" s="753"/>
      <c r="C5230" s="131" t="s">
        <v>1094</v>
      </c>
      <c r="D5230" s="131">
        <v>16</v>
      </c>
      <c r="E5230" s="131" t="s">
        <v>1094</v>
      </c>
      <c r="F5230" s="767">
        <v>208571.21</v>
      </c>
      <c r="G5230" s="767">
        <v>0</v>
      </c>
      <c r="H5230" s="767">
        <v>208571.21</v>
      </c>
      <c r="I5230" s="768" t="s">
        <v>1738</v>
      </c>
    </row>
    <row r="5231" spans="1:9" x14ac:dyDescent="0.25">
      <c r="A5231" s="753"/>
      <c r="C5231" s="131" t="s">
        <v>258</v>
      </c>
      <c r="D5231" s="131">
        <v>16</v>
      </c>
      <c r="E5231" s="131" t="s">
        <v>258</v>
      </c>
      <c r="F5231" s="767">
        <v>-180770</v>
      </c>
      <c r="G5231" s="767">
        <v>0</v>
      </c>
      <c r="H5231" s="767">
        <v>-180770</v>
      </c>
      <c r="I5231" s="768" t="s">
        <v>1741</v>
      </c>
    </row>
    <row r="5232" spans="1:9" x14ac:dyDescent="0.25">
      <c r="A5232" s="753"/>
      <c r="C5232" s="131" t="s">
        <v>1742</v>
      </c>
      <c r="D5232" s="131">
        <v>16</v>
      </c>
      <c r="E5232" s="131" t="s">
        <v>1742</v>
      </c>
      <c r="F5232" s="767">
        <v>168281.09</v>
      </c>
      <c r="G5232" s="767">
        <v>0</v>
      </c>
      <c r="H5232" s="767">
        <v>168281.09</v>
      </c>
      <c r="I5232" s="768" t="s">
        <v>1743</v>
      </c>
    </row>
    <row r="5233" spans="1:9" x14ac:dyDescent="0.25">
      <c r="A5233" s="753"/>
      <c r="C5233" s="131" t="s">
        <v>105</v>
      </c>
      <c r="D5233" s="131">
        <v>16</v>
      </c>
      <c r="E5233" s="131" t="s">
        <v>105</v>
      </c>
      <c r="F5233" s="767">
        <v>-751239.23</v>
      </c>
      <c r="G5233" s="767">
        <v>-106773.5</v>
      </c>
      <c r="H5233" s="767">
        <v>-858012.73</v>
      </c>
      <c r="I5233" s="768" t="s">
        <v>1745</v>
      </c>
    </row>
    <row r="5234" spans="1:9" x14ac:dyDescent="0.25">
      <c r="A5234" s="753"/>
      <c r="C5234" s="131" t="s">
        <v>1110</v>
      </c>
      <c r="D5234" s="131">
        <v>16</v>
      </c>
      <c r="E5234" s="131" t="s">
        <v>1110</v>
      </c>
      <c r="F5234" s="767">
        <v>714996.42</v>
      </c>
      <c r="G5234" s="767">
        <v>102975</v>
      </c>
      <c r="H5234" s="767">
        <v>817971.42</v>
      </c>
      <c r="I5234" s="768" t="s">
        <v>1746</v>
      </c>
    </row>
    <row r="5235" spans="1:9" x14ac:dyDescent="0.25">
      <c r="A5235" s="753"/>
      <c r="C5235" s="131" t="s">
        <v>401</v>
      </c>
      <c r="D5235" s="131">
        <v>16</v>
      </c>
      <c r="E5235" s="131" t="s">
        <v>401</v>
      </c>
      <c r="F5235" s="767">
        <v>-976653.2</v>
      </c>
      <c r="G5235" s="767">
        <v>0</v>
      </c>
      <c r="H5235" s="767">
        <v>-976653.2</v>
      </c>
      <c r="I5235" s="768" t="s">
        <v>1748</v>
      </c>
    </row>
    <row r="5236" spans="1:9" x14ac:dyDescent="0.25">
      <c r="A5236" s="753"/>
      <c r="C5236" s="131" t="s">
        <v>1112</v>
      </c>
      <c r="D5236" s="131">
        <v>16</v>
      </c>
      <c r="E5236" s="131" t="s">
        <v>1112</v>
      </c>
      <c r="F5236" s="767">
        <v>912448.95</v>
      </c>
      <c r="G5236" s="767">
        <v>0</v>
      </c>
      <c r="H5236" s="767">
        <v>912448.95</v>
      </c>
      <c r="I5236" s="768" t="s">
        <v>1749</v>
      </c>
    </row>
    <row r="5237" spans="1:9" x14ac:dyDescent="0.25">
      <c r="A5237" s="753"/>
      <c r="C5237" s="131">
        <v>447</v>
      </c>
      <c r="D5237" s="131">
        <v>16</v>
      </c>
      <c r="E5237" s="131">
        <v>447</v>
      </c>
      <c r="F5237" s="767">
        <v>-151506.5</v>
      </c>
      <c r="G5237" s="767">
        <v>0</v>
      </c>
      <c r="H5237" s="767">
        <v>-151506.5</v>
      </c>
      <c r="I5237" s="768" t="s">
        <v>1751</v>
      </c>
    </row>
    <row r="5238" spans="1:9" x14ac:dyDescent="0.25">
      <c r="A5238" s="753"/>
      <c r="C5238" s="131">
        <v>647</v>
      </c>
      <c r="D5238" s="131">
        <v>16</v>
      </c>
      <c r="E5238" s="131">
        <v>647</v>
      </c>
      <c r="F5238" s="767">
        <v>145006.09</v>
      </c>
      <c r="G5238" s="767">
        <v>0</v>
      </c>
      <c r="H5238" s="767">
        <v>145006.09</v>
      </c>
      <c r="I5238" s="768" t="s">
        <v>1752</v>
      </c>
    </row>
    <row r="5239" spans="1:9" x14ac:dyDescent="0.25">
      <c r="A5239" s="753"/>
      <c r="C5239" s="131" t="s">
        <v>106</v>
      </c>
      <c r="D5239" s="131">
        <v>16</v>
      </c>
      <c r="E5239" s="131" t="s">
        <v>106</v>
      </c>
      <c r="F5239" s="767">
        <v>-227426</v>
      </c>
      <c r="G5239" s="767">
        <v>0</v>
      </c>
      <c r="H5239" s="767">
        <v>-227426</v>
      </c>
      <c r="I5239" s="768" t="s">
        <v>1754</v>
      </c>
    </row>
    <row r="5240" spans="1:9" x14ac:dyDescent="0.25">
      <c r="A5240" s="753"/>
      <c r="C5240" s="131" t="s">
        <v>1143</v>
      </c>
      <c r="D5240" s="131">
        <v>16</v>
      </c>
      <c r="E5240" s="131" t="s">
        <v>1143</v>
      </c>
      <c r="F5240" s="767">
        <v>214312.85</v>
      </c>
      <c r="G5240" s="767">
        <v>0</v>
      </c>
      <c r="H5240" s="767">
        <v>214312.85</v>
      </c>
      <c r="I5240" s="768" t="s">
        <v>1755</v>
      </c>
    </row>
    <row r="5241" spans="1:9" x14ac:dyDescent="0.25">
      <c r="A5241" s="753"/>
      <c r="C5241" s="131" t="s">
        <v>405</v>
      </c>
      <c r="D5241" s="131">
        <v>16</v>
      </c>
      <c r="E5241" s="131" t="s">
        <v>405</v>
      </c>
      <c r="F5241" s="767">
        <v>-235967</v>
      </c>
      <c r="G5241" s="767">
        <v>0</v>
      </c>
      <c r="H5241" s="767">
        <v>-235967</v>
      </c>
      <c r="I5241" s="768" t="s">
        <v>1757</v>
      </c>
    </row>
    <row r="5242" spans="1:9" x14ac:dyDescent="0.25">
      <c r="A5242" s="753"/>
      <c r="C5242" s="131" t="s">
        <v>1116</v>
      </c>
      <c r="D5242" s="131">
        <v>16</v>
      </c>
      <c r="E5242" s="131" t="s">
        <v>1116</v>
      </c>
      <c r="F5242" s="767">
        <v>220347.51999999999</v>
      </c>
      <c r="G5242" s="767">
        <v>0</v>
      </c>
      <c r="H5242" s="767">
        <v>220347.51999999999</v>
      </c>
      <c r="I5242" s="768" t="s">
        <v>1758</v>
      </c>
    </row>
    <row r="5243" spans="1:9" x14ac:dyDescent="0.25">
      <c r="A5243" s="753"/>
      <c r="C5243" s="131">
        <v>480</v>
      </c>
      <c r="D5243" s="131">
        <v>16</v>
      </c>
      <c r="E5243" s="131">
        <v>480</v>
      </c>
      <c r="F5243" s="767">
        <v>-273292.68</v>
      </c>
      <c r="G5243" s="767">
        <v>0</v>
      </c>
      <c r="H5243" s="767">
        <v>-273292.68</v>
      </c>
      <c r="I5243" s="768" t="s">
        <v>1760</v>
      </c>
    </row>
    <row r="5244" spans="1:9" x14ac:dyDescent="0.25">
      <c r="A5244" s="753"/>
      <c r="C5244" s="131">
        <v>680</v>
      </c>
      <c r="D5244" s="131">
        <v>16</v>
      </c>
      <c r="E5244" s="131">
        <v>680</v>
      </c>
      <c r="F5244" s="767">
        <v>269709.11</v>
      </c>
      <c r="G5244" s="767">
        <v>0</v>
      </c>
      <c r="H5244" s="767">
        <v>269709.11</v>
      </c>
      <c r="I5244" s="768" t="s">
        <v>1761</v>
      </c>
    </row>
    <row r="5245" spans="1:9" x14ac:dyDescent="0.25">
      <c r="A5245" s="753"/>
      <c r="C5245" s="131" t="s">
        <v>406</v>
      </c>
      <c r="D5245" s="131">
        <v>16</v>
      </c>
      <c r="E5245" s="131" t="s">
        <v>406</v>
      </c>
      <c r="F5245" s="767">
        <v>-309378.09999999998</v>
      </c>
      <c r="G5245" s="767">
        <v>0</v>
      </c>
      <c r="H5245" s="767">
        <v>-309378.09999999998</v>
      </c>
      <c r="I5245" s="768" t="s">
        <v>1764</v>
      </c>
    </row>
    <row r="5246" spans="1:9" x14ac:dyDescent="0.25">
      <c r="A5246" s="753"/>
      <c r="C5246" s="131" t="s">
        <v>1119</v>
      </c>
      <c r="D5246" s="131">
        <v>16</v>
      </c>
      <c r="E5246" s="131" t="s">
        <v>1119</v>
      </c>
      <c r="F5246" s="767">
        <v>291459.78000000003</v>
      </c>
      <c r="G5246" s="767">
        <v>0</v>
      </c>
      <c r="H5246" s="767">
        <v>291459.78000000003</v>
      </c>
      <c r="I5246" s="768" t="s">
        <v>1765</v>
      </c>
    </row>
    <row r="5247" spans="1:9" x14ac:dyDescent="0.25">
      <c r="A5247" s="753"/>
      <c r="C5247" s="131">
        <v>481</v>
      </c>
      <c r="D5247" s="131">
        <v>16</v>
      </c>
      <c r="E5247" s="131">
        <v>481</v>
      </c>
      <c r="F5247" s="767">
        <v>-237027.97</v>
      </c>
      <c r="G5247" s="767">
        <v>0</v>
      </c>
      <c r="H5247" s="767">
        <v>-237027.97</v>
      </c>
      <c r="I5247" s="768" t="s">
        <v>408</v>
      </c>
    </row>
    <row r="5248" spans="1:9" x14ac:dyDescent="0.25">
      <c r="A5248" s="753"/>
      <c r="C5248" s="131">
        <v>681</v>
      </c>
      <c r="D5248" s="131">
        <v>16</v>
      </c>
      <c r="E5248" s="131">
        <v>681</v>
      </c>
      <c r="F5248" s="767">
        <v>233811.43</v>
      </c>
      <c r="G5248" s="767">
        <v>0</v>
      </c>
      <c r="H5248" s="767">
        <v>233811.43</v>
      </c>
      <c r="I5248" s="768" t="s">
        <v>408</v>
      </c>
    </row>
    <row r="5249" spans="1:9" x14ac:dyDescent="0.25">
      <c r="A5249" s="753"/>
      <c r="C5249" s="131" t="s">
        <v>410</v>
      </c>
      <c r="D5249" s="131">
        <v>16</v>
      </c>
      <c r="E5249" s="131" t="s">
        <v>410</v>
      </c>
      <c r="F5249" s="767">
        <v>-246468.25</v>
      </c>
      <c r="G5249" s="767">
        <v>0</v>
      </c>
      <c r="H5249" s="767">
        <v>-246468.25</v>
      </c>
      <c r="I5249" s="768" t="s">
        <v>1767</v>
      </c>
    </row>
    <row r="5250" spans="1:9" x14ac:dyDescent="0.25">
      <c r="A5250" s="753"/>
      <c r="C5250" s="131" t="s">
        <v>1120</v>
      </c>
      <c r="D5250" s="131">
        <v>16</v>
      </c>
      <c r="E5250" s="131" t="s">
        <v>1120</v>
      </c>
      <c r="F5250" s="767">
        <v>235559.82</v>
      </c>
      <c r="G5250" s="767">
        <v>0</v>
      </c>
      <c r="H5250" s="767">
        <v>235559.82</v>
      </c>
      <c r="I5250" s="768" t="s">
        <v>1767</v>
      </c>
    </row>
    <row r="5251" spans="1:9" x14ac:dyDescent="0.25">
      <c r="A5251" s="753"/>
      <c r="C5251" s="131" t="s">
        <v>376</v>
      </c>
      <c r="D5251" s="131">
        <v>16</v>
      </c>
      <c r="E5251" s="131" t="s">
        <v>376</v>
      </c>
      <c r="F5251" s="767">
        <v>-98510.95</v>
      </c>
      <c r="G5251" s="767">
        <v>0</v>
      </c>
      <c r="H5251" s="767">
        <v>-98510.95</v>
      </c>
      <c r="I5251" s="768" t="s">
        <v>2278</v>
      </c>
    </row>
    <row r="5252" spans="1:9" x14ac:dyDescent="0.25">
      <c r="A5252" s="753"/>
      <c r="C5252" s="131" t="s">
        <v>2279</v>
      </c>
      <c r="D5252" s="131">
        <v>16</v>
      </c>
      <c r="E5252" s="131" t="s">
        <v>2279</v>
      </c>
      <c r="F5252" s="767">
        <v>97615</v>
      </c>
      <c r="G5252" s="767">
        <v>0</v>
      </c>
      <c r="H5252" s="767">
        <v>97615</v>
      </c>
      <c r="I5252" s="768" t="s">
        <v>2280</v>
      </c>
    </row>
    <row r="5253" spans="1:9" x14ac:dyDescent="0.25">
      <c r="A5253" s="753"/>
      <c r="C5253" s="131" t="s">
        <v>378</v>
      </c>
      <c r="D5253" s="131">
        <v>16</v>
      </c>
      <c r="E5253" s="131" t="s">
        <v>378</v>
      </c>
      <c r="F5253" s="767">
        <v>-323316.75</v>
      </c>
      <c r="G5253" s="767">
        <v>0</v>
      </c>
      <c r="H5253" s="767">
        <v>-323316.75</v>
      </c>
      <c r="I5253" s="768" t="s">
        <v>1769</v>
      </c>
    </row>
    <row r="5254" spans="1:9" x14ac:dyDescent="0.25">
      <c r="A5254" s="753"/>
      <c r="C5254" s="131" t="s">
        <v>1121</v>
      </c>
      <c r="D5254" s="131">
        <v>16</v>
      </c>
      <c r="E5254" s="131" t="s">
        <v>1121</v>
      </c>
      <c r="F5254" s="767">
        <v>316233.65000000002</v>
      </c>
      <c r="G5254" s="767">
        <v>0</v>
      </c>
      <c r="H5254" s="767">
        <v>316233.65000000002</v>
      </c>
      <c r="I5254" s="768" t="s">
        <v>1770</v>
      </c>
    </row>
    <row r="5255" spans="1:9" x14ac:dyDescent="0.25">
      <c r="A5255" s="753">
        <v>603818</v>
      </c>
      <c r="B5255" s="130">
        <v>4878</v>
      </c>
      <c r="E5255" s="131"/>
    </row>
    <row r="5256" spans="1:9" x14ac:dyDescent="0.25">
      <c r="A5256" s="753">
        <v>603822</v>
      </c>
      <c r="B5256" s="130">
        <v>174</v>
      </c>
      <c r="E5256" s="131"/>
    </row>
    <row r="5257" spans="1:9" x14ac:dyDescent="0.25">
      <c r="A5257" s="753">
        <v>603824</v>
      </c>
      <c r="B5257" s="130">
        <v>14870053</v>
      </c>
      <c r="E5257" s="131"/>
    </row>
    <row r="5258" spans="1:9" x14ac:dyDescent="0.25">
      <c r="A5258" s="753">
        <v>603826</v>
      </c>
      <c r="B5258" s="130">
        <v>828478</v>
      </c>
      <c r="C5258" s="131">
        <v>416</v>
      </c>
      <c r="D5258" s="131">
        <v>16</v>
      </c>
      <c r="E5258" s="131">
        <v>416</v>
      </c>
      <c r="F5258" s="767">
        <v>-1003631.7</v>
      </c>
      <c r="G5258" s="767">
        <v>-238444</v>
      </c>
      <c r="H5258" s="767">
        <v>-1242075.7</v>
      </c>
      <c r="I5258" s="768" t="s">
        <v>1720</v>
      </c>
    </row>
    <row r="5259" spans="1:9" x14ac:dyDescent="0.25">
      <c r="A5259" s="753"/>
      <c r="C5259" s="131">
        <v>616</v>
      </c>
      <c r="D5259" s="131">
        <v>16</v>
      </c>
      <c r="E5259" s="131">
        <v>616</v>
      </c>
      <c r="F5259" s="767">
        <v>941860.05</v>
      </c>
      <c r="G5259" s="767">
        <v>224614.34</v>
      </c>
      <c r="H5259" s="767">
        <v>1166474.3899999999</v>
      </c>
      <c r="I5259" s="768" t="s">
        <v>1721</v>
      </c>
    </row>
    <row r="5260" spans="1:9" x14ac:dyDescent="0.25">
      <c r="A5260" s="753"/>
      <c r="C5260" s="131" t="s">
        <v>400</v>
      </c>
      <c r="D5260" s="131">
        <v>16</v>
      </c>
      <c r="E5260" s="131" t="s">
        <v>400</v>
      </c>
      <c r="F5260" s="767">
        <v>-139749.68</v>
      </c>
      <c r="G5260" s="767">
        <v>-74470.399999999994</v>
      </c>
      <c r="H5260" s="767">
        <v>-214220.08</v>
      </c>
      <c r="I5260" s="768" t="s">
        <v>1723</v>
      </c>
    </row>
    <row r="5261" spans="1:9" x14ac:dyDescent="0.25">
      <c r="A5261" s="753"/>
      <c r="C5261" s="131" t="s">
        <v>1100</v>
      </c>
      <c r="D5261" s="131">
        <v>16</v>
      </c>
      <c r="E5261" s="131" t="s">
        <v>1100</v>
      </c>
      <c r="F5261" s="767">
        <v>131422.87</v>
      </c>
      <c r="G5261" s="767">
        <v>69814.75</v>
      </c>
      <c r="H5261" s="767">
        <v>201237.62</v>
      </c>
      <c r="I5261" s="768" t="s">
        <v>1724</v>
      </c>
    </row>
    <row r="5262" spans="1:9" x14ac:dyDescent="0.25">
      <c r="A5262" s="753"/>
      <c r="C5262" s="131" t="s">
        <v>104</v>
      </c>
      <c r="D5262" s="131">
        <v>16</v>
      </c>
      <c r="E5262" s="131" t="s">
        <v>104</v>
      </c>
      <c r="F5262" s="767">
        <v>-1584890.7</v>
      </c>
      <c r="G5262" s="767">
        <v>0</v>
      </c>
      <c r="H5262" s="767">
        <v>-1584890.7</v>
      </c>
      <c r="I5262" s="768" t="s">
        <v>1728</v>
      </c>
    </row>
    <row r="5263" spans="1:9" x14ac:dyDescent="0.25">
      <c r="A5263" s="753"/>
      <c r="C5263" s="131" t="s">
        <v>1106</v>
      </c>
      <c r="D5263" s="131">
        <v>16</v>
      </c>
      <c r="E5263" s="131" t="s">
        <v>1106</v>
      </c>
      <c r="F5263" s="767">
        <v>1486270.54</v>
      </c>
      <c r="G5263" s="767">
        <v>0</v>
      </c>
      <c r="H5263" s="767">
        <v>1486270.54</v>
      </c>
      <c r="I5263" s="768" t="s">
        <v>1729</v>
      </c>
    </row>
    <row r="5264" spans="1:9" x14ac:dyDescent="0.25">
      <c r="A5264" s="753"/>
      <c r="C5264" s="131" t="s">
        <v>282</v>
      </c>
      <c r="D5264" s="131">
        <v>16</v>
      </c>
      <c r="E5264" s="131" t="s">
        <v>282</v>
      </c>
      <c r="F5264" s="767">
        <v>-355284</v>
      </c>
      <c r="G5264" s="767">
        <v>0</v>
      </c>
      <c r="H5264" s="767">
        <v>-355284</v>
      </c>
      <c r="I5264" s="768" t="s">
        <v>1731</v>
      </c>
    </row>
    <row r="5265" spans="1:9" x14ac:dyDescent="0.25">
      <c r="A5265" s="753"/>
      <c r="C5265" s="131" t="s">
        <v>1107</v>
      </c>
      <c r="D5265" s="131">
        <v>16</v>
      </c>
      <c r="E5265" s="131" t="s">
        <v>1107</v>
      </c>
      <c r="F5265" s="767">
        <v>333495.65000000002</v>
      </c>
      <c r="G5265" s="767">
        <v>0</v>
      </c>
      <c r="H5265" s="767">
        <v>333495.65000000002</v>
      </c>
      <c r="I5265" s="768" t="s">
        <v>1732</v>
      </c>
    </row>
    <row r="5266" spans="1:9" x14ac:dyDescent="0.25">
      <c r="A5266" s="753"/>
      <c r="C5266" s="131" t="s">
        <v>340</v>
      </c>
      <c r="D5266" s="131">
        <v>16</v>
      </c>
      <c r="E5266" s="131" t="s">
        <v>340</v>
      </c>
      <c r="F5266" s="767">
        <v>-482797.12</v>
      </c>
      <c r="G5266" s="767">
        <v>-236789.98</v>
      </c>
      <c r="H5266" s="767">
        <v>-719587.1</v>
      </c>
      <c r="I5266" s="768" t="s">
        <v>1734</v>
      </c>
    </row>
    <row r="5267" spans="1:9" x14ac:dyDescent="0.25">
      <c r="A5267" s="753"/>
      <c r="C5267" s="131" t="s">
        <v>1108</v>
      </c>
      <c r="D5267" s="131">
        <v>16</v>
      </c>
      <c r="E5267" s="131" t="s">
        <v>1108</v>
      </c>
      <c r="F5267" s="767">
        <v>453323.44</v>
      </c>
      <c r="G5267" s="767">
        <v>217365.05</v>
      </c>
      <c r="H5267" s="767">
        <v>670688.49</v>
      </c>
      <c r="I5267" s="768" t="s">
        <v>1735</v>
      </c>
    </row>
    <row r="5268" spans="1:9" x14ac:dyDescent="0.25">
      <c r="A5268" s="753"/>
      <c r="C5268" s="131" t="s">
        <v>301</v>
      </c>
      <c r="D5268" s="131">
        <v>16</v>
      </c>
      <c r="E5268" s="131" t="s">
        <v>301</v>
      </c>
      <c r="F5268" s="767">
        <v>-109302.93</v>
      </c>
      <c r="G5268" s="767">
        <v>0</v>
      </c>
      <c r="H5268" s="767">
        <v>-109302.93</v>
      </c>
      <c r="I5268" s="768" t="s">
        <v>2272</v>
      </c>
    </row>
    <row r="5269" spans="1:9" x14ac:dyDescent="0.25">
      <c r="A5269" s="753"/>
      <c r="C5269" s="131" t="s">
        <v>2273</v>
      </c>
      <c r="D5269" s="131">
        <v>16</v>
      </c>
      <c r="E5269" s="131" t="s">
        <v>2273</v>
      </c>
      <c r="F5269" s="767">
        <v>109633.12</v>
      </c>
      <c r="G5269" s="767">
        <v>0</v>
      </c>
      <c r="H5269" s="767">
        <v>109633.12</v>
      </c>
      <c r="I5269" s="768" t="s">
        <v>2274</v>
      </c>
    </row>
    <row r="5270" spans="1:9" x14ac:dyDescent="0.25">
      <c r="A5270" s="753"/>
      <c r="C5270" s="131" t="s">
        <v>237</v>
      </c>
      <c r="D5270" s="131">
        <v>16</v>
      </c>
      <c r="E5270" s="131" t="s">
        <v>237</v>
      </c>
      <c r="F5270" s="767">
        <v>-222837.66</v>
      </c>
      <c r="G5270" s="767">
        <v>0</v>
      </c>
      <c r="H5270" s="767">
        <v>-222837.66</v>
      </c>
      <c r="I5270" s="768" t="s">
        <v>1737</v>
      </c>
    </row>
    <row r="5271" spans="1:9" x14ac:dyDescent="0.25">
      <c r="A5271" s="753"/>
      <c r="C5271" s="131" t="s">
        <v>1094</v>
      </c>
      <c r="D5271" s="131">
        <v>16</v>
      </c>
      <c r="E5271" s="131" t="s">
        <v>1094</v>
      </c>
      <c r="F5271" s="767">
        <v>208571.21</v>
      </c>
      <c r="G5271" s="767">
        <v>0</v>
      </c>
      <c r="H5271" s="767">
        <v>208571.21</v>
      </c>
      <c r="I5271" s="768" t="s">
        <v>1738</v>
      </c>
    </row>
    <row r="5272" spans="1:9" x14ac:dyDescent="0.25">
      <c r="A5272" s="753"/>
      <c r="C5272" s="131" t="s">
        <v>258</v>
      </c>
      <c r="D5272" s="131">
        <v>16</v>
      </c>
      <c r="E5272" s="131" t="s">
        <v>258</v>
      </c>
      <c r="F5272" s="767">
        <v>-180770</v>
      </c>
      <c r="G5272" s="767">
        <v>0</v>
      </c>
      <c r="H5272" s="767">
        <v>-180770</v>
      </c>
      <c r="I5272" s="768" t="s">
        <v>1741</v>
      </c>
    </row>
    <row r="5273" spans="1:9" x14ac:dyDescent="0.25">
      <c r="A5273" s="753"/>
      <c r="C5273" s="131" t="s">
        <v>1742</v>
      </c>
      <c r="D5273" s="131">
        <v>16</v>
      </c>
      <c r="E5273" s="131" t="s">
        <v>1742</v>
      </c>
      <c r="F5273" s="767">
        <v>168281.09</v>
      </c>
      <c r="G5273" s="767">
        <v>0</v>
      </c>
      <c r="H5273" s="767">
        <v>168281.09</v>
      </c>
      <c r="I5273" s="768" t="s">
        <v>1743</v>
      </c>
    </row>
    <row r="5274" spans="1:9" x14ac:dyDescent="0.25">
      <c r="A5274" s="753"/>
      <c r="C5274" s="131" t="s">
        <v>105</v>
      </c>
      <c r="D5274" s="131">
        <v>16</v>
      </c>
      <c r="E5274" s="131" t="s">
        <v>105</v>
      </c>
      <c r="F5274" s="767">
        <v>-751239.23</v>
      </c>
      <c r="G5274" s="767">
        <v>-106773.5</v>
      </c>
      <c r="H5274" s="767">
        <v>-858012.73</v>
      </c>
      <c r="I5274" s="768" t="s">
        <v>1745</v>
      </c>
    </row>
    <row r="5275" spans="1:9" x14ac:dyDescent="0.25">
      <c r="A5275" s="753"/>
      <c r="C5275" s="131" t="s">
        <v>1110</v>
      </c>
      <c r="D5275" s="131">
        <v>16</v>
      </c>
      <c r="E5275" s="131" t="s">
        <v>1110</v>
      </c>
      <c r="F5275" s="767">
        <v>714996.42</v>
      </c>
      <c r="G5275" s="767">
        <v>102975</v>
      </c>
      <c r="H5275" s="767">
        <v>817971.42</v>
      </c>
      <c r="I5275" s="768" t="s">
        <v>1746</v>
      </c>
    </row>
    <row r="5276" spans="1:9" x14ac:dyDescent="0.25">
      <c r="A5276" s="753"/>
      <c r="C5276" s="131" t="s">
        <v>401</v>
      </c>
      <c r="D5276" s="131">
        <v>16</v>
      </c>
      <c r="E5276" s="131" t="s">
        <v>401</v>
      </c>
      <c r="F5276" s="767">
        <v>-976653.2</v>
      </c>
      <c r="G5276" s="767">
        <v>0</v>
      </c>
      <c r="H5276" s="767">
        <v>-976653.2</v>
      </c>
      <c r="I5276" s="768" t="s">
        <v>1748</v>
      </c>
    </row>
    <row r="5277" spans="1:9" x14ac:dyDescent="0.25">
      <c r="A5277" s="753"/>
      <c r="C5277" s="131" t="s">
        <v>1112</v>
      </c>
      <c r="D5277" s="131">
        <v>16</v>
      </c>
      <c r="E5277" s="131" t="s">
        <v>1112</v>
      </c>
      <c r="F5277" s="767">
        <v>912448.95</v>
      </c>
      <c r="G5277" s="767">
        <v>0</v>
      </c>
      <c r="H5277" s="767">
        <v>912448.95</v>
      </c>
      <c r="I5277" s="768" t="s">
        <v>1749</v>
      </c>
    </row>
    <row r="5278" spans="1:9" x14ac:dyDescent="0.25">
      <c r="A5278" s="753"/>
      <c r="C5278" s="131">
        <v>447</v>
      </c>
      <c r="D5278" s="131">
        <v>16</v>
      </c>
      <c r="E5278" s="131">
        <v>447</v>
      </c>
      <c r="F5278" s="767">
        <v>-151506.5</v>
      </c>
      <c r="G5278" s="767">
        <v>0</v>
      </c>
      <c r="H5278" s="767">
        <v>-151506.5</v>
      </c>
      <c r="I5278" s="768" t="s">
        <v>1751</v>
      </c>
    </row>
    <row r="5279" spans="1:9" x14ac:dyDescent="0.25">
      <c r="A5279" s="753"/>
      <c r="C5279" s="131">
        <v>647</v>
      </c>
      <c r="D5279" s="131">
        <v>16</v>
      </c>
      <c r="E5279" s="131">
        <v>647</v>
      </c>
      <c r="F5279" s="767">
        <v>145006.09</v>
      </c>
      <c r="G5279" s="767">
        <v>0</v>
      </c>
      <c r="H5279" s="767">
        <v>145006.09</v>
      </c>
      <c r="I5279" s="768" t="s">
        <v>1752</v>
      </c>
    </row>
    <row r="5280" spans="1:9" x14ac:dyDescent="0.25">
      <c r="A5280" s="753"/>
      <c r="C5280" s="131" t="s">
        <v>106</v>
      </c>
      <c r="D5280" s="131">
        <v>16</v>
      </c>
      <c r="E5280" s="131" t="s">
        <v>106</v>
      </c>
      <c r="F5280" s="767">
        <v>-227426</v>
      </c>
      <c r="G5280" s="767">
        <v>0</v>
      </c>
      <c r="H5280" s="767">
        <v>-227426</v>
      </c>
      <c r="I5280" s="768" t="s">
        <v>1754</v>
      </c>
    </row>
    <row r="5281" spans="1:9" x14ac:dyDescent="0.25">
      <c r="A5281" s="753"/>
      <c r="C5281" s="131" t="s">
        <v>1143</v>
      </c>
      <c r="D5281" s="131">
        <v>16</v>
      </c>
      <c r="E5281" s="131" t="s">
        <v>1143</v>
      </c>
      <c r="F5281" s="767">
        <v>214312.85</v>
      </c>
      <c r="G5281" s="767">
        <v>0</v>
      </c>
      <c r="H5281" s="767">
        <v>214312.85</v>
      </c>
      <c r="I5281" s="768" t="s">
        <v>1755</v>
      </c>
    </row>
    <row r="5282" spans="1:9" x14ac:dyDescent="0.25">
      <c r="A5282" s="753"/>
      <c r="C5282" s="131" t="s">
        <v>405</v>
      </c>
      <c r="D5282" s="131">
        <v>16</v>
      </c>
      <c r="E5282" s="131" t="s">
        <v>405</v>
      </c>
      <c r="F5282" s="767">
        <v>-235967</v>
      </c>
      <c r="G5282" s="767">
        <v>0</v>
      </c>
      <c r="H5282" s="767">
        <v>-235967</v>
      </c>
      <c r="I5282" s="768" t="s">
        <v>1757</v>
      </c>
    </row>
    <row r="5283" spans="1:9" x14ac:dyDescent="0.25">
      <c r="A5283" s="753"/>
      <c r="C5283" s="131" t="s">
        <v>1116</v>
      </c>
      <c r="D5283" s="131">
        <v>16</v>
      </c>
      <c r="E5283" s="131" t="s">
        <v>1116</v>
      </c>
      <c r="F5283" s="767">
        <v>220347.51999999999</v>
      </c>
      <c r="G5283" s="767">
        <v>0</v>
      </c>
      <c r="H5283" s="767">
        <v>220347.51999999999</v>
      </c>
      <c r="I5283" s="768" t="s">
        <v>1758</v>
      </c>
    </row>
    <row r="5284" spans="1:9" x14ac:dyDescent="0.25">
      <c r="A5284" s="753"/>
      <c r="C5284" s="131">
        <v>480</v>
      </c>
      <c r="D5284" s="131">
        <v>16</v>
      </c>
      <c r="E5284" s="131">
        <v>480</v>
      </c>
      <c r="F5284" s="767">
        <v>-273292.68</v>
      </c>
      <c r="G5284" s="767">
        <v>0</v>
      </c>
      <c r="H5284" s="767">
        <v>-273292.68</v>
      </c>
      <c r="I5284" s="768" t="s">
        <v>1760</v>
      </c>
    </row>
    <row r="5285" spans="1:9" x14ac:dyDescent="0.25">
      <c r="A5285" s="753"/>
      <c r="C5285" s="131">
        <v>680</v>
      </c>
      <c r="D5285" s="131">
        <v>16</v>
      </c>
      <c r="E5285" s="131">
        <v>680</v>
      </c>
      <c r="F5285" s="767">
        <v>269709.11</v>
      </c>
      <c r="G5285" s="767">
        <v>0</v>
      </c>
      <c r="H5285" s="767">
        <v>269709.11</v>
      </c>
      <c r="I5285" s="768" t="s">
        <v>1761</v>
      </c>
    </row>
    <row r="5286" spans="1:9" x14ac:dyDescent="0.25">
      <c r="A5286" s="753"/>
      <c r="C5286" s="131" t="s">
        <v>406</v>
      </c>
      <c r="D5286" s="131">
        <v>16</v>
      </c>
      <c r="E5286" s="131" t="s">
        <v>406</v>
      </c>
      <c r="F5286" s="767">
        <v>-309378.09999999998</v>
      </c>
      <c r="G5286" s="767">
        <v>0</v>
      </c>
      <c r="H5286" s="767">
        <v>-309378.09999999998</v>
      </c>
      <c r="I5286" s="768" t="s">
        <v>1764</v>
      </c>
    </row>
    <row r="5287" spans="1:9" x14ac:dyDescent="0.25">
      <c r="A5287" s="753"/>
      <c r="C5287" s="131" t="s">
        <v>1119</v>
      </c>
      <c r="D5287" s="131">
        <v>16</v>
      </c>
      <c r="E5287" s="131" t="s">
        <v>1119</v>
      </c>
      <c r="F5287" s="767">
        <v>291459.78000000003</v>
      </c>
      <c r="G5287" s="767">
        <v>0</v>
      </c>
      <c r="H5287" s="767">
        <v>291459.78000000003</v>
      </c>
      <c r="I5287" s="768" t="s">
        <v>1765</v>
      </c>
    </row>
    <row r="5288" spans="1:9" x14ac:dyDescent="0.25">
      <c r="A5288" s="753"/>
      <c r="C5288" s="131">
        <v>481</v>
      </c>
      <c r="D5288" s="131">
        <v>16</v>
      </c>
      <c r="E5288" s="131">
        <v>481</v>
      </c>
      <c r="F5288" s="767">
        <v>-237027.97</v>
      </c>
      <c r="G5288" s="767">
        <v>0</v>
      </c>
      <c r="H5288" s="767">
        <v>-237027.97</v>
      </c>
      <c r="I5288" s="768" t="s">
        <v>408</v>
      </c>
    </row>
    <row r="5289" spans="1:9" x14ac:dyDescent="0.25">
      <c r="A5289" s="753"/>
      <c r="C5289" s="131">
        <v>681</v>
      </c>
      <c r="D5289" s="131">
        <v>16</v>
      </c>
      <c r="E5289" s="131">
        <v>681</v>
      </c>
      <c r="F5289" s="767">
        <v>233811.43</v>
      </c>
      <c r="G5289" s="767">
        <v>0</v>
      </c>
      <c r="H5289" s="767">
        <v>233811.43</v>
      </c>
      <c r="I5289" s="768" t="s">
        <v>408</v>
      </c>
    </row>
    <row r="5290" spans="1:9" x14ac:dyDescent="0.25">
      <c r="A5290" s="753"/>
      <c r="C5290" s="131" t="s">
        <v>410</v>
      </c>
      <c r="D5290" s="131">
        <v>16</v>
      </c>
      <c r="E5290" s="131" t="s">
        <v>410</v>
      </c>
      <c r="F5290" s="767">
        <v>-246468.25</v>
      </c>
      <c r="G5290" s="767">
        <v>0</v>
      </c>
      <c r="H5290" s="767">
        <v>-246468.25</v>
      </c>
      <c r="I5290" s="768" t="s">
        <v>1767</v>
      </c>
    </row>
    <row r="5291" spans="1:9" x14ac:dyDescent="0.25">
      <c r="A5291" s="753"/>
      <c r="C5291" s="131" t="s">
        <v>1120</v>
      </c>
      <c r="D5291" s="131">
        <v>16</v>
      </c>
      <c r="E5291" s="131" t="s">
        <v>1120</v>
      </c>
      <c r="F5291" s="767">
        <v>235559.82</v>
      </c>
      <c r="G5291" s="767">
        <v>0</v>
      </c>
      <c r="H5291" s="767">
        <v>235559.82</v>
      </c>
      <c r="I5291" s="768" t="s">
        <v>1767</v>
      </c>
    </row>
    <row r="5292" spans="1:9" x14ac:dyDescent="0.25">
      <c r="A5292" s="753"/>
      <c r="C5292" s="131" t="s">
        <v>376</v>
      </c>
      <c r="D5292" s="131">
        <v>16</v>
      </c>
      <c r="E5292" s="131" t="s">
        <v>376</v>
      </c>
      <c r="F5292" s="767">
        <v>-98510.95</v>
      </c>
      <c r="G5292" s="767">
        <v>0</v>
      </c>
      <c r="H5292" s="767">
        <v>-98510.95</v>
      </c>
      <c r="I5292" s="768" t="s">
        <v>2278</v>
      </c>
    </row>
    <row r="5293" spans="1:9" x14ac:dyDescent="0.25">
      <c r="A5293" s="753"/>
      <c r="C5293" s="131" t="s">
        <v>2279</v>
      </c>
      <c r="D5293" s="131">
        <v>16</v>
      </c>
      <c r="E5293" s="131" t="s">
        <v>2279</v>
      </c>
      <c r="F5293" s="767">
        <v>97615</v>
      </c>
      <c r="G5293" s="767">
        <v>0</v>
      </c>
      <c r="H5293" s="767">
        <v>97615</v>
      </c>
      <c r="I5293" s="768" t="s">
        <v>2280</v>
      </c>
    </row>
    <row r="5294" spans="1:9" x14ac:dyDescent="0.25">
      <c r="A5294" s="753"/>
      <c r="C5294" s="131" t="s">
        <v>378</v>
      </c>
      <c r="D5294" s="131">
        <v>16</v>
      </c>
      <c r="E5294" s="131" t="s">
        <v>378</v>
      </c>
      <c r="F5294" s="767">
        <v>-323316.75</v>
      </c>
      <c r="G5294" s="767">
        <v>0</v>
      </c>
      <c r="H5294" s="767">
        <v>-323316.75</v>
      </c>
      <c r="I5294" s="768" t="s">
        <v>1769</v>
      </c>
    </row>
    <row r="5295" spans="1:9" x14ac:dyDescent="0.25">
      <c r="A5295" s="753"/>
      <c r="C5295" s="131" t="s">
        <v>1121</v>
      </c>
      <c r="D5295" s="131">
        <v>16</v>
      </c>
      <c r="E5295" s="131" t="s">
        <v>1121</v>
      </c>
      <c r="F5295" s="767">
        <v>316233.65000000002</v>
      </c>
      <c r="G5295" s="767">
        <v>0</v>
      </c>
      <c r="H5295" s="767">
        <v>316233.65000000002</v>
      </c>
      <c r="I5295" s="768" t="s">
        <v>1770</v>
      </c>
    </row>
    <row r="5296" spans="1:9" x14ac:dyDescent="0.25">
      <c r="A5296" s="753"/>
      <c r="C5296" s="131" t="s">
        <v>233</v>
      </c>
      <c r="D5296" s="131">
        <v>16</v>
      </c>
      <c r="E5296" s="131" t="s">
        <v>233</v>
      </c>
      <c r="F5296" s="767">
        <v>-49508.31</v>
      </c>
      <c r="G5296" s="767">
        <v>0</v>
      </c>
      <c r="H5296" s="767">
        <v>-49508.31</v>
      </c>
      <c r="I5296" s="768" t="s">
        <v>1824</v>
      </c>
    </row>
    <row r="5297" spans="1:9" x14ac:dyDescent="0.25">
      <c r="A5297" s="753"/>
      <c r="C5297" s="131" t="s">
        <v>1135</v>
      </c>
      <c r="D5297" s="131">
        <v>16</v>
      </c>
      <c r="E5297" s="131" t="s">
        <v>1135</v>
      </c>
      <c r="F5297" s="767">
        <v>44968.42</v>
      </c>
      <c r="G5297" s="767">
        <v>0</v>
      </c>
      <c r="H5297" s="767">
        <v>44968.42</v>
      </c>
      <c r="I5297" s="768" t="s">
        <v>1825</v>
      </c>
    </row>
    <row r="5298" spans="1:9" x14ac:dyDescent="0.25">
      <c r="A5298" s="753"/>
      <c r="C5298" s="131" t="s">
        <v>234</v>
      </c>
      <c r="D5298" s="131">
        <v>16</v>
      </c>
      <c r="E5298" s="131" t="s">
        <v>234</v>
      </c>
      <c r="F5298" s="767">
        <v>-66243.350000000006</v>
      </c>
      <c r="G5298" s="767">
        <v>0</v>
      </c>
      <c r="H5298" s="767">
        <v>-66243.350000000006</v>
      </c>
      <c r="I5298" s="768" t="s">
        <v>1827</v>
      </c>
    </row>
    <row r="5299" spans="1:9" x14ac:dyDescent="0.25">
      <c r="A5299" s="753"/>
      <c r="C5299" s="131" t="s">
        <v>1138</v>
      </c>
      <c r="D5299" s="131">
        <v>16</v>
      </c>
      <c r="E5299" s="131" t="s">
        <v>1138</v>
      </c>
      <c r="F5299" s="767">
        <v>64976.959999999999</v>
      </c>
      <c r="G5299" s="767">
        <v>0</v>
      </c>
      <c r="H5299" s="767">
        <v>64976.959999999999</v>
      </c>
      <c r="I5299" s="768" t="s">
        <v>1828</v>
      </c>
    </row>
    <row r="5300" spans="1:9" x14ac:dyDescent="0.25">
      <c r="A5300" s="753"/>
      <c r="C5300" s="131" t="s">
        <v>385</v>
      </c>
      <c r="D5300" s="131">
        <v>16</v>
      </c>
      <c r="E5300" s="131" t="s">
        <v>385</v>
      </c>
      <c r="F5300" s="767">
        <v>-88209.5</v>
      </c>
      <c r="G5300" s="767">
        <v>0</v>
      </c>
      <c r="H5300" s="767">
        <v>-88209.5</v>
      </c>
      <c r="I5300" s="768" t="s">
        <v>2283</v>
      </c>
    </row>
    <row r="5301" spans="1:9" x14ac:dyDescent="0.25">
      <c r="A5301" s="753"/>
      <c r="C5301" s="131" t="s">
        <v>1136</v>
      </c>
      <c r="D5301" s="131">
        <v>16</v>
      </c>
      <c r="E5301" s="131" t="s">
        <v>1136</v>
      </c>
      <c r="F5301" s="767">
        <v>84914.34</v>
      </c>
      <c r="G5301" s="767">
        <v>0</v>
      </c>
      <c r="H5301" s="767">
        <v>84914.34</v>
      </c>
      <c r="I5301" s="768" t="s">
        <v>1829</v>
      </c>
    </row>
    <row r="5302" spans="1:9" x14ac:dyDescent="0.25">
      <c r="A5302" s="753"/>
      <c r="C5302" s="131" t="s">
        <v>100</v>
      </c>
      <c r="D5302" s="131">
        <v>16</v>
      </c>
      <c r="E5302" s="131" t="s">
        <v>100</v>
      </c>
      <c r="F5302" s="767">
        <v>-63527.8</v>
      </c>
      <c r="G5302" s="767">
        <v>0</v>
      </c>
      <c r="H5302" s="767">
        <v>-63527.8</v>
      </c>
      <c r="I5302" s="768" t="s">
        <v>1831</v>
      </c>
    </row>
    <row r="5303" spans="1:9" x14ac:dyDescent="0.25">
      <c r="A5303" s="753"/>
      <c r="C5303" s="131" t="s">
        <v>1142</v>
      </c>
      <c r="D5303" s="131">
        <v>16</v>
      </c>
      <c r="E5303" s="131" t="s">
        <v>1142</v>
      </c>
      <c r="F5303" s="767">
        <v>62923.61</v>
      </c>
      <c r="G5303" s="767">
        <v>0</v>
      </c>
      <c r="H5303" s="767">
        <v>62923.61</v>
      </c>
      <c r="I5303" s="768" t="s">
        <v>1832</v>
      </c>
    </row>
    <row r="5304" spans="1:9" x14ac:dyDescent="0.25">
      <c r="A5304" s="753"/>
      <c r="C5304" s="131" t="s">
        <v>255</v>
      </c>
      <c r="D5304" s="131">
        <v>16</v>
      </c>
      <c r="E5304" s="131" t="s">
        <v>255</v>
      </c>
      <c r="F5304" s="767">
        <v>-295643.12</v>
      </c>
      <c r="G5304" s="767">
        <v>0</v>
      </c>
      <c r="H5304" s="767">
        <v>-295643.12</v>
      </c>
      <c r="I5304" s="768" t="s">
        <v>1833</v>
      </c>
    </row>
    <row r="5305" spans="1:9" x14ac:dyDescent="0.25">
      <c r="A5305" s="753"/>
      <c r="C5305" s="131" t="s">
        <v>1145</v>
      </c>
      <c r="D5305" s="131">
        <v>16</v>
      </c>
      <c r="E5305" s="131" t="s">
        <v>1145</v>
      </c>
      <c r="F5305" s="767">
        <v>278307.76</v>
      </c>
      <c r="G5305" s="767">
        <v>0</v>
      </c>
      <c r="H5305" s="767">
        <v>278307.76</v>
      </c>
      <c r="I5305" s="768" t="s">
        <v>1833</v>
      </c>
    </row>
    <row r="5306" spans="1:9" x14ac:dyDescent="0.25">
      <c r="A5306" s="753"/>
      <c r="C5306" s="131" t="s">
        <v>101</v>
      </c>
      <c r="D5306" s="131">
        <v>16</v>
      </c>
      <c r="E5306" s="131" t="s">
        <v>101</v>
      </c>
      <c r="F5306" s="767">
        <v>-80066.53</v>
      </c>
      <c r="G5306" s="767">
        <v>0</v>
      </c>
      <c r="H5306" s="767">
        <v>-80066.53</v>
      </c>
      <c r="I5306" s="768" t="s">
        <v>1834</v>
      </c>
    </row>
    <row r="5307" spans="1:9" x14ac:dyDescent="0.25">
      <c r="A5307" s="753"/>
      <c r="C5307" s="131" t="s">
        <v>1147</v>
      </c>
      <c r="D5307" s="131">
        <v>16</v>
      </c>
      <c r="E5307" s="131" t="s">
        <v>1147</v>
      </c>
      <c r="F5307" s="767">
        <v>76375.27</v>
      </c>
      <c r="G5307" s="767">
        <v>0</v>
      </c>
      <c r="H5307" s="767">
        <v>76375.27</v>
      </c>
      <c r="I5307" s="768" t="s">
        <v>1834</v>
      </c>
    </row>
    <row r="5308" spans="1:9" x14ac:dyDescent="0.25">
      <c r="A5308" s="753"/>
      <c r="C5308" s="131" t="s">
        <v>235</v>
      </c>
      <c r="D5308" s="131">
        <v>16</v>
      </c>
      <c r="E5308" s="131" t="s">
        <v>235</v>
      </c>
      <c r="F5308" s="767">
        <v>0</v>
      </c>
      <c r="G5308" s="767">
        <v>-181349.96</v>
      </c>
      <c r="H5308" s="767">
        <v>-181349.96</v>
      </c>
      <c r="I5308" s="768" t="s">
        <v>2286</v>
      </c>
    </row>
    <row r="5309" spans="1:9" x14ac:dyDescent="0.25">
      <c r="A5309" s="753"/>
      <c r="C5309" s="131" t="s">
        <v>2287</v>
      </c>
      <c r="D5309" s="131">
        <v>16</v>
      </c>
      <c r="E5309" s="131" t="s">
        <v>2287</v>
      </c>
      <c r="F5309" s="767">
        <v>0</v>
      </c>
      <c r="G5309" s="767">
        <v>175112.67</v>
      </c>
      <c r="H5309" s="767">
        <v>175112.67</v>
      </c>
      <c r="I5309" s="768" t="s">
        <v>2288</v>
      </c>
    </row>
    <row r="5310" spans="1:9" x14ac:dyDescent="0.25">
      <c r="A5310" s="753"/>
      <c r="C5310" s="131" t="s">
        <v>364</v>
      </c>
      <c r="D5310" s="131">
        <v>16</v>
      </c>
      <c r="E5310" s="131" t="s">
        <v>364</v>
      </c>
      <c r="F5310" s="767">
        <v>-120423.5</v>
      </c>
      <c r="G5310" s="767">
        <v>-107635.36</v>
      </c>
      <c r="H5310" s="767">
        <v>-228058.86</v>
      </c>
      <c r="I5310" s="768" t="s">
        <v>2291</v>
      </c>
    </row>
    <row r="5311" spans="1:9" x14ac:dyDescent="0.25">
      <c r="A5311" s="753"/>
      <c r="C5311" s="131" t="s">
        <v>2292</v>
      </c>
      <c r="D5311" s="131">
        <v>16</v>
      </c>
      <c r="E5311" s="131" t="s">
        <v>2292</v>
      </c>
      <c r="F5311" s="767">
        <v>111575</v>
      </c>
      <c r="G5311" s="767">
        <v>100537.06</v>
      </c>
      <c r="H5311" s="767">
        <v>212112.06</v>
      </c>
      <c r="I5311" s="768" t="s">
        <v>2293</v>
      </c>
    </row>
    <row r="5312" spans="1:9" x14ac:dyDescent="0.25">
      <c r="A5312" s="753"/>
      <c r="C5312" s="131" t="s">
        <v>371</v>
      </c>
      <c r="D5312" s="131">
        <v>16</v>
      </c>
      <c r="E5312" s="131" t="s">
        <v>371</v>
      </c>
      <c r="F5312" s="767">
        <v>-106923.5</v>
      </c>
      <c r="G5312" s="767">
        <v>0</v>
      </c>
      <c r="H5312" s="767">
        <v>-106923.5</v>
      </c>
      <c r="I5312" s="768" t="s">
        <v>1836</v>
      </c>
    </row>
    <row r="5313" spans="1:9" x14ac:dyDescent="0.25">
      <c r="A5313" s="753"/>
      <c r="C5313" s="131" t="s">
        <v>1152</v>
      </c>
      <c r="D5313" s="131">
        <v>16</v>
      </c>
      <c r="E5313" s="131" t="s">
        <v>1152</v>
      </c>
      <c r="F5313" s="767">
        <v>102290.17</v>
      </c>
      <c r="G5313" s="767">
        <v>0</v>
      </c>
      <c r="H5313" s="767">
        <v>102290.17</v>
      </c>
      <c r="I5313" s="768" t="s">
        <v>1837</v>
      </c>
    </row>
    <row r="5314" spans="1:9" x14ac:dyDescent="0.25">
      <c r="A5314" s="753"/>
      <c r="C5314" s="131" t="s">
        <v>0</v>
      </c>
      <c r="D5314" s="131">
        <v>16</v>
      </c>
      <c r="E5314" s="131" t="s">
        <v>0</v>
      </c>
      <c r="F5314" s="767">
        <v>-90273.5</v>
      </c>
      <c r="G5314" s="767">
        <v>0</v>
      </c>
      <c r="H5314" s="767">
        <v>-90273.5</v>
      </c>
      <c r="I5314" s="768" t="s">
        <v>1839</v>
      </c>
    </row>
    <row r="5315" spans="1:9" x14ac:dyDescent="0.25">
      <c r="A5315" s="753"/>
      <c r="C5315" s="131" t="s">
        <v>1117</v>
      </c>
      <c r="D5315" s="131">
        <v>16</v>
      </c>
      <c r="E5315" s="131" t="s">
        <v>1117</v>
      </c>
      <c r="F5315" s="767">
        <v>82763.5</v>
      </c>
      <c r="G5315" s="767">
        <v>0</v>
      </c>
      <c r="H5315" s="767">
        <v>82763.5</v>
      </c>
      <c r="I5315" s="768" t="s">
        <v>1840</v>
      </c>
    </row>
    <row r="5316" spans="1:9" x14ac:dyDescent="0.25">
      <c r="A5316" s="753"/>
      <c r="C5316" s="131" t="s">
        <v>388</v>
      </c>
      <c r="D5316" s="131">
        <v>16</v>
      </c>
      <c r="E5316" s="131" t="s">
        <v>388</v>
      </c>
      <c r="F5316" s="767">
        <v>-488096.67</v>
      </c>
      <c r="G5316" s="767">
        <v>-138273.37</v>
      </c>
      <c r="H5316" s="767">
        <v>-626370.04</v>
      </c>
      <c r="I5316" s="768" t="s">
        <v>1842</v>
      </c>
    </row>
    <row r="5317" spans="1:9" x14ac:dyDescent="0.25">
      <c r="A5317" s="753"/>
      <c r="C5317" s="131" t="s">
        <v>1157</v>
      </c>
      <c r="D5317" s="131">
        <v>16</v>
      </c>
      <c r="E5317" s="131" t="s">
        <v>1157</v>
      </c>
      <c r="F5317" s="767">
        <v>453839.9</v>
      </c>
      <c r="G5317" s="767">
        <v>126082.57</v>
      </c>
      <c r="H5317" s="767">
        <v>579922.47</v>
      </c>
      <c r="I5317" s="768" t="s">
        <v>1843</v>
      </c>
    </row>
    <row r="5318" spans="1:9" x14ac:dyDescent="0.25">
      <c r="A5318" s="753"/>
      <c r="C5318" s="131" t="s">
        <v>372</v>
      </c>
      <c r="D5318" s="131">
        <v>16</v>
      </c>
      <c r="E5318" s="131" t="s">
        <v>372</v>
      </c>
      <c r="F5318" s="767">
        <v>-1072320</v>
      </c>
      <c r="G5318" s="767">
        <v>-324698.42</v>
      </c>
      <c r="H5318" s="767">
        <v>-1397018.42</v>
      </c>
      <c r="I5318" s="768" t="s">
        <v>1845</v>
      </c>
    </row>
    <row r="5319" spans="1:9" x14ac:dyDescent="0.25">
      <c r="A5319" s="753"/>
      <c r="C5319" s="131" t="s">
        <v>1159</v>
      </c>
      <c r="D5319" s="131">
        <v>16</v>
      </c>
      <c r="E5319" s="131" t="s">
        <v>1159</v>
      </c>
      <c r="F5319" s="767">
        <v>1004366.9</v>
      </c>
      <c r="G5319" s="767">
        <v>299603.12</v>
      </c>
      <c r="H5319" s="767">
        <v>1303970.02</v>
      </c>
      <c r="I5319" s="768" t="s">
        <v>1846</v>
      </c>
    </row>
    <row r="5320" spans="1:9" x14ac:dyDescent="0.25">
      <c r="A5320" s="753"/>
      <c r="C5320" s="131" t="s">
        <v>389</v>
      </c>
      <c r="D5320" s="131">
        <v>16</v>
      </c>
      <c r="E5320" s="131" t="s">
        <v>389</v>
      </c>
      <c r="F5320" s="767">
        <v>-160941.5</v>
      </c>
      <c r="G5320" s="767">
        <v>0</v>
      </c>
      <c r="H5320" s="767">
        <v>-160941.5</v>
      </c>
      <c r="I5320" s="768" t="s">
        <v>2296</v>
      </c>
    </row>
    <row r="5321" spans="1:9" x14ac:dyDescent="0.25">
      <c r="A5321" s="753"/>
      <c r="C5321" s="131" t="s">
        <v>2297</v>
      </c>
      <c r="D5321" s="131">
        <v>16</v>
      </c>
      <c r="E5321" s="131" t="s">
        <v>2297</v>
      </c>
      <c r="F5321" s="767">
        <v>156088.57999999999</v>
      </c>
      <c r="G5321" s="767">
        <v>0</v>
      </c>
      <c r="H5321" s="767">
        <v>156088.57999999999</v>
      </c>
      <c r="I5321" s="768" t="s">
        <v>2298</v>
      </c>
    </row>
    <row r="5322" spans="1:9" x14ac:dyDescent="0.25">
      <c r="A5322" s="753"/>
      <c r="C5322" s="131" t="s">
        <v>373</v>
      </c>
      <c r="D5322" s="131">
        <v>16</v>
      </c>
      <c r="E5322" s="131" t="s">
        <v>373</v>
      </c>
      <c r="F5322" s="767">
        <v>-345515.77</v>
      </c>
      <c r="G5322" s="767">
        <v>0</v>
      </c>
      <c r="H5322" s="767">
        <v>-345515.77</v>
      </c>
      <c r="I5322" s="768" t="s">
        <v>2301</v>
      </c>
    </row>
    <row r="5323" spans="1:9" x14ac:dyDescent="0.25">
      <c r="A5323" s="753"/>
      <c r="C5323" s="131" t="s">
        <v>2302</v>
      </c>
      <c r="D5323" s="131">
        <v>16</v>
      </c>
      <c r="E5323" s="131" t="s">
        <v>2302</v>
      </c>
      <c r="F5323" s="767">
        <v>339379.44</v>
      </c>
      <c r="G5323" s="767">
        <v>0</v>
      </c>
      <c r="H5323" s="767">
        <v>339379.44</v>
      </c>
      <c r="I5323" s="768" t="s">
        <v>2303</v>
      </c>
    </row>
    <row r="5324" spans="1:9" x14ac:dyDescent="0.25">
      <c r="A5324" s="753"/>
      <c r="C5324" s="131" t="s">
        <v>365</v>
      </c>
      <c r="D5324" s="131">
        <v>16</v>
      </c>
      <c r="E5324" s="131" t="s">
        <v>365</v>
      </c>
      <c r="F5324" s="767">
        <v>-242245.5</v>
      </c>
      <c r="G5324" s="767">
        <v>0</v>
      </c>
      <c r="H5324" s="767">
        <v>-242245.5</v>
      </c>
      <c r="I5324" s="768" t="s">
        <v>1850</v>
      </c>
    </row>
    <row r="5325" spans="1:9" x14ac:dyDescent="0.25">
      <c r="A5325" s="753"/>
      <c r="C5325" s="131" t="s">
        <v>365</v>
      </c>
      <c r="D5325" s="131">
        <v>16</v>
      </c>
      <c r="E5325" s="131" t="s">
        <v>1139</v>
      </c>
      <c r="F5325" s="767">
        <v>-72260.61</v>
      </c>
      <c r="G5325" s="767">
        <v>0</v>
      </c>
      <c r="H5325" s="767">
        <v>-72260.61</v>
      </c>
      <c r="I5325" s="768" t="s">
        <v>1851</v>
      </c>
    </row>
    <row r="5326" spans="1:9" x14ac:dyDescent="0.25">
      <c r="A5326" s="753"/>
      <c r="C5326" s="131" t="s">
        <v>1161</v>
      </c>
      <c r="D5326" s="131">
        <v>16</v>
      </c>
      <c r="E5326" s="131" t="s">
        <v>1161</v>
      </c>
      <c r="F5326" s="767">
        <v>225357.57</v>
      </c>
      <c r="G5326" s="767">
        <v>0</v>
      </c>
      <c r="H5326" s="767">
        <v>225357.57</v>
      </c>
      <c r="I5326" s="768" t="s">
        <v>1852</v>
      </c>
    </row>
    <row r="5327" spans="1:9" x14ac:dyDescent="0.25">
      <c r="A5327" s="753"/>
      <c r="C5327" s="131" t="s">
        <v>1161</v>
      </c>
      <c r="D5327" s="131">
        <v>16</v>
      </c>
      <c r="E5327" s="131" t="s">
        <v>1140</v>
      </c>
      <c r="F5327" s="767">
        <v>65199.61</v>
      </c>
      <c r="G5327" s="767">
        <v>0</v>
      </c>
      <c r="H5327" s="767">
        <v>65199.61</v>
      </c>
      <c r="I5327" s="768" t="s">
        <v>1853</v>
      </c>
    </row>
    <row r="5328" spans="1:9" x14ac:dyDescent="0.25">
      <c r="A5328" s="753"/>
      <c r="C5328" s="131" t="s">
        <v>416</v>
      </c>
      <c r="D5328" s="131">
        <v>16</v>
      </c>
      <c r="E5328" s="131" t="s">
        <v>416</v>
      </c>
      <c r="F5328" s="767">
        <v>-97623.5</v>
      </c>
      <c r="G5328" s="767">
        <v>0</v>
      </c>
      <c r="H5328" s="767">
        <v>-97623.5</v>
      </c>
      <c r="I5328" s="768" t="s">
        <v>1854</v>
      </c>
    </row>
    <row r="5329" spans="1:9" x14ac:dyDescent="0.25">
      <c r="A5329" s="753"/>
      <c r="C5329" s="131" t="s">
        <v>1163</v>
      </c>
      <c r="D5329" s="131">
        <v>16</v>
      </c>
      <c r="E5329" s="131" t="s">
        <v>1163</v>
      </c>
      <c r="F5329" s="767">
        <v>90757.33</v>
      </c>
      <c r="G5329" s="767">
        <v>0</v>
      </c>
      <c r="H5329" s="767">
        <v>90757.33</v>
      </c>
      <c r="I5329" s="768" t="s">
        <v>1854</v>
      </c>
    </row>
    <row r="5330" spans="1:9" x14ac:dyDescent="0.25">
      <c r="A5330" s="753"/>
      <c r="C5330" s="131" t="s">
        <v>256</v>
      </c>
      <c r="D5330" s="131">
        <v>16</v>
      </c>
      <c r="E5330" s="131" t="s">
        <v>256</v>
      </c>
      <c r="F5330" s="767">
        <v>-121994.74</v>
      </c>
      <c r="G5330" s="767">
        <v>0</v>
      </c>
      <c r="H5330" s="767">
        <v>-121994.74</v>
      </c>
      <c r="I5330" s="768" t="s">
        <v>1856</v>
      </c>
    </row>
    <row r="5331" spans="1:9" x14ac:dyDescent="0.25">
      <c r="A5331" s="753"/>
      <c r="C5331" s="131" t="s">
        <v>1165</v>
      </c>
      <c r="D5331" s="131">
        <v>16</v>
      </c>
      <c r="E5331" s="131" t="s">
        <v>1165</v>
      </c>
      <c r="F5331" s="767">
        <v>116172.84</v>
      </c>
      <c r="G5331" s="767">
        <v>0</v>
      </c>
      <c r="H5331" s="767">
        <v>116172.84</v>
      </c>
      <c r="I5331" s="768" t="s">
        <v>1857</v>
      </c>
    </row>
    <row r="5332" spans="1:9" x14ac:dyDescent="0.25">
      <c r="A5332" s="753"/>
      <c r="C5332" s="131" t="s">
        <v>366</v>
      </c>
      <c r="D5332" s="131">
        <v>16</v>
      </c>
      <c r="E5332" s="131" t="s">
        <v>366</v>
      </c>
      <c r="F5332" s="767">
        <v>-133336.91</v>
      </c>
      <c r="G5332" s="767">
        <v>0</v>
      </c>
      <c r="H5332" s="767">
        <v>-133336.91</v>
      </c>
      <c r="I5332" s="768" t="s">
        <v>1859</v>
      </c>
    </row>
    <row r="5333" spans="1:9" x14ac:dyDescent="0.25">
      <c r="A5333" s="753"/>
      <c r="C5333" s="131" t="s">
        <v>1155</v>
      </c>
      <c r="D5333" s="131">
        <v>16</v>
      </c>
      <c r="E5333" s="131" t="s">
        <v>1155</v>
      </c>
      <c r="F5333" s="767">
        <v>124643.41</v>
      </c>
      <c r="G5333" s="767">
        <v>0</v>
      </c>
      <c r="H5333" s="767">
        <v>124643.41</v>
      </c>
      <c r="I5333" s="768" t="s">
        <v>1860</v>
      </c>
    </row>
    <row r="5334" spans="1:9" x14ac:dyDescent="0.25">
      <c r="A5334" s="753"/>
      <c r="C5334" s="131" t="s">
        <v>391</v>
      </c>
      <c r="D5334" s="131">
        <v>16</v>
      </c>
      <c r="E5334" s="131" t="s">
        <v>391</v>
      </c>
      <c r="F5334" s="767">
        <v>-227978.65</v>
      </c>
      <c r="G5334" s="767">
        <v>0</v>
      </c>
      <c r="H5334" s="767">
        <v>-227978.65</v>
      </c>
      <c r="I5334" s="768" t="s">
        <v>1862</v>
      </c>
    </row>
    <row r="5335" spans="1:9" x14ac:dyDescent="0.25">
      <c r="A5335" s="753"/>
      <c r="C5335" s="131" t="s">
        <v>1168</v>
      </c>
      <c r="D5335" s="131">
        <v>16</v>
      </c>
      <c r="E5335" s="131" t="s">
        <v>1168</v>
      </c>
      <c r="F5335" s="767">
        <v>216450.03</v>
      </c>
      <c r="G5335" s="767">
        <v>0</v>
      </c>
      <c r="H5335" s="767">
        <v>216450.03</v>
      </c>
      <c r="I5335" s="768" t="s">
        <v>1863</v>
      </c>
    </row>
    <row r="5336" spans="1:9" x14ac:dyDescent="0.25">
      <c r="A5336" s="753"/>
      <c r="C5336" s="131">
        <v>415</v>
      </c>
      <c r="D5336" s="131">
        <v>16</v>
      </c>
      <c r="E5336" s="131">
        <v>415</v>
      </c>
      <c r="F5336" s="767">
        <v>0</v>
      </c>
      <c r="G5336" s="767">
        <v>-140922.95000000001</v>
      </c>
      <c r="H5336" s="767">
        <v>-140922.95000000001</v>
      </c>
      <c r="I5336" s="768" t="s">
        <v>2306</v>
      </c>
    </row>
    <row r="5337" spans="1:9" x14ac:dyDescent="0.25">
      <c r="A5337" s="753"/>
      <c r="C5337" s="131">
        <v>615</v>
      </c>
      <c r="D5337" s="131">
        <v>16</v>
      </c>
      <c r="E5337" s="131">
        <v>615</v>
      </c>
      <c r="F5337" s="767">
        <v>0</v>
      </c>
      <c r="G5337" s="767">
        <v>135011.85</v>
      </c>
      <c r="H5337" s="767">
        <v>135011.85</v>
      </c>
      <c r="I5337" s="768" t="s">
        <v>2307</v>
      </c>
    </row>
    <row r="5338" spans="1:9" x14ac:dyDescent="0.25">
      <c r="A5338" s="753"/>
      <c r="C5338" s="131" t="s">
        <v>394</v>
      </c>
      <c r="D5338" s="131">
        <v>16</v>
      </c>
      <c r="E5338" s="131" t="s">
        <v>394</v>
      </c>
      <c r="F5338" s="767">
        <v>-118545.13</v>
      </c>
      <c r="G5338" s="767">
        <v>0</v>
      </c>
      <c r="H5338" s="767">
        <v>-118545.13</v>
      </c>
      <c r="I5338" s="768" t="s">
        <v>1865</v>
      </c>
    </row>
    <row r="5339" spans="1:9" x14ac:dyDescent="0.25">
      <c r="A5339" s="753"/>
      <c r="C5339" s="131" t="s">
        <v>1122</v>
      </c>
      <c r="D5339" s="131">
        <v>16</v>
      </c>
      <c r="E5339" s="131" t="s">
        <v>1122</v>
      </c>
      <c r="F5339" s="767">
        <v>118545.13</v>
      </c>
      <c r="G5339" s="767">
        <v>0</v>
      </c>
      <c r="H5339" s="767">
        <v>118545.13</v>
      </c>
      <c r="I5339" s="768" t="s">
        <v>1866</v>
      </c>
    </row>
    <row r="5340" spans="1:9" x14ac:dyDescent="0.25">
      <c r="A5340" s="753"/>
      <c r="C5340" s="131" t="s">
        <v>292</v>
      </c>
      <c r="D5340" s="131">
        <v>16</v>
      </c>
      <c r="E5340" s="131" t="s">
        <v>1080</v>
      </c>
      <c r="F5340" s="767">
        <v>-128273.5</v>
      </c>
      <c r="G5340" s="767">
        <v>0</v>
      </c>
      <c r="H5340" s="767">
        <v>-128273.5</v>
      </c>
      <c r="I5340" s="768" t="s">
        <v>1868</v>
      </c>
    </row>
    <row r="5341" spans="1:9" x14ac:dyDescent="0.25">
      <c r="A5341" s="753"/>
      <c r="C5341" s="131" t="s">
        <v>1174</v>
      </c>
      <c r="D5341" s="131">
        <v>16</v>
      </c>
      <c r="E5341" s="131" t="s">
        <v>1081</v>
      </c>
      <c r="F5341" s="767">
        <v>115038.03</v>
      </c>
      <c r="G5341" s="767">
        <v>0</v>
      </c>
      <c r="H5341" s="767">
        <v>115038.03</v>
      </c>
      <c r="I5341" s="768" t="s">
        <v>1869</v>
      </c>
    </row>
    <row r="5342" spans="1:9" x14ac:dyDescent="0.25">
      <c r="A5342" s="753"/>
      <c r="C5342" s="131" t="s">
        <v>297</v>
      </c>
      <c r="D5342" s="131">
        <v>16</v>
      </c>
      <c r="E5342" s="131" t="s">
        <v>297</v>
      </c>
      <c r="F5342" s="767">
        <v>-156342</v>
      </c>
      <c r="G5342" s="767">
        <v>0</v>
      </c>
      <c r="H5342" s="767">
        <v>-156342</v>
      </c>
      <c r="I5342" s="768" t="s">
        <v>1871</v>
      </c>
    </row>
    <row r="5343" spans="1:9" x14ac:dyDescent="0.25">
      <c r="A5343" s="753"/>
      <c r="C5343" s="131" t="s">
        <v>1083</v>
      </c>
      <c r="D5343" s="131">
        <v>16</v>
      </c>
      <c r="E5343" s="131" t="s">
        <v>1083</v>
      </c>
      <c r="F5343" s="767">
        <v>147709.57999999999</v>
      </c>
      <c r="G5343" s="767">
        <v>0</v>
      </c>
      <c r="H5343" s="767">
        <v>147709.57999999999</v>
      </c>
      <c r="I5343" s="768" t="s">
        <v>1872</v>
      </c>
    </row>
    <row r="5344" spans="1:9" x14ac:dyDescent="0.25">
      <c r="A5344" s="753"/>
      <c r="C5344" s="131" t="s">
        <v>299</v>
      </c>
      <c r="D5344" s="131">
        <v>16</v>
      </c>
      <c r="E5344" s="131" t="s">
        <v>299</v>
      </c>
      <c r="F5344" s="767">
        <v>-363200</v>
      </c>
      <c r="G5344" s="767">
        <v>0</v>
      </c>
      <c r="H5344" s="767">
        <v>-363200</v>
      </c>
      <c r="I5344" s="768" t="s">
        <v>1874</v>
      </c>
    </row>
    <row r="5345" spans="1:9" x14ac:dyDescent="0.25">
      <c r="A5345" s="753"/>
      <c r="C5345" s="131" t="s">
        <v>1180</v>
      </c>
      <c r="D5345" s="131">
        <v>16</v>
      </c>
      <c r="E5345" s="131" t="s">
        <v>1180</v>
      </c>
      <c r="F5345" s="767">
        <v>343503.43</v>
      </c>
      <c r="G5345" s="767">
        <v>0</v>
      </c>
      <c r="H5345" s="767">
        <v>343503.43</v>
      </c>
      <c r="I5345" s="768" t="s">
        <v>1875</v>
      </c>
    </row>
    <row r="5346" spans="1:9" x14ac:dyDescent="0.25">
      <c r="A5346" s="753"/>
      <c r="C5346" s="131">
        <v>409</v>
      </c>
      <c r="D5346" s="131">
        <v>16</v>
      </c>
      <c r="E5346" s="131">
        <v>409</v>
      </c>
      <c r="F5346" s="767">
        <v>-363098.13</v>
      </c>
      <c r="G5346" s="767">
        <v>-188223.59</v>
      </c>
      <c r="H5346" s="767">
        <v>-551321.72</v>
      </c>
      <c r="I5346" s="768" t="s">
        <v>1725</v>
      </c>
    </row>
    <row r="5347" spans="1:9" x14ac:dyDescent="0.25">
      <c r="A5347" s="753"/>
      <c r="C5347" s="131">
        <v>609</v>
      </c>
      <c r="D5347" s="131">
        <v>16</v>
      </c>
      <c r="E5347" s="131">
        <v>609</v>
      </c>
      <c r="F5347" s="767">
        <v>341003.75</v>
      </c>
      <c r="G5347" s="767">
        <v>179636.18</v>
      </c>
      <c r="H5347" s="767">
        <v>520639.93</v>
      </c>
      <c r="I5347" s="768" t="s">
        <v>1725</v>
      </c>
    </row>
    <row r="5348" spans="1:9" x14ac:dyDescent="0.25">
      <c r="A5348" s="753"/>
      <c r="C5348" s="131" t="s">
        <v>1102</v>
      </c>
      <c r="D5348" s="131">
        <v>16</v>
      </c>
      <c r="E5348" s="131" t="s">
        <v>1102</v>
      </c>
      <c r="F5348" s="767">
        <v>-90100.5</v>
      </c>
      <c r="G5348" s="767">
        <v>-79723.5</v>
      </c>
      <c r="H5348" s="767">
        <v>-169824</v>
      </c>
      <c r="I5348" s="768" t="s">
        <v>1726</v>
      </c>
    </row>
    <row r="5349" spans="1:9" x14ac:dyDescent="0.25">
      <c r="A5349" s="753"/>
      <c r="C5349" s="131" t="s">
        <v>1103</v>
      </c>
      <c r="D5349" s="131">
        <v>16</v>
      </c>
      <c r="E5349" s="131" t="s">
        <v>1103</v>
      </c>
      <c r="F5349" s="767">
        <v>84965.15</v>
      </c>
      <c r="G5349" s="767">
        <v>74349.23</v>
      </c>
      <c r="H5349" s="767">
        <v>159314.38</v>
      </c>
      <c r="I5349" s="768" t="s">
        <v>1726</v>
      </c>
    </row>
    <row r="5350" spans="1:9" x14ac:dyDescent="0.25">
      <c r="A5350" s="753">
        <v>603828</v>
      </c>
      <c r="B5350" s="130">
        <v>4761</v>
      </c>
      <c r="E5350" s="131"/>
    </row>
    <row r="5351" spans="1:9" x14ac:dyDescent="0.25">
      <c r="A5351" s="753">
        <v>604114</v>
      </c>
      <c r="E5351" s="131"/>
    </row>
    <row r="5352" spans="1:9" x14ac:dyDescent="0.25">
      <c r="A5352" s="753">
        <v>604118</v>
      </c>
      <c r="E5352" s="131"/>
    </row>
    <row r="5353" spans="1:9" x14ac:dyDescent="0.25">
      <c r="A5353" s="753">
        <v>604124</v>
      </c>
      <c r="E5353" s="131"/>
    </row>
    <row r="5354" spans="1:9" x14ac:dyDescent="0.25">
      <c r="A5354" s="753">
        <v>604128</v>
      </c>
      <c r="E5354" s="131"/>
    </row>
    <row r="5355" spans="1:9" x14ac:dyDescent="0.25">
      <c r="A5355" s="753">
        <v>604214</v>
      </c>
      <c r="E5355" s="131"/>
    </row>
    <row r="5356" spans="1:9" x14ac:dyDescent="0.25">
      <c r="A5356" s="753">
        <v>604218</v>
      </c>
      <c r="E5356" s="131"/>
    </row>
    <row r="5357" spans="1:9" x14ac:dyDescent="0.25">
      <c r="A5357" s="753">
        <v>604224</v>
      </c>
      <c r="E5357" s="131"/>
    </row>
    <row r="5358" spans="1:9" x14ac:dyDescent="0.25">
      <c r="A5358" s="753">
        <v>604228</v>
      </c>
      <c r="E5358" s="131"/>
    </row>
    <row r="5359" spans="1:9" x14ac:dyDescent="0.25">
      <c r="A5359" s="753">
        <v>604312</v>
      </c>
      <c r="B5359" s="130">
        <v>24</v>
      </c>
      <c r="E5359" s="131"/>
    </row>
    <row r="5360" spans="1:9" x14ac:dyDescent="0.25">
      <c r="A5360" s="753">
        <v>604314</v>
      </c>
      <c r="B5360" s="130">
        <v>1888680</v>
      </c>
      <c r="E5360" s="131"/>
    </row>
    <row r="5361" spans="1:9" x14ac:dyDescent="0.25">
      <c r="A5361" s="753">
        <v>604316</v>
      </c>
      <c r="B5361" s="130">
        <v>148487</v>
      </c>
      <c r="C5361" s="131" t="s">
        <v>233</v>
      </c>
      <c r="D5361" s="131">
        <v>16</v>
      </c>
      <c r="E5361" s="131" t="s">
        <v>233</v>
      </c>
      <c r="F5361" s="767">
        <v>-49508.31</v>
      </c>
      <c r="G5361" s="767">
        <v>0</v>
      </c>
      <c r="H5361" s="767">
        <v>-49508.31</v>
      </c>
      <c r="I5361" s="768" t="s">
        <v>1824</v>
      </c>
    </row>
    <row r="5362" spans="1:9" x14ac:dyDescent="0.25">
      <c r="A5362" s="753"/>
      <c r="C5362" s="131" t="s">
        <v>1135</v>
      </c>
      <c r="D5362" s="131">
        <v>16</v>
      </c>
      <c r="E5362" s="131" t="s">
        <v>1135</v>
      </c>
      <c r="F5362" s="767">
        <v>44968.42</v>
      </c>
      <c r="G5362" s="767">
        <v>0</v>
      </c>
      <c r="H5362" s="767">
        <v>44968.42</v>
      </c>
      <c r="I5362" s="768" t="s">
        <v>1825</v>
      </c>
    </row>
    <row r="5363" spans="1:9" x14ac:dyDescent="0.25">
      <c r="A5363" s="753"/>
      <c r="C5363" s="131" t="s">
        <v>234</v>
      </c>
      <c r="D5363" s="131">
        <v>16</v>
      </c>
      <c r="E5363" s="131" t="s">
        <v>234</v>
      </c>
      <c r="F5363" s="767">
        <v>-66243.350000000006</v>
      </c>
      <c r="G5363" s="767">
        <v>0</v>
      </c>
      <c r="H5363" s="767">
        <v>-66243.350000000006</v>
      </c>
      <c r="I5363" s="768" t="s">
        <v>1827</v>
      </c>
    </row>
    <row r="5364" spans="1:9" x14ac:dyDescent="0.25">
      <c r="A5364" s="753"/>
      <c r="C5364" s="131" t="s">
        <v>1138</v>
      </c>
      <c r="D5364" s="131">
        <v>16</v>
      </c>
      <c r="E5364" s="131" t="s">
        <v>1138</v>
      </c>
      <c r="F5364" s="767">
        <v>64976.959999999999</v>
      </c>
      <c r="G5364" s="767">
        <v>0</v>
      </c>
      <c r="H5364" s="767">
        <v>64976.959999999999</v>
      </c>
      <c r="I5364" s="768" t="s">
        <v>1828</v>
      </c>
    </row>
    <row r="5365" spans="1:9" x14ac:dyDescent="0.25">
      <c r="A5365" s="753"/>
      <c r="C5365" s="131" t="s">
        <v>385</v>
      </c>
      <c r="D5365" s="131">
        <v>16</v>
      </c>
      <c r="E5365" s="131" t="s">
        <v>385</v>
      </c>
      <c r="F5365" s="767">
        <v>-88209.5</v>
      </c>
      <c r="G5365" s="767">
        <v>0</v>
      </c>
      <c r="H5365" s="767">
        <v>-88209.5</v>
      </c>
      <c r="I5365" s="768" t="s">
        <v>2283</v>
      </c>
    </row>
    <row r="5366" spans="1:9" x14ac:dyDescent="0.25">
      <c r="A5366" s="753"/>
      <c r="C5366" s="131" t="s">
        <v>1136</v>
      </c>
      <c r="D5366" s="131">
        <v>16</v>
      </c>
      <c r="E5366" s="131" t="s">
        <v>1136</v>
      </c>
      <c r="F5366" s="767">
        <v>84914.34</v>
      </c>
      <c r="G5366" s="767">
        <v>0</v>
      </c>
      <c r="H5366" s="767">
        <v>84914.34</v>
      </c>
      <c r="I5366" s="768" t="s">
        <v>1829</v>
      </c>
    </row>
    <row r="5367" spans="1:9" x14ac:dyDescent="0.25">
      <c r="A5367" s="753"/>
      <c r="C5367" s="131" t="s">
        <v>100</v>
      </c>
      <c r="D5367" s="131">
        <v>16</v>
      </c>
      <c r="E5367" s="131" t="s">
        <v>100</v>
      </c>
      <c r="F5367" s="767">
        <v>-63527.8</v>
      </c>
      <c r="G5367" s="767">
        <v>0</v>
      </c>
      <c r="H5367" s="767">
        <v>-63527.8</v>
      </c>
      <c r="I5367" s="768" t="s">
        <v>1831</v>
      </c>
    </row>
    <row r="5368" spans="1:9" x14ac:dyDescent="0.25">
      <c r="A5368" s="753"/>
      <c r="C5368" s="131" t="s">
        <v>1142</v>
      </c>
      <c r="D5368" s="131">
        <v>16</v>
      </c>
      <c r="E5368" s="131" t="s">
        <v>1142</v>
      </c>
      <c r="F5368" s="767">
        <v>62923.61</v>
      </c>
      <c r="G5368" s="767">
        <v>0</v>
      </c>
      <c r="H5368" s="767">
        <v>62923.61</v>
      </c>
      <c r="I5368" s="768" t="s">
        <v>1832</v>
      </c>
    </row>
    <row r="5369" spans="1:9" x14ac:dyDescent="0.25">
      <c r="A5369" s="753"/>
      <c r="C5369" s="131" t="s">
        <v>255</v>
      </c>
      <c r="D5369" s="131">
        <v>16</v>
      </c>
      <c r="E5369" s="131" t="s">
        <v>255</v>
      </c>
      <c r="F5369" s="767">
        <v>-295643.12</v>
      </c>
      <c r="G5369" s="767">
        <v>0</v>
      </c>
      <c r="H5369" s="767">
        <v>-295643.12</v>
      </c>
      <c r="I5369" s="768" t="s">
        <v>1833</v>
      </c>
    </row>
    <row r="5370" spans="1:9" x14ac:dyDescent="0.25">
      <c r="A5370" s="753"/>
      <c r="C5370" s="131" t="s">
        <v>1145</v>
      </c>
      <c r="D5370" s="131">
        <v>16</v>
      </c>
      <c r="E5370" s="131" t="s">
        <v>1145</v>
      </c>
      <c r="F5370" s="767">
        <v>278307.76</v>
      </c>
      <c r="G5370" s="767">
        <v>0</v>
      </c>
      <c r="H5370" s="767">
        <v>278307.76</v>
      </c>
      <c r="I5370" s="768" t="s">
        <v>1833</v>
      </c>
    </row>
    <row r="5371" spans="1:9" x14ac:dyDescent="0.25">
      <c r="A5371" s="753"/>
      <c r="C5371" s="131" t="s">
        <v>101</v>
      </c>
      <c r="D5371" s="131">
        <v>16</v>
      </c>
      <c r="E5371" s="131" t="s">
        <v>101</v>
      </c>
      <c r="F5371" s="767">
        <v>-80066.53</v>
      </c>
      <c r="G5371" s="767">
        <v>0</v>
      </c>
      <c r="H5371" s="767">
        <v>-80066.53</v>
      </c>
      <c r="I5371" s="768" t="s">
        <v>1834</v>
      </c>
    </row>
    <row r="5372" spans="1:9" x14ac:dyDescent="0.25">
      <c r="A5372" s="753"/>
      <c r="C5372" s="131" t="s">
        <v>1147</v>
      </c>
      <c r="D5372" s="131">
        <v>16</v>
      </c>
      <c r="E5372" s="131" t="s">
        <v>1147</v>
      </c>
      <c r="F5372" s="767">
        <v>76375.27</v>
      </c>
      <c r="G5372" s="767">
        <v>0</v>
      </c>
      <c r="H5372" s="767">
        <v>76375.27</v>
      </c>
      <c r="I5372" s="768" t="s">
        <v>1834</v>
      </c>
    </row>
    <row r="5373" spans="1:9" x14ac:dyDescent="0.25">
      <c r="A5373" s="753"/>
      <c r="C5373" s="131" t="s">
        <v>235</v>
      </c>
      <c r="D5373" s="131">
        <v>16</v>
      </c>
      <c r="E5373" s="131" t="s">
        <v>235</v>
      </c>
      <c r="F5373" s="767">
        <v>0</v>
      </c>
      <c r="G5373" s="767">
        <v>-181349.96</v>
      </c>
      <c r="H5373" s="767">
        <v>-181349.96</v>
      </c>
      <c r="I5373" s="768" t="s">
        <v>2286</v>
      </c>
    </row>
    <row r="5374" spans="1:9" x14ac:dyDescent="0.25">
      <c r="A5374" s="753"/>
      <c r="C5374" s="131" t="s">
        <v>2287</v>
      </c>
      <c r="D5374" s="131">
        <v>16</v>
      </c>
      <c r="E5374" s="131" t="s">
        <v>2287</v>
      </c>
      <c r="F5374" s="767">
        <v>0</v>
      </c>
      <c r="G5374" s="767">
        <v>175112.67</v>
      </c>
      <c r="H5374" s="767">
        <v>175112.67</v>
      </c>
      <c r="I5374" s="768" t="s">
        <v>2288</v>
      </c>
    </row>
    <row r="5375" spans="1:9" x14ac:dyDescent="0.25">
      <c r="A5375" s="753"/>
      <c r="C5375" s="131" t="s">
        <v>364</v>
      </c>
      <c r="D5375" s="131">
        <v>16</v>
      </c>
      <c r="E5375" s="131" t="s">
        <v>364</v>
      </c>
      <c r="F5375" s="767">
        <v>-120423.5</v>
      </c>
      <c r="G5375" s="767">
        <v>-107635.36</v>
      </c>
      <c r="H5375" s="767">
        <v>-228058.86</v>
      </c>
      <c r="I5375" s="768" t="s">
        <v>2291</v>
      </c>
    </row>
    <row r="5376" spans="1:9" x14ac:dyDescent="0.25">
      <c r="A5376" s="753"/>
      <c r="C5376" s="131" t="s">
        <v>2292</v>
      </c>
      <c r="D5376" s="131">
        <v>16</v>
      </c>
      <c r="E5376" s="131" t="s">
        <v>2292</v>
      </c>
      <c r="F5376" s="767">
        <v>111575</v>
      </c>
      <c r="G5376" s="767">
        <v>100537.06</v>
      </c>
      <c r="H5376" s="767">
        <v>212112.06</v>
      </c>
      <c r="I5376" s="768" t="s">
        <v>2293</v>
      </c>
    </row>
    <row r="5377" spans="1:9" x14ac:dyDescent="0.25">
      <c r="A5377" s="753"/>
      <c r="C5377" s="131" t="s">
        <v>371</v>
      </c>
      <c r="D5377" s="131">
        <v>16</v>
      </c>
      <c r="E5377" s="131" t="s">
        <v>371</v>
      </c>
      <c r="F5377" s="767">
        <v>-106923.5</v>
      </c>
      <c r="G5377" s="767">
        <v>0</v>
      </c>
      <c r="H5377" s="767">
        <v>-106923.5</v>
      </c>
      <c r="I5377" s="768" t="s">
        <v>1836</v>
      </c>
    </row>
    <row r="5378" spans="1:9" x14ac:dyDescent="0.25">
      <c r="A5378" s="753"/>
      <c r="C5378" s="131" t="s">
        <v>1152</v>
      </c>
      <c r="D5378" s="131">
        <v>16</v>
      </c>
      <c r="E5378" s="131" t="s">
        <v>1152</v>
      </c>
      <c r="F5378" s="767">
        <v>102290.17</v>
      </c>
      <c r="G5378" s="767">
        <v>0</v>
      </c>
      <c r="H5378" s="767">
        <v>102290.17</v>
      </c>
      <c r="I5378" s="768" t="s">
        <v>1837</v>
      </c>
    </row>
    <row r="5379" spans="1:9" x14ac:dyDescent="0.25">
      <c r="A5379" s="753"/>
      <c r="C5379" s="131" t="s">
        <v>0</v>
      </c>
      <c r="D5379" s="131">
        <v>16</v>
      </c>
      <c r="E5379" s="131" t="s">
        <v>0</v>
      </c>
      <c r="F5379" s="767">
        <v>-90273.5</v>
      </c>
      <c r="G5379" s="767">
        <v>0</v>
      </c>
      <c r="H5379" s="767">
        <v>-90273.5</v>
      </c>
      <c r="I5379" s="768" t="s">
        <v>1839</v>
      </c>
    </row>
    <row r="5380" spans="1:9" x14ac:dyDescent="0.25">
      <c r="A5380" s="753"/>
      <c r="C5380" s="131" t="s">
        <v>1117</v>
      </c>
      <c r="D5380" s="131">
        <v>16</v>
      </c>
      <c r="E5380" s="131" t="s">
        <v>1117</v>
      </c>
      <c r="F5380" s="767">
        <v>82763.5</v>
      </c>
      <c r="G5380" s="767">
        <v>0</v>
      </c>
      <c r="H5380" s="767">
        <v>82763.5</v>
      </c>
      <c r="I5380" s="768" t="s">
        <v>1840</v>
      </c>
    </row>
    <row r="5381" spans="1:9" x14ac:dyDescent="0.25">
      <c r="A5381" s="753"/>
      <c r="C5381" s="131" t="s">
        <v>388</v>
      </c>
      <c r="D5381" s="131">
        <v>16</v>
      </c>
      <c r="E5381" s="131" t="s">
        <v>388</v>
      </c>
      <c r="F5381" s="767">
        <v>-488096.67</v>
      </c>
      <c r="G5381" s="767">
        <v>-138273.37</v>
      </c>
      <c r="H5381" s="767">
        <v>-626370.04</v>
      </c>
      <c r="I5381" s="768" t="s">
        <v>1842</v>
      </c>
    </row>
    <row r="5382" spans="1:9" x14ac:dyDescent="0.25">
      <c r="A5382" s="753"/>
      <c r="C5382" s="131" t="s">
        <v>1157</v>
      </c>
      <c r="D5382" s="131">
        <v>16</v>
      </c>
      <c r="E5382" s="131" t="s">
        <v>1157</v>
      </c>
      <c r="F5382" s="767">
        <v>453839.9</v>
      </c>
      <c r="G5382" s="767">
        <v>126082.57</v>
      </c>
      <c r="H5382" s="767">
        <v>579922.47</v>
      </c>
      <c r="I5382" s="768" t="s">
        <v>1843</v>
      </c>
    </row>
    <row r="5383" spans="1:9" x14ac:dyDescent="0.25">
      <c r="A5383" s="753"/>
      <c r="C5383" s="131" t="s">
        <v>372</v>
      </c>
      <c r="D5383" s="131">
        <v>16</v>
      </c>
      <c r="E5383" s="131" t="s">
        <v>372</v>
      </c>
      <c r="F5383" s="767">
        <v>-1072320</v>
      </c>
      <c r="G5383" s="767">
        <v>-324698.42</v>
      </c>
      <c r="H5383" s="767">
        <v>-1397018.42</v>
      </c>
      <c r="I5383" s="768" t="s">
        <v>1845</v>
      </c>
    </row>
    <row r="5384" spans="1:9" x14ac:dyDescent="0.25">
      <c r="A5384" s="753"/>
      <c r="C5384" s="131" t="s">
        <v>1159</v>
      </c>
      <c r="D5384" s="131">
        <v>16</v>
      </c>
      <c r="E5384" s="131" t="s">
        <v>1159</v>
      </c>
      <c r="F5384" s="767">
        <v>1004366.9</v>
      </c>
      <c r="G5384" s="767">
        <v>299603.12</v>
      </c>
      <c r="H5384" s="767">
        <v>1303970.02</v>
      </c>
      <c r="I5384" s="768" t="s">
        <v>1846</v>
      </c>
    </row>
    <row r="5385" spans="1:9" x14ac:dyDescent="0.25">
      <c r="A5385" s="753"/>
      <c r="C5385" s="131" t="s">
        <v>389</v>
      </c>
      <c r="D5385" s="131">
        <v>16</v>
      </c>
      <c r="E5385" s="131" t="s">
        <v>389</v>
      </c>
      <c r="F5385" s="767">
        <v>-160941.5</v>
      </c>
      <c r="G5385" s="767">
        <v>0</v>
      </c>
      <c r="H5385" s="767">
        <v>-160941.5</v>
      </c>
      <c r="I5385" s="768" t="s">
        <v>2296</v>
      </c>
    </row>
    <row r="5386" spans="1:9" x14ac:dyDescent="0.25">
      <c r="A5386" s="753"/>
      <c r="C5386" s="131" t="s">
        <v>2297</v>
      </c>
      <c r="D5386" s="131">
        <v>16</v>
      </c>
      <c r="E5386" s="131" t="s">
        <v>2297</v>
      </c>
      <c r="F5386" s="767">
        <v>156088.57999999999</v>
      </c>
      <c r="G5386" s="767">
        <v>0</v>
      </c>
      <c r="H5386" s="767">
        <v>156088.57999999999</v>
      </c>
      <c r="I5386" s="768" t="s">
        <v>2298</v>
      </c>
    </row>
    <row r="5387" spans="1:9" x14ac:dyDescent="0.25">
      <c r="A5387" s="753"/>
      <c r="C5387" s="131" t="s">
        <v>373</v>
      </c>
      <c r="D5387" s="131">
        <v>16</v>
      </c>
      <c r="E5387" s="131" t="s">
        <v>373</v>
      </c>
      <c r="F5387" s="767">
        <v>-345515.77</v>
      </c>
      <c r="G5387" s="767">
        <v>0</v>
      </c>
      <c r="H5387" s="767">
        <v>-345515.77</v>
      </c>
      <c r="I5387" s="768" t="s">
        <v>2301</v>
      </c>
    </row>
    <row r="5388" spans="1:9" x14ac:dyDescent="0.25">
      <c r="A5388" s="753"/>
      <c r="C5388" s="131" t="s">
        <v>2302</v>
      </c>
      <c r="D5388" s="131">
        <v>16</v>
      </c>
      <c r="E5388" s="131" t="s">
        <v>2302</v>
      </c>
      <c r="F5388" s="767">
        <v>339379.44</v>
      </c>
      <c r="G5388" s="767">
        <v>0</v>
      </c>
      <c r="H5388" s="767">
        <v>339379.44</v>
      </c>
      <c r="I5388" s="768" t="s">
        <v>2303</v>
      </c>
    </row>
    <row r="5389" spans="1:9" x14ac:dyDescent="0.25">
      <c r="A5389" s="753"/>
      <c r="C5389" s="131" t="s">
        <v>365</v>
      </c>
      <c r="D5389" s="131">
        <v>16</v>
      </c>
      <c r="E5389" s="131" t="s">
        <v>365</v>
      </c>
      <c r="F5389" s="767">
        <v>-242245.5</v>
      </c>
      <c r="G5389" s="767">
        <v>0</v>
      </c>
      <c r="H5389" s="767">
        <v>-242245.5</v>
      </c>
      <c r="I5389" s="768" t="s">
        <v>1850</v>
      </c>
    </row>
    <row r="5390" spans="1:9" x14ac:dyDescent="0.25">
      <c r="A5390" s="753"/>
      <c r="C5390" s="131" t="s">
        <v>365</v>
      </c>
      <c r="D5390" s="131">
        <v>16</v>
      </c>
      <c r="E5390" s="131" t="s">
        <v>1139</v>
      </c>
      <c r="F5390" s="767">
        <v>-72260.61</v>
      </c>
      <c r="G5390" s="767">
        <v>0</v>
      </c>
      <c r="H5390" s="767">
        <v>-72260.61</v>
      </c>
      <c r="I5390" s="768" t="s">
        <v>1851</v>
      </c>
    </row>
    <row r="5391" spans="1:9" x14ac:dyDescent="0.25">
      <c r="A5391" s="753"/>
      <c r="C5391" s="131" t="s">
        <v>1161</v>
      </c>
      <c r="D5391" s="131">
        <v>16</v>
      </c>
      <c r="E5391" s="131" t="s">
        <v>1161</v>
      </c>
      <c r="F5391" s="767">
        <v>225357.57</v>
      </c>
      <c r="G5391" s="767">
        <v>0</v>
      </c>
      <c r="H5391" s="767">
        <v>225357.57</v>
      </c>
      <c r="I5391" s="768" t="s">
        <v>1852</v>
      </c>
    </row>
    <row r="5392" spans="1:9" x14ac:dyDescent="0.25">
      <c r="A5392" s="753"/>
      <c r="C5392" s="131" t="s">
        <v>1161</v>
      </c>
      <c r="D5392" s="131">
        <v>16</v>
      </c>
      <c r="E5392" s="131" t="s">
        <v>1140</v>
      </c>
      <c r="F5392" s="767">
        <v>65199.61</v>
      </c>
      <c r="G5392" s="767">
        <v>0</v>
      </c>
      <c r="H5392" s="767">
        <v>65199.61</v>
      </c>
      <c r="I5392" s="768" t="s">
        <v>1853</v>
      </c>
    </row>
    <row r="5393" spans="1:9" x14ac:dyDescent="0.25">
      <c r="A5393" s="753"/>
      <c r="C5393" s="131" t="s">
        <v>416</v>
      </c>
      <c r="D5393" s="131">
        <v>16</v>
      </c>
      <c r="E5393" s="131" t="s">
        <v>416</v>
      </c>
      <c r="F5393" s="767">
        <v>-97623.5</v>
      </c>
      <c r="G5393" s="767">
        <v>0</v>
      </c>
      <c r="H5393" s="767">
        <v>-97623.5</v>
      </c>
      <c r="I5393" s="768" t="s">
        <v>1854</v>
      </c>
    </row>
    <row r="5394" spans="1:9" x14ac:dyDescent="0.25">
      <c r="A5394" s="753"/>
      <c r="C5394" s="131" t="s">
        <v>1163</v>
      </c>
      <c r="D5394" s="131">
        <v>16</v>
      </c>
      <c r="E5394" s="131" t="s">
        <v>1163</v>
      </c>
      <c r="F5394" s="767">
        <v>90757.33</v>
      </c>
      <c r="G5394" s="767">
        <v>0</v>
      </c>
      <c r="H5394" s="767">
        <v>90757.33</v>
      </c>
      <c r="I5394" s="768" t="s">
        <v>1854</v>
      </c>
    </row>
    <row r="5395" spans="1:9" x14ac:dyDescent="0.25">
      <c r="A5395" s="753"/>
      <c r="C5395" s="131" t="s">
        <v>256</v>
      </c>
      <c r="D5395" s="131">
        <v>16</v>
      </c>
      <c r="E5395" s="131" t="s">
        <v>256</v>
      </c>
      <c r="F5395" s="767">
        <v>-121994.74</v>
      </c>
      <c r="G5395" s="767">
        <v>0</v>
      </c>
      <c r="H5395" s="767">
        <v>-121994.74</v>
      </c>
      <c r="I5395" s="768" t="s">
        <v>1856</v>
      </c>
    </row>
    <row r="5396" spans="1:9" x14ac:dyDescent="0.25">
      <c r="A5396" s="753"/>
      <c r="C5396" s="131" t="s">
        <v>1165</v>
      </c>
      <c r="D5396" s="131">
        <v>16</v>
      </c>
      <c r="E5396" s="131" t="s">
        <v>1165</v>
      </c>
      <c r="F5396" s="767">
        <v>116172.84</v>
      </c>
      <c r="G5396" s="767">
        <v>0</v>
      </c>
      <c r="H5396" s="767">
        <v>116172.84</v>
      </c>
      <c r="I5396" s="768" t="s">
        <v>1857</v>
      </c>
    </row>
    <row r="5397" spans="1:9" x14ac:dyDescent="0.25">
      <c r="A5397" s="753"/>
      <c r="C5397" s="131" t="s">
        <v>366</v>
      </c>
      <c r="D5397" s="131">
        <v>16</v>
      </c>
      <c r="E5397" s="131" t="s">
        <v>366</v>
      </c>
      <c r="F5397" s="767">
        <v>-133336.91</v>
      </c>
      <c r="G5397" s="767">
        <v>0</v>
      </c>
      <c r="H5397" s="767">
        <v>-133336.91</v>
      </c>
      <c r="I5397" s="768" t="s">
        <v>1859</v>
      </c>
    </row>
    <row r="5398" spans="1:9" x14ac:dyDescent="0.25">
      <c r="A5398" s="753"/>
      <c r="C5398" s="131" t="s">
        <v>1155</v>
      </c>
      <c r="D5398" s="131">
        <v>16</v>
      </c>
      <c r="E5398" s="131" t="s">
        <v>1155</v>
      </c>
      <c r="F5398" s="767">
        <v>124643.41</v>
      </c>
      <c r="G5398" s="767">
        <v>0</v>
      </c>
      <c r="H5398" s="767">
        <v>124643.41</v>
      </c>
      <c r="I5398" s="768" t="s">
        <v>1860</v>
      </c>
    </row>
    <row r="5399" spans="1:9" x14ac:dyDescent="0.25">
      <c r="A5399" s="753"/>
      <c r="C5399" s="131" t="s">
        <v>391</v>
      </c>
      <c r="D5399" s="131">
        <v>16</v>
      </c>
      <c r="E5399" s="131" t="s">
        <v>391</v>
      </c>
      <c r="F5399" s="767">
        <v>-227978.65</v>
      </c>
      <c r="G5399" s="767">
        <v>0</v>
      </c>
      <c r="H5399" s="767">
        <v>-227978.65</v>
      </c>
      <c r="I5399" s="768" t="s">
        <v>1862</v>
      </c>
    </row>
    <row r="5400" spans="1:9" x14ac:dyDescent="0.25">
      <c r="A5400" s="753"/>
      <c r="C5400" s="131" t="s">
        <v>1168</v>
      </c>
      <c r="D5400" s="131">
        <v>16</v>
      </c>
      <c r="E5400" s="131" t="s">
        <v>1168</v>
      </c>
      <c r="F5400" s="767">
        <v>216450.03</v>
      </c>
      <c r="G5400" s="767">
        <v>0</v>
      </c>
      <c r="H5400" s="767">
        <v>216450.03</v>
      </c>
      <c r="I5400" s="768" t="s">
        <v>1863</v>
      </c>
    </row>
    <row r="5401" spans="1:9" x14ac:dyDescent="0.25">
      <c r="A5401" s="753"/>
      <c r="C5401" s="131">
        <v>415</v>
      </c>
      <c r="D5401" s="131">
        <v>16</v>
      </c>
      <c r="E5401" s="131">
        <v>415</v>
      </c>
      <c r="F5401" s="767">
        <v>0</v>
      </c>
      <c r="G5401" s="767">
        <v>-140922.95000000001</v>
      </c>
      <c r="H5401" s="767">
        <v>-140922.95000000001</v>
      </c>
      <c r="I5401" s="768" t="s">
        <v>2306</v>
      </c>
    </row>
    <row r="5402" spans="1:9" x14ac:dyDescent="0.25">
      <c r="A5402" s="753"/>
      <c r="C5402" s="131">
        <v>615</v>
      </c>
      <c r="D5402" s="131">
        <v>16</v>
      </c>
      <c r="E5402" s="131">
        <v>615</v>
      </c>
      <c r="F5402" s="767">
        <v>0</v>
      </c>
      <c r="G5402" s="767">
        <v>135011.85</v>
      </c>
      <c r="H5402" s="767">
        <v>135011.85</v>
      </c>
      <c r="I5402" s="768" t="s">
        <v>2307</v>
      </c>
    </row>
    <row r="5403" spans="1:9" x14ac:dyDescent="0.25">
      <c r="A5403" s="753"/>
      <c r="C5403" s="131" t="s">
        <v>394</v>
      </c>
      <c r="D5403" s="131">
        <v>16</v>
      </c>
      <c r="E5403" s="131" t="s">
        <v>394</v>
      </c>
      <c r="F5403" s="767">
        <v>-118545.13</v>
      </c>
      <c r="G5403" s="767">
        <v>0</v>
      </c>
      <c r="H5403" s="767">
        <v>-118545.13</v>
      </c>
      <c r="I5403" s="768" t="s">
        <v>1865</v>
      </c>
    </row>
    <row r="5404" spans="1:9" x14ac:dyDescent="0.25">
      <c r="A5404" s="753"/>
      <c r="C5404" s="131" t="s">
        <v>1122</v>
      </c>
      <c r="D5404" s="131">
        <v>16</v>
      </c>
      <c r="E5404" s="131" t="s">
        <v>1122</v>
      </c>
      <c r="F5404" s="767">
        <v>118545.13</v>
      </c>
      <c r="G5404" s="767">
        <v>0</v>
      </c>
      <c r="H5404" s="767">
        <v>118545.13</v>
      </c>
      <c r="I5404" s="768" t="s">
        <v>1866</v>
      </c>
    </row>
    <row r="5405" spans="1:9" x14ac:dyDescent="0.25">
      <c r="A5405" s="753"/>
      <c r="C5405" s="131" t="s">
        <v>292</v>
      </c>
      <c r="D5405" s="131">
        <v>16</v>
      </c>
      <c r="E5405" s="131" t="s">
        <v>1080</v>
      </c>
      <c r="F5405" s="767">
        <v>-128273.5</v>
      </c>
      <c r="G5405" s="767">
        <v>0</v>
      </c>
      <c r="H5405" s="767">
        <v>-128273.5</v>
      </c>
      <c r="I5405" s="768" t="s">
        <v>1868</v>
      </c>
    </row>
    <row r="5406" spans="1:9" x14ac:dyDescent="0.25">
      <c r="A5406" s="753"/>
      <c r="C5406" s="131" t="s">
        <v>1174</v>
      </c>
      <c r="D5406" s="131">
        <v>16</v>
      </c>
      <c r="E5406" s="131" t="s">
        <v>1081</v>
      </c>
      <c r="F5406" s="767">
        <v>115038.03</v>
      </c>
      <c r="G5406" s="767">
        <v>0</v>
      </c>
      <c r="H5406" s="767">
        <v>115038.03</v>
      </c>
      <c r="I5406" s="768" t="s">
        <v>1869</v>
      </c>
    </row>
    <row r="5407" spans="1:9" x14ac:dyDescent="0.25">
      <c r="A5407" s="753"/>
      <c r="C5407" s="131" t="s">
        <v>297</v>
      </c>
      <c r="D5407" s="131">
        <v>16</v>
      </c>
      <c r="E5407" s="131" t="s">
        <v>297</v>
      </c>
      <c r="F5407" s="767">
        <v>-156342</v>
      </c>
      <c r="G5407" s="767">
        <v>0</v>
      </c>
      <c r="H5407" s="767">
        <v>-156342</v>
      </c>
      <c r="I5407" s="768" t="s">
        <v>1871</v>
      </c>
    </row>
    <row r="5408" spans="1:9" x14ac:dyDescent="0.25">
      <c r="A5408" s="753"/>
      <c r="C5408" s="131" t="s">
        <v>1083</v>
      </c>
      <c r="D5408" s="131">
        <v>16</v>
      </c>
      <c r="E5408" s="131" t="s">
        <v>1083</v>
      </c>
      <c r="F5408" s="767">
        <v>147709.57999999999</v>
      </c>
      <c r="G5408" s="767">
        <v>0</v>
      </c>
      <c r="H5408" s="767">
        <v>147709.57999999999</v>
      </c>
      <c r="I5408" s="768" t="s">
        <v>1872</v>
      </c>
    </row>
    <row r="5409" spans="1:9" x14ac:dyDescent="0.25">
      <c r="A5409" s="753"/>
      <c r="C5409" s="131" t="s">
        <v>299</v>
      </c>
      <c r="D5409" s="131">
        <v>16</v>
      </c>
      <c r="E5409" s="131" t="s">
        <v>299</v>
      </c>
      <c r="F5409" s="767">
        <v>-363200</v>
      </c>
      <c r="G5409" s="767">
        <v>0</v>
      </c>
      <c r="H5409" s="767">
        <v>-363200</v>
      </c>
      <c r="I5409" s="768" t="s">
        <v>1874</v>
      </c>
    </row>
    <row r="5410" spans="1:9" x14ac:dyDescent="0.25">
      <c r="A5410" s="753"/>
      <c r="C5410" s="131" t="s">
        <v>1180</v>
      </c>
      <c r="D5410" s="131">
        <v>16</v>
      </c>
      <c r="E5410" s="131" t="s">
        <v>1180</v>
      </c>
      <c r="F5410" s="767">
        <v>343503.43</v>
      </c>
      <c r="G5410" s="767">
        <v>0</v>
      </c>
      <c r="H5410" s="767">
        <v>343503.43</v>
      </c>
      <c r="I5410" s="768" t="s">
        <v>1875</v>
      </c>
    </row>
    <row r="5411" spans="1:9" x14ac:dyDescent="0.25">
      <c r="A5411" s="753"/>
      <c r="C5411" s="131">
        <v>416</v>
      </c>
      <c r="D5411" s="131">
        <v>16</v>
      </c>
      <c r="E5411" s="131">
        <v>416</v>
      </c>
      <c r="F5411" s="767">
        <v>-1003631.7</v>
      </c>
      <c r="G5411" s="767">
        <v>-238444</v>
      </c>
      <c r="H5411" s="767">
        <v>-1242075.7</v>
      </c>
      <c r="I5411" s="768" t="s">
        <v>1720</v>
      </c>
    </row>
    <row r="5412" spans="1:9" x14ac:dyDescent="0.25">
      <c r="A5412" s="753"/>
      <c r="C5412" s="131">
        <v>616</v>
      </c>
      <c r="D5412" s="131">
        <v>16</v>
      </c>
      <c r="E5412" s="131">
        <v>616</v>
      </c>
      <c r="F5412" s="767">
        <v>941860.05</v>
      </c>
      <c r="G5412" s="767">
        <v>224614.34</v>
      </c>
      <c r="H5412" s="767">
        <v>1166474.3899999999</v>
      </c>
      <c r="I5412" s="768" t="s">
        <v>1721</v>
      </c>
    </row>
    <row r="5413" spans="1:9" x14ac:dyDescent="0.25">
      <c r="A5413" s="753"/>
      <c r="C5413" s="131" t="s">
        <v>400</v>
      </c>
      <c r="D5413" s="131">
        <v>16</v>
      </c>
      <c r="E5413" s="131" t="s">
        <v>400</v>
      </c>
      <c r="F5413" s="767">
        <v>-139749.68</v>
      </c>
      <c r="G5413" s="767">
        <v>-74470.399999999994</v>
      </c>
      <c r="H5413" s="767">
        <v>-214220.08</v>
      </c>
      <c r="I5413" s="768" t="s">
        <v>1723</v>
      </c>
    </row>
    <row r="5414" spans="1:9" x14ac:dyDescent="0.25">
      <c r="A5414" s="753"/>
      <c r="C5414" s="131" t="s">
        <v>1100</v>
      </c>
      <c r="D5414" s="131">
        <v>16</v>
      </c>
      <c r="E5414" s="131" t="s">
        <v>1100</v>
      </c>
      <c r="F5414" s="767">
        <v>131422.87</v>
      </c>
      <c r="G5414" s="767">
        <v>69814.75</v>
      </c>
      <c r="H5414" s="767">
        <v>201237.62</v>
      </c>
      <c r="I5414" s="768" t="s">
        <v>1724</v>
      </c>
    </row>
    <row r="5415" spans="1:9" x14ac:dyDescent="0.25">
      <c r="A5415" s="753"/>
      <c r="C5415" s="131">
        <v>409</v>
      </c>
      <c r="D5415" s="131">
        <v>16</v>
      </c>
      <c r="E5415" s="131">
        <v>409</v>
      </c>
      <c r="F5415" s="767">
        <v>-363098.13</v>
      </c>
      <c r="G5415" s="767">
        <v>-188223.59</v>
      </c>
      <c r="H5415" s="767">
        <v>-551321.72</v>
      </c>
      <c r="I5415" s="768" t="s">
        <v>1725</v>
      </c>
    </row>
    <row r="5416" spans="1:9" x14ac:dyDescent="0.25">
      <c r="A5416" s="753"/>
      <c r="C5416" s="131">
        <v>609</v>
      </c>
      <c r="D5416" s="131">
        <v>16</v>
      </c>
      <c r="E5416" s="131">
        <v>609</v>
      </c>
      <c r="F5416" s="767">
        <v>341003.75</v>
      </c>
      <c r="G5416" s="767">
        <v>179636.18</v>
      </c>
      <c r="H5416" s="767">
        <v>520639.93</v>
      </c>
      <c r="I5416" s="768" t="s">
        <v>1725</v>
      </c>
    </row>
    <row r="5417" spans="1:9" x14ac:dyDescent="0.25">
      <c r="A5417" s="753"/>
      <c r="C5417" s="131" t="s">
        <v>1102</v>
      </c>
      <c r="D5417" s="131">
        <v>16</v>
      </c>
      <c r="E5417" s="131" t="s">
        <v>1102</v>
      </c>
      <c r="F5417" s="767">
        <v>-90100.5</v>
      </c>
      <c r="G5417" s="767">
        <v>-79723.5</v>
      </c>
      <c r="H5417" s="767">
        <v>-169824</v>
      </c>
      <c r="I5417" s="768" t="s">
        <v>1726</v>
      </c>
    </row>
    <row r="5418" spans="1:9" x14ac:dyDescent="0.25">
      <c r="A5418" s="753"/>
      <c r="C5418" s="131" t="s">
        <v>1103</v>
      </c>
      <c r="D5418" s="131">
        <v>16</v>
      </c>
      <c r="E5418" s="131" t="s">
        <v>1103</v>
      </c>
      <c r="F5418" s="767">
        <v>84965.15</v>
      </c>
      <c r="G5418" s="767">
        <v>74349.23</v>
      </c>
      <c r="H5418" s="767">
        <v>159314.38</v>
      </c>
      <c r="I5418" s="768" t="s">
        <v>1726</v>
      </c>
    </row>
    <row r="5419" spans="1:9" x14ac:dyDescent="0.25">
      <c r="A5419" s="753"/>
      <c r="C5419" s="131" t="s">
        <v>104</v>
      </c>
      <c r="D5419" s="131">
        <v>16</v>
      </c>
      <c r="E5419" s="131" t="s">
        <v>104</v>
      </c>
      <c r="F5419" s="767">
        <v>-1584890.7</v>
      </c>
      <c r="G5419" s="767">
        <v>0</v>
      </c>
      <c r="H5419" s="767">
        <v>-1584890.7</v>
      </c>
      <c r="I5419" s="768" t="s">
        <v>1728</v>
      </c>
    </row>
    <row r="5420" spans="1:9" x14ac:dyDescent="0.25">
      <c r="A5420" s="753"/>
      <c r="C5420" s="131" t="s">
        <v>1106</v>
      </c>
      <c r="D5420" s="131">
        <v>16</v>
      </c>
      <c r="E5420" s="131" t="s">
        <v>1106</v>
      </c>
      <c r="F5420" s="767">
        <v>1486270.54</v>
      </c>
      <c r="G5420" s="767">
        <v>0</v>
      </c>
      <c r="H5420" s="767">
        <v>1486270.54</v>
      </c>
      <c r="I5420" s="768" t="s">
        <v>1729</v>
      </c>
    </row>
    <row r="5421" spans="1:9" x14ac:dyDescent="0.25">
      <c r="A5421" s="753"/>
      <c r="C5421" s="131" t="s">
        <v>282</v>
      </c>
      <c r="D5421" s="131">
        <v>16</v>
      </c>
      <c r="E5421" s="131" t="s">
        <v>282</v>
      </c>
      <c r="F5421" s="767">
        <v>-355284</v>
      </c>
      <c r="G5421" s="767">
        <v>0</v>
      </c>
      <c r="H5421" s="767">
        <v>-355284</v>
      </c>
      <c r="I5421" s="768" t="s">
        <v>1731</v>
      </c>
    </row>
    <row r="5422" spans="1:9" x14ac:dyDescent="0.25">
      <c r="A5422" s="753"/>
      <c r="C5422" s="131" t="s">
        <v>1107</v>
      </c>
      <c r="D5422" s="131">
        <v>16</v>
      </c>
      <c r="E5422" s="131" t="s">
        <v>1107</v>
      </c>
      <c r="F5422" s="767">
        <v>333495.65000000002</v>
      </c>
      <c r="G5422" s="767">
        <v>0</v>
      </c>
      <c r="H5422" s="767">
        <v>333495.65000000002</v>
      </c>
      <c r="I5422" s="768" t="s">
        <v>1732</v>
      </c>
    </row>
    <row r="5423" spans="1:9" x14ac:dyDescent="0.25">
      <c r="A5423" s="753"/>
      <c r="C5423" s="131" t="s">
        <v>340</v>
      </c>
      <c r="D5423" s="131">
        <v>16</v>
      </c>
      <c r="E5423" s="131" t="s">
        <v>340</v>
      </c>
      <c r="F5423" s="767">
        <v>-482797.12</v>
      </c>
      <c r="G5423" s="767">
        <v>-236789.98</v>
      </c>
      <c r="H5423" s="767">
        <v>-719587.1</v>
      </c>
      <c r="I5423" s="768" t="s">
        <v>1734</v>
      </c>
    </row>
    <row r="5424" spans="1:9" x14ac:dyDescent="0.25">
      <c r="A5424" s="753"/>
      <c r="C5424" s="131" t="s">
        <v>1108</v>
      </c>
      <c r="D5424" s="131">
        <v>16</v>
      </c>
      <c r="E5424" s="131" t="s">
        <v>1108</v>
      </c>
      <c r="F5424" s="767">
        <v>453323.44</v>
      </c>
      <c r="G5424" s="767">
        <v>217365.05</v>
      </c>
      <c r="H5424" s="767">
        <v>670688.49</v>
      </c>
      <c r="I5424" s="768" t="s">
        <v>1735</v>
      </c>
    </row>
    <row r="5425" spans="1:9" x14ac:dyDescent="0.25">
      <c r="A5425" s="753"/>
      <c r="C5425" s="131" t="s">
        <v>301</v>
      </c>
      <c r="D5425" s="131">
        <v>16</v>
      </c>
      <c r="E5425" s="131" t="s">
        <v>301</v>
      </c>
      <c r="F5425" s="767">
        <v>-109302.93</v>
      </c>
      <c r="G5425" s="767">
        <v>0</v>
      </c>
      <c r="H5425" s="767">
        <v>-109302.93</v>
      </c>
      <c r="I5425" s="768" t="s">
        <v>2272</v>
      </c>
    </row>
    <row r="5426" spans="1:9" x14ac:dyDescent="0.25">
      <c r="A5426" s="753"/>
      <c r="C5426" s="131" t="s">
        <v>2273</v>
      </c>
      <c r="D5426" s="131">
        <v>16</v>
      </c>
      <c r="E5426" s="131" t="s">
        <v>2273</v>
      </c>
      <c r="F5426" s="767">
        <v>109633.12</v>
      </c>
      <c r="G5426" s="767">
        <v>0</v>
      </c>
      <c r="H5426" s="767">
        <v>109633.12</v>
      </c>
      <c r="I5426" s="768" t="s">
        <v>2274</v>
      </c>
    </row>
    <row r="5427" spans="1:9" x14ac:dyDescent="0.25">
      <c r="A5427" s="753"/>
      <c r="C5427" s="131" t="s">
        <v>237</v>
      </c>
      <c r="D5427" s="131">
        <v>16</v>
      </c>
      <c r="E5427" s="131" t="s">
        <v>237</v>
      </c>
      <c r="F5427" s="767">
        <v>-222837.66</v>
      </c>
      <c r="G5427" s="767">
        <v>0</v>
      </c>
      <c r="H5427" s="767">
        <v>-222837.66</v>
      </c>
      <c r="I5427" s="768" t="s">
        <v>1737</v>
      </c>
    </row>
    <row r="5428" spans="1:9" x14ac:dyDescent="0.25">
      <c r="A5428" s="753"/>
      <c r="C5428" s="131" t="s">
        <v>1094</v>
      </c>
      <c r="D5428" s="131">
        <v>16</v>
      </c>
      <c r="E5428" s="131" t="s">
        <v>1094</v>
      </c>
      <c r="F5428" s="767">
        <v>208571.21</v>
      </c>
      <c r="G5428" s="767">
        <v>0</v>
      </c>
      <c r="H5428" s="767">
        <v>208571.21</v>
      </c>
      <c r="I5428" s="768" t="s">
        <v>1738</v>
      </c>
    </row>
    <row r="5429" spans="1:9" x14ac:dyDescent="0.25">
      <c r="A5429" s="753"/>
      <c r="C5429" s="131" t="s">
        <v>258</v>
      </c>
      <c r="D5429" s="131">
        <v>16</v>
      </c>
      <c r="E5429" s="131" t="s">
        <v>258</v>
      </c>
      <c r="F5429" s="767">
        <v>-180770</v>
      </c>
      <c r="G5429" s="767">
        <v>0</v>
      </c>
      <c r="H5429" s="767">
        <v>-180770</v>
      </c>
      <c r="I5429" s="768" t="s">
        <v>1741</v>
      </c>
    </row>
    <row r="5430" spans="1:9" x14ac:dyDescent="0.25">
      <c r="A5430" s="753"/>
      <c r="C5430" s="131" t="s">
        <v>1742</v>
      </c>
      <c r="D5430" s="131">
        <v>16</v>
      </c>
      <c r="E5430" s="131" t="s">
        <v>1742</v>
      </c>
      <c r="F5430" s="767">
        <v>168281.09</v>
      </c>
      <c r="G5430" s="767">
        <v>0</v>
      </c>
      <c r="H5430" s="767">
        <v>168281.09</v>
      </c>
      <c r="I5430" s="768" t="s">
        <v>1743</v>
      </c>
    </row>
    <row r="5431" spans="1:9" x14ac:dyDescent="0.25">
      <c r="A5431" s="753"/>
      <c r="C5431" s="131" t="s">
        <v>105</v>
      </c>
      <c r="D5431" s="131">
        <v>16</v>
      </c>
      <c r="E5431" s="131" t="s">
        <v>105</v>
      </c>
      <c r="F5431" s="767">
        <v>-751239.23</v>
      </c>
      <c r="G5431" s="767">
        <v>-106773.5</v>
      </c>
      <c r="H5431" s="767">
        <v>-858012.73</v>
      </c>
      <c r="I5431" s="768" t="s">
        <v>1745</v>
      </c>
    </row>
    <row r="5432" spans="1:9" x14ac:dyDescent="0.25">
      <c r="A5432" s="753"/>
      <c r="C5432" s="131" t="s">
        <v>1110</v>
      </c>
      <c r="D5432" s="131">
        <v>16</v>
      </c>
      <c r="E5432" s="131" t="s">
        <v>1110</v>
      </c>
      <c r="F5432" s="767">
        <v>714996.42</v>
      </c>
      <c r="G5432" s="767">
        <v>102975</v>
      </c>
      <c r="H5432" s="767">
        <v>817971.42</v>
      </c>
      <c r="I5432" s="768" t="s">
        <v>1746</v>
      </c>
    </row>
    <row r="5433" spans="1:9" x14ac:dyDescent="0.25">
      <c r="A5433" s="753"/>
      <c r="C5433" s="131" t="s">
        <v>401</v>
      </c>
      <c r="D5433" s="131">
        <v>16</v>
      </c>
      <c r="E5433" s="131" t="s">
        <v>401</v>
      </c>
      <c r="F5433" s="767">
        <v>-976653.2</v>
      </c>
      <c r="G5433" s="767">
        <v>0</v>
      </c>
      <c r="H5433" s="767">
        <v>-976653.2</v>
      </c>
      <c r="I5433" s="768" t="s">
        <v>1748</v>
      </c>
    </row>
    <row r="5434" spans="1:9" x14ac:dyDescent="0.25">
      <c r="A5434" s="753"/>
      <c r="C5434" s="131" t="s">
        <v>1112</v>
      </c>
      <c r="D5434" s="131">
        <v>16</v>
      </c>
      <c r="E5434" s="131" t="s">
        <v>1112</v>
      </c>
      <c r="F5434" s="767">
        <v>912448.95</v>
      </c>
      <c r="G5434" s="767">
        <v>0</v>
      </c>
      <c r="H5434" s="767">
        <v>912448.95</v>
      </c>
      <c r="I5434" s="768" t="s">
        <v>1749</v>
      </c>
    </row>
    <row r="5435" spans="1:9" x14ac:dyDescent="0.25">
      <c r="A5435" s="753"/>
      <c r="C5435" s="131">
        <v>447</v>
      </c>
      <c r="D5435" s="131">
        <v>16</v>
      </c>
      <c r="E5435" s="131">
        <v>447</v>
      </c>
      <c r="F5435" s="767">
        <v>-151506.5</v>
      </c>
      <c r="G5435" s="767">
        <v>0</v>
      </c>
      <c r="H5435" s="767">
        <v>-151506.5</v>
      </c>
      <c r="I5435" s="768" t="s">
        <v>1751</v>
      </c>
    </row>
    <row r="5436" spans="1:9" x14ac:dyDescent="0.25">
      <c r="A5436" s="753"/>
      <c r="C5436" s="131">
        <v>647</v>
      </c>
      <c r="D5436" s="131">
        <v>16</v>
      </c>
      <c r="E5436" s="131">
        <v>647</v>
      </c>
      <c r="F5436" s="767">
        <v>145006.09</v>
      </c>
      <c r="G5436" s="767">
        <v>0</v>
      </c>
      <c r="H5436" s="767">
        <v>145006.09</v>
      </c>
      <c r="I5436" s="768" t="s">
        <v>1752</v>
      </c>
    </row>
    <row r="5437" spans="1:9" x14ac:dyDescent="0.25">
      <c r="A5437" s="753"/>
      <c r="C5437" s="131" t="s">
        <v>106</v>
      </c>
      <c r="D5437" s="131">
        <v>16</v>
      </c>
      <c r="E5437" s="131" t="s">
        <v>106</v>
      </c>
      <c r="F5437" s="767">
        <v>-227426</v>
      </c>
      <c r="G5437" s="767">
        <v>0</v>
      </c>
      <c r="H5437" s="767">
        <v>-227426</v>
      </c>
      <c r="I5437" s="768" t="s">
        <v>1754</v>
      </c>
    </row>
    <row r="5438" spans="1:9" x14ac:dyDescent="0.25">
      <c r="A5438" s="753"/>
      <c r="C5438" s="131" t="s">
        <v>1143</v>
      </c>
      <c r="D5438" s="131">
        <v>16</v>
      </c>
      <c r="E5438" s="131" t="s">
        <v>1143</v>
      </c>
      <c r="F5438" s="767">
        <v>214312.85</v>
      </c>
      <c r="G5438" s="767">
        <v>0</v>
      </c>
      <c r="H5438" s="767">
        <v>214312.85</v>
      </c>
      <c r="I5438" s="768" t="s">
        <v>1755</v>
      </c>
    </row>
    <row r="5439" spans="1:9" x14ac:dyDescent="0.25">
      <c r="A5439" s="753"/>
      <c r="C5439" s="131" t="s">
        <v>405</v>
      </c>
      <c r="D5439" s="131">
        <v>16</v>
      </c>
      <c r="E5439" s="131" t="s">
        <v>405</v>
      </c>
      <c r="F5439" s="767">
        <v>-235967</v>
      </c>
      <c r="G5439" s="767">
        <v>0</v>
      </c>
      <c r="H5439" s="767">
        <v>-235967</v>
      </c>
      <c r="I5439" s="768" t="s">
        <v>1757</v>
      </c>
    </row>
    <row r="5440" spans="1:9" x14ac:dyDescent="0.25">
      <c r="A5440" s="753"/>
      <c r="C5440" s="131" t="s">
        <v>1116</v>
      </c>
      <c r="D5440" s="131">
        <v>16</v>
      </c>
      <c r="E5440" s="131" t="s">
        <v>1116</v>
      </c>
      <c r="F5440" s="767">
        <v>220347.51999999999</v>
      </c>
      <c r="G5440" s="767">
        <v>0</v>
      </c>
      <c r="H5440" s="767">
        <v>220347.51999999999</v>
      </c>
      <c r="I5440" s="768" t="s">
        <v>1758</v>
      </c>
    </row>
    <row r="5441" spans="1:9" x14ac:dyDescent="0.25">
      <c r="A5441" s="753"/>
      <c r="C5441" s="131">
        <v>480</v>
      </c>
      <c r="D5441" s="131">
        <v>16</v>
      </c>
      <c r="E5441" s="131">
        <v>480</v>
      </c>
      <c r="F5441" s="767">
        <v>-273292.68</v>
      </c>
      <c r="G5441" s="767">
        <v>0</v>
      </c>
      <c r="H5441" s="767">
        <v>-273292.68</v>
      </c>
      <c r="I5441" s="768" t="s">
        <v>1760</v>
      </c>
    </row>
    <row r="5442" spans="1:9" x14ac:dyDescent="0.25">
      <c r="A5442" s="753"/>
      <c r="C5442" s="131">
        <v>680</v>
      </c>
      <c r="D5442" s="131">
        <v>16</v>
      </c>
      <c r="E5442" s="131">
        <v>680</v>
      </c>
      <c r="F5442" s="767">
        <v>269709.11</v>
      </c>
      <c r="G5442" s="767">
        <v>0</v>
      </c>
      <c r="H5442" s="767">
        <v>269709.11</v>
      </c>
      <c r="I5442" s="768" t="s">
        <v>1761</v>
      </c>
    </row>
    <row r="5443" spans="1:9" x14ac:dyDescent="0.25">
      <c r="A5443" s="753"/>
      <c r="C5443" s="131" t="s">
        <v>406</v>
      </c>
      <c r="D5443" s="131">
        <v>16</v>
      </c>
      <c r="E5443" s="131" t="s">
        <v>406</v>
      </c>
      <c r="F5443" s="767">
        <v>-309378.09999999998</v>
      </c>
      <c r="G5443" s="767">
        <v>0</v>
      </c>
      <c r="H5443" s="767">
        <v>-309378.09999999998</v>
      </c>
      <c r="I5443" s="768" t="s">
        <v>1764</v>
      </c>
    </row>
    <row r="5444" spans="1:9" x14ac:dyDescent="0.25">
      <c r="A5444" s="753"/>
      <c r="C5444" s="131" t="s">
        <v>1119</v>
      </c>
      <c r="D5444" s="131">
        <v>16</v>
      </c>
      <c r="E5444" s="131" t="s">
        <v>1119</v>
      </c>
      <c r="F5444" s="767">
        <v>291459.78000000003</v>
      </c>
      <c r="G5444" s="767">
        <v>0</v>
      </c>
      <c r="H5444" s="767">
        <v>291459.78000000003</v>
      </c>
      <c r="I5444" s="768" t="s">
        <v>1765</v>
      </c>
    </row>
    <row r="5445" spans="1:9" x14ac:dyDescent="0.25">
      <c r="A5445" s="753"/>
      <c r="C5445" s="131">
        <v>481</v>
      </c>
      <c r="D5445" s="131">
        <v>16</v>
      </c>
      <c r="E5445" s="131">
        <v>481</v>
      </c>
      <c r="F5445" s="767">
        <v>-237027.97</v>
      </c>
      <c r="G5445" s="767">
        <v>0</v>
      </c>
      <c r="H5445" s="767">
        <v>-237027.97</v>
      </c>
      <c r="I5445" s="768" t="s">
        <v>408</v>
      </c>
    </row>
    <row r="5446" spans="1:9" x14ac:dyDescent="0.25">
      <c r="A5446" s="753"/>
      <c r="C5446" s="131">
        <v>681</v>
      </c>
      <c r="D5446" s="131">
        <v>16</v>
      </c>
      <c r="E5446" s="131">
        <v>681</v>
      </c>
      <c r="F5446" s="767">
        <v>233811.43</v>
      </c>
      <c r="G5446" s="767">
        <v>0</v>
      </c>
      <c r="H5446" s="767">
        <v>233811.43</v>
      </c>
      <c r="I5446" s="768" t="s">
        <v>408</v>
      </c>
    </row>
    <row r="5447" spans="1:9" x14ac:dyDescent="0.25">
      <c r="A5447" s="753"/>
      <c r="C5447" s="131" t="s">
        <v>410</v>
      </c>
      <c r="D5447" s="131">
        <v>16</v>
      </c>
      <c r="E5447" s="131" t="s">
        <v>410</v>
      </c>
      <c r="F5447" s="767">
        <v>-246468.25</v>
      </c>
      <c r="G5447" s="767">
        <v>0</v>
      </c>
      <c r="H5447" s="767">
        <v>-246468.25</v>
      </c>
      <c r="I5447" s="768" t="s">
        <v>1767</v>
      </c>
    </row>
    <row r="5448" spans="1:9" x14ac:dyDescent="0.25">
      <c r="A5448" s="753"/>
      <c r="C5448" s="131" t="s">
        <v>1120</v>
      </c>
      <c r="D5448" s="131">
        <v>16</v>
      </c>
      <c r="E5448" s="131" t="s">
        <v>1120</v>
      </c>
      <c r="F5448" s="767">
        <v>235559.82</v>
      </c>
      <c r="G5448" s="767">
        <v>0</v>
      </c>
      <c r="H5448" s="767">
        <v>235559.82</v>
      </c>
      <c r="I5448" s="768" t="s">
        <v>1767</v>
      </c>
    </row>
    <row r="5449" spans="1:9" x14ac:dyDescent="0.25">
      <c r="A5449" s="753"/>
      <c r="C5449" s="131" t="s">
        <v>376</v>
      </c>
      <c r="D5449" s="131">
        <v>16</v>
      </c>
      <c r="E5449" s="131" t="s">
        <v>376</v>
      </c>
      <c r="F5449" s="767">
        <v>-98510.95</v>
      </c>
      <c r="G5449" s="767">
        <v>0</v>
      </c>
      <c r="H5449" s="767">
        <v>-98510.95</v>
      </c>
      <c r="I5449" s="768" t="s">
        <v>2278</v>
      </c>
    </row>
    <row r="5450" spans="1:9" x14ac:dyDescent="0.25">
      <c r="A5450" s="753"/>
      <c r="C5450" s="131" t="s">
        <v>2279</v>
      </c>
      <c r="D5450" s="131">
        <v>16</v>
      </c>
      <c r="E5450" s="131" t="s">
        <v>2279</v>
      </c>
      <c r="F5450" s="767">
        <v>97615</v>
      </c>
      <c r="G5450" s="767">
        <v>0</v>
      </c>
      <c r="H5450" s="767">
        <v>97615</v>
      </c>
      <c r="I5450" s="768" t="s">
        <v>2280</v>
      </c>
    </row>
    <row r="5451" spans="1:9" x14ac:dyDescent="0.25">
      <c r="A5451" s="753"/>
      <c r="C5451" s="131" t="s">
        <v>378</v>
      </c>
      <c r="D5451" s="131">
        <v>16</v>
      </c>
      <c r="E5451" s="131" t="s">
        <v>378</v>
      </c>
      <c r="F5451" s="767">
        <v>-323316.75</v>
      </c>
      <c r="G5451" s="767">
        <v>0</v>
      </c>
      <c r="H5451" s="767">
        <v>-323316.75</v>
      </c>
      <c r="I5451" s="768" t="s">
        <v>1769</v>
      </c>
    </row>
    <row r="5452" spans="1:9" x14ac:dyDescent="0.25">
      <c r="A5452" s="753"/>
      <c r="C5452" s="131" t="s">
        <v>1121</v>
      </c>
      <c r="D5452" s="131">
        <v>16</v>
      </c>
      <c r="E5452" s="131" t="s">
        <v>1121</v>
      </c>
      <c r="F5452" s="767">
        <v>316233.65000000002</v>
      </c>
      <c r="G5452" s="767">
        <v>0</v>
      </c>
      <c r="H5452" s="767">
        <v>316233.65000000002</v>
      </c>
      <c r="I5452" s="768" t="s">
        <v>1770</v>
      </c>
    </row>
    <row r="5453" spans="1:9" x14ac:dyDescent="0.25">
      <c r="A5453" s="753"/>
      <c r="C5453" s="131">
        <v>418</v>
      </c>
      <c r="D5453" s="131">
        <v>16</v>
      </c>
      <c r="E5453" s="131">
        <v>418</v>
      </c>
      <c r="F5453" s="767">
        <v>-1440981.45</v>
      </c>
      <c r="G5453" s="767">
        <v>0</v>
      </c>
      <c r="H5453" s="767">
        <v>-1440981.45</v>
      </c>
      <c r="I5453" s="768" t="s">
        <v>1773</v>
      </c>
    </row>
    <row r="5454" spans="1:9" x14ac:dyDescent="0.25">
      <c r="A5454" s="753"/>
      <c r="C5454" s="131">
        <v>418</v>
      </c>
      <c r="D5454" s="131">
        <v>16</v>
      </c>
      <c r="E5454" s="131" t="s">
        <v>144</v>
      </c>
      <c r="F5454" s="767">
        <v>-927552.69</v>
      </c>
      <c r="G5454" s="767">
        <v>0</v>
      </c>
      <c r="H5454" s="767">
        <v>-927552.69</v>
      </c>
      <c r="I5454" s="768" t="s">
        <v>1774</v>
      </c>
    </row>
    <row r="5455" spans="1:9" x14ac:dyDescent="0.25">
      <c r="A5455" s="753"/>
      <c r="C5455" s="131">
        <v>618</v>
      </c>
      <c r="D5455" s="131">
        <v>16</v>
      </c>
      <c r="E5455" s="131">
        <v>618</v>
      </c>
      <c r="F5455" s="767">
        <v>1398430.52</v>
      </c>
      <c r="G5455" s="767">
        <v>0</v>
      </c>
      <c r="H5455" s="767">
        <v>1398430.52</v>
      </c>
      <c r="I5455" s="768" t="s">
        <v>1775</v>
      </c>
    </row>
    <row r="5456" spans="1:9" x14ac:dyDescent="0.25">
      <c r="A5456" s="753"/>
      <c r="C5456" s="131">
        <v>618</v>
      </c>
      <c r="D5456" s="131">
        <v>16</v>
      </c>
      <c r="E5456" s="131" t="s">
        <v>1056</v>
      </c>
      <c r="F5456" s="767">
        <v>905230.46</v>
      </c>
      <c r="G5456" s="767">
        <v>0</v>
      </c>
      <c r="H5456" s="767">
        <v>905230.46</v>
      </c>
      <c r="I5456" s="768" t="s">
        <v>1776</v>
      </c>
    </row>
    <row r="5457" spans="1:9" x14ac:dyDescent="0.25">
      <c r="A5457" s="753"/>
      <c r="C5457" s="131">
        <v>419</v>
      </c>
      <c r="D5457" s="131">
        <v>16</v>
      </c>
      <c r="E5457" s="131">
        <v>419</v>
      </c>
      <c r="F5457" s="767">
        <v>-253973.5</v>
      </c>
      <c r="G5457" s="767">
        <v>-71375.3</v>
      </c>
      <c r="H5457" s="767">
        <v>-325348.8</v>
      </c>
      <c r="I5457" s="768" t="s">
        <v>1778</v>
      </c>
    </row>
    <row r="5458" spans="1:9" x14ac:dyDescent="0.25">
      <c r="A5458" s="753"/>
      <c r="C5458" s="131">
        <v>619</v>
      </c>
      <c r="D5458" s="131">
        <v>16</v>
      </c>
      <c r="E5458" s="131">
        <v>619</v>
      </c>
      <c r="F5458" s="767">
        <v>241009.33</v>
      </c>
      <c r="G5458" s="767">
        <v>70959.12</v>
      </c>
      <c r="H5458" s="767">
        <v>311968.45</v>
      </c>
      <c r="I5458" s="768" t="s">
        <v>1779</v>
      </c>
    </row>
    <row r="5459" spans="1:9" x14ac:dyDescent="0.25">
      <c r="A5459" s="753"/>
      <c r="C5459" s="131" t="s">
        <v>226</v>
      </c>
      <c r="D5459" s="131">
        <v>16</v>
      </c>
      <c r="E5459" s="131" t="s">
        <v>226</v>
      </c>
      <c r="F5459" s="767">
        <v>-324517</v>
      </c>
      <c r="G5459" s="767">
        <v>-35867.599999999999</v>
      </c>
      <c r="H5459" s="767">
        <v>-360384.6</v>
      </c>
      <c r="I5459" s="768" t="s">
        <v>1780</v>
      </c>
    </row>
    <row r="5460" spans="1:9" x14ac:dyDescent="0.25">
      <c r="A5460" s="753">
        <v>604318</v>
      </c>
      <c r="B5460" s="130">
        <v>6187</v>
      </c>
      <c r="E5460" s="131"/>
    </row>
    <row r="5461" spans="1:9" x14ac:dyDescent="0.25">
      <c r="A5461" s="753">
        <v>604322</v>
      </c>
      <c r="B5461" s="130">
        <v>208</v>
      </c>
      <c r="E5461" s="131"/>
    </row>
    <row r="5462" spans="1:9" x14ac:dyDescent="0.25">
      <c r="A5462" s="753">
        <v>604324</v>
      </c>
      <c r="B5462" s="130">
        <v>17563936</v>
      </c>
      <c r="E5462" s="131"/>
    </row>
    <row r="5463" spans="1:9" x14ac:dyDescent="0.25">
      <c r="A5463" s="753">
        <v>604326</v>
      </c>
      <c r="B5463" s="130">
        <v>1267117</v>
      </c>
      <c r="C5463" s="131">
        <v>416</v>
      </c>
      <c r="D5463" s="131">
        <v>16</v>
      </c>
      <c r="E5463" s="131">
        <v>416</v>
      </c>
      <c r="F5463" s="767">
        <v>-1003631.7</v>
      </c>
      <c r="G5463" s="767">
        <v>-238444</v>
      </c>
      <c r="H5463" s="767">
        <v>-1242075.7</v>
      </c>
      <c r="I5463" s="768" t="s">
        <v>1720</v>
      </c>
    </row>
    <row r="5464" spans="1:9" x14ac:dyDescent="0.25">
      <c r="A5464" s="753"/>
      <c r="C5464" s="131">
        <v>616</v>
      </c>
      <c r="D5464" s="131">
        <v>16</v>
      </c>
      <c r="E5464" s="131">
        <v>616</v>
      </c>
      <c r="F5464" s="767">
        <v>941860.05</v>
      </c>
      <c r="G5464" s="767">
        <v>224614.34</v>
      </c>
      <c r="H5464" s="767">
        <v>1166474.3899999999</v>
      </c>
      <c r="I5464" s="768" t="s">
        <v>1721</v>
      </c>
    </row>
    <row r="5465" spans="1:9" x14ac:dyDescent="0.25">
      <c r="A5465" s="753"/>
      <c r="C5465" s="131" t="s">
        <v>400</v>
      </c>
      <c r="D5465" s="131">
        <v>16</v>
      </c>
      <c r="E5465" s="131" t="s">
        <v>400</v>
      </c>
      <c r="F5465" s="767">
        <v>-139749.68</v>
      </c>
      <c r="G5465" s="767">
        <v>-74470.399999999994</v>
      </c>
      <c r="H5465" s="767">
        <v>-214220.08</v>
      </c>
      <c r="I5465" s="768" t="s">
        <v>1723</v>
      </c>
    </row>
    <row r="5466" spans="1:9" x14ac:dyDescent="0.25">
      <c r="A5466" s="753"/>
      <c r="C5466" s="131" t="s">
        <v>1100</v>
      </c>
      <c r="D5466" s="131">
        <v>16</v>
      </c>
      <c r="E5466" s="131" t="s">
        <v>1100</v>
      </c>
      <c r="F5466" s="767">
        <v>131422.87</v>
      </c>
      <c r="G5466" s="767">
        <v>69814.75</v>
      </c>
      <c r="H5466" s="767">
        <v>201237.62</v>
      </c>
      <c r="I5466" s="768" t="s">
        <v>1724</v>
      </c>
    </row>
    <row r="5467" spans="1:9" x14ac:dyDescent="0.25">
      <c r="A5467" s="753"/>
      <c r="C5467" s="131" t="s">
        <v>104</v>
      </c>
      <c r="D5467" s="131">
        <v>16</v>
      </c>
      <c r="E5467" s="131" t="s">
        <v>104</v>
      </c>
      <c r="F5467" s="767">
        <v>-1584890.7</v>
      </c>
      <c r="G5467" s="767">
        <v>0</v>
      </c>
      <c r="H5467" s="767">
        <v>-1584890.7</v>
      </c>
      <c r="I5467" s="768" t="s">
        <v>1728</v>
      </c>
    </row>
    <row r="5468" spans="1:9" x14ac:dyDescent="0.25">
      <c r="A5468" s="753"/>
      <c r="C5468" s="131" t="s">
        <v>1106</v>
      </c>
      <c r="D5468" s="131">
        <v>16</v>
      </c>
      <c r="E5468" s="131" t="s">
        <v>1106</v>
      </c>
      <c r="F5468" s="767">
        <v>1486270.54</v>
      </c>
      <c r="G5468" s="767">
        <v>0</v>
      </c>
      <c r="H5468" s="767">
        <v>1486270.54</v>
      </c>
      <c r="I5468" s="768" t="s">
        <v>1729</v>
      </c>
    </row>
    <row r="5469" spans="1:9" x14ac:dyDescent="0.25">
      <c r="A5469" s="753"/>
      <c r="C5469" s="131" t="s">
        <v>282</v>
      </c>
      <c r="D5469" s="131">
        <v>16</v>
      </c>
      <c r="E5469" s="131" t="s">
        <v>282</v>
      </c>
      <c r="F5469" s="767">
        <v>-355284</v>
      </c>
      <c r="G5469" s="767">
        <v>0</v>
      </c>
      <c r="H5469" s="767">
        <v>-355284</v>
      </c>
      <c r="I5469" s="768" t="s">
        <v>1731</v>
      </c>
    </row>
    <row r="5470" spans="1:9" x14ac:dyDescent="0.25">
      <c r="A5470" s="753"/>
      <c r="C5470" s="131" t="s">
        <v>1107</v>
      </c>
      <c r="D5470" s="131">
        <v>16</v>
      </c>
      <c r="E5470" s="131" t="s">
        <v>1107</v>
      </c>
      <c r="F5470" s="767">
        <v>333495.65000000002</v>
      </c>
      <c r="G5470" s="767">
        <v>0</v>
      </c>
      <c r="H5470" s="767">
        <v>333495.65000000002</v>
      </c>
      <c r="I5470" s="768" t="s">
        <v>1732</v>
      </c>
    </row>
    <row r="5471" spans="1:9" x14ac:dyDescent="0.25">
      <c r="A5471" s="753"/>
      <c r="C5471" s="131" t="s">
        <v>340</v>
      </c>
      <c r="D5471" s="131">
        <v>16</v>
      </c>
      <c r="E5471" s="131" t="s">
        <v>340</v>
      </c>
      <c r="F5471" s="767">
        <v>-482797.12</v>
      </c>
      <c r="G5471" s="767">
        <v>-236789.98</v>
      </c>
      <c r="H5471" s="767">
        <v>-719587.1</v>
      </c>
      <c r="I5471" s="768" t="s">
        <v>1734</v>
      </c>
    </row>
    <row r="5472" spans="1:9" x14ac:dyDescent="0.25">
      <c r="A5472" s="753"/>
      <c r="C5472" s="131" t="s">
        <v>1108</v>
      </c>
      <c r="D5472" s="131">
        <v>16</v>
      </c>
      <c r="E5472" s="131" t="s">
        <v>1108</v>
      </c>
      <c r="F5472" s="767">
        <v>453323.44</v>
      </c>
      <c r="G5472" s="767">
        <v>217365.05</v>
      </c>
      <c r="H5472" s="767">
        <v>670688.49</v>
      </c>
      <c r="I5472" s="768" t="s">
        <v>1735</v>
      </c>
    </row>
    <row r="5473" spans="1:9" x14ac:dyDescent="0.25">
      <c r="A5473" s="753"/>
      <c r="C5473" s="131" t="s">
        <v>301</v>
      </c>
      <c r="D5473" s="131">
        <v>16</v>
      </c>
      <c r="E5473" s="131" t="s">
        <v>301</v>
      </c>
      <c r="F5473" s="767">
        <v>-109302.93</v>
      </c>
      <c r="G5473" s="767">
        <v>0</v>
      </c>
      <c r="H5473" s="767">
        <v>-109302.93</v>
      </c>
      <c r="I5473" s="768" t="s">
        <v>2272</v>
      </c>
    </row>
    <row r="5474" spans="1:9" x14ac:dyDescent="0.25">
      <c r="A5474" s="753"/>
      <c r="C5474" s="131" t="s">
        <v>2273</v>
      </c>
      <c r="D5474" s="131">
        <v>16</v>
      </c>
      <c r="E5474" s="131" t="s">
        <v>2273</v>
      </c>
      <c r="F5474" s="767">
        <v>109633.12</v>
      </c>
      <c r="G5474" s="767">
        <v>0</v>
      </c>
      <c r="H5474" s="767">
        <v>109633.12</v>
      </c>
      <c r="I5474" s="768" t="s">
        <v>2274</v>
      </c>
    </row>
    <row r="5475" spans="1:9" x14ac:dyDescent="0.25">
      <c r="A5475" s="753"/>
      <c r="C5475" s="131" t="s">
        <v>237</v>
      </c>
      <c r="D5475" s="131">
        <v>16</v>
      </c>
      <c r="E5475" s="131" t="s">
        <v>237</v>
      </c>
      <c r="F5475" s="767">
        <v>-222837.66</v>
      </c>
      <c r="G5475" s="767">
        <v>0</v>
      </c>
      <c r="H5475" s="767">
        <v>-222837.66</v>
      </c>
      <c r="I5475" s="768" t="s">
        <v>1737</v>
      </c>
    </row>
    <row r="5476" spans="1:9" x14ac:dyDescent="0.25">
      <c r="A5476" s="753"/>
      <c r="C5476" s="131" t="s">
        <v>1094</v>
      </c>
      <c r="D5476" s="131">
        <v>16</v>
      </c>
      <c r="E5476" s="131" t="s">
        <v>1094</v>
      </c>
      <c r="F5476" s="767">
        <v>208571.21</v>
      </c>
      <c r="G5476" s="767">
        <v>0</v>
      </c>
      <c r="H5476" s="767">
        <v>208571.21</v>
      </c>
      <c r="I5476" s="768" t="s">
        <v>1738</v>
      </c>
    </row>
    <row r="5477" spans="1:9" x14ac:dyDescent="0.25">
      <c r="A5477" s="753"/>
      <c r="C5477" s="131" t="s">
        <v>258</v>
      </c>
      <c r="D5477" s="131">
        <v>16</v>
      </c>
      <c r="E5477" s="131" t="s">
        <v>258</v>
      </c>
      <c r="F5477" s="767">
        <v>-180770</v>
      </c>
      <c r="G5477" s="767">
        <v>0</v>
      </c>
      <c r="H5477" s="767">
        <v>-180770</v>
      </c>
      <c r="I5477" s="768" t="s">
        <v>1741</v>
      </c>
    </row>
    <row r="5478" spans="1:9" x14ac:dyDescent="0.25">
      <c r="A5478" s="753"/>
      <c r="C5478" s="131" t="s">
        <v>1742</v>
      </c>
      <c r="D5478" s="131">
        <v>16</v>
      </c>
      <c r="E5478" s="131" t="s">
        <v>1742</v>
      </c>
      <c r="F5478" s="767">
        <v>168281.09</v>
      </c>
      <c r="G5478" s="767">
        <v>0</v>
      </c>
      <c r="H5478" s="767">
        <v>168281.09</v>
      </c>
      <c r="I5478" s="768" t="s">
        <v>1743</v>
      </c>
    </row>
    <row r="5479" spans="1:9" x14ac:dyDescent="0.25">
      <c r="A5479" s="753"/>
      <c r="C5479" s="131" t="s">
        <v>105</v>
      </c>
      <c r="D5479" s="131">
        <v>16</v>
      </c>
      <c r="E5479" s="131" t="s">
        <v>105</v>
      </c>
      <c r="F5479" s="767">
        <v>-751239.23</v>
      </c>
      <c r="G5479" s="767">
        <v>-106773.5</v>
      </c>
      <c r="H5479" s="767">
        <v>-858012.73</v>
      </c>
      <c r="I5479" s="768" t="s">
        <v>1745</v>
      </c>
    </row>
    <row r="5480" spans="1:9" x14ac:dyDescent="0.25">
      <c r="A5480" s="753"/>
      <c r="C5480" s="131" t="s">
        <v>1110</v>
      </c>
      <c r="D5480" s="131">
        <v>16</v>
      </c>
      <c r="E5480" s="131" t="s">
        <v>1110</v>
      </c>
      <c r="F5480" s="767">
        <v>714996.42</v>
      </c>
      <c r="G5480" s="767">
        <v>102975</v>
      </c>
      <c r="H5480" s="767">
        <v>817971.42</v>
      </c>
      <c r="I5480" s="768" t="s">
        <v>1746</v>
      </c>
    </row>
    <row r="5481" spans="1:9" x14ac:dyDescent="0.25">
      <c r="A5481" s="753"/>
      <c r="C5481" s="131" t="s">
        <v>401</v>
      </c>
      <c r="D5481" s="131">
        <v>16</v>
      </c>
      <c r="E5481" s="131" t="s">
        <v>401</v>
      </c>
      <c r="F5481" s="767">
        <v>-976653.2</v>
      </c>
      <c r="G5481" s="767">
        <v>0</v>
      </c>
      <c r="H5481" s="767">
        <v>-976653.2</v>
      </c>
      <c r="I5481" s="768" t="s">
        <v>1748</v>
      </c>
    </row>
    <row r="5482" spans="1:9" x14ac:dyDescent="0.25">
      <c r="A5482" s="753"/>
      <c r="C5482" s="131" t="s">
        <v>1112</v>
      </c>
      <c r="D5482" s="131">
        <v>16</v>
      </c>
      <c r="E5482" s="131" t="s">
        <v>1112</v>
      </c>
      <c r="F5482" s="767">
        <v>912448.95</v>
      </c>
      <c r="G5482" s="767">
        <v>0</v>
      </c>
      <c r="H5482" s="767">
        <v>912448.95</v>
      </c>
      <c r="I5482" s="768" t="s">
        <v>1749</v>
      </c>
    </row>
    <row r="5483" spans="1:9" x14ac:dyDescent="0.25">
      <c r="A5483" s="753"/>
      <c r="C5483" s="131">
        <v>447</v>
      </c>
      <c r="D5483" s="131">
        <v>16</v>
      </c>
      <c r="E5483" s="131">
        <v>447</v>
      </c>
      <c r="F5483" s="767">
        <v>-151506.5</v>
      </c>
      <c r="G5483" s="767">
        <v>0</v>
      </c>
      <c r="H5483" s="767">
        <v>-151506.5</v>
      </c>
      <c r="I5483" s="768" t="s">
        <v>1751</v>
      </c>
    </row>
    <row r="5484" spans="1:9" x14ac:dyDescent="0.25">
      <c r="A5484" s="753"/>
      <c r="C5484" s="131">
        <v>647</v>
      </c>
      <c r="D5484" s="131">
        <v>16</v>
      </c>
      <c r="E5484" s="131">
        <v>647</v>
      </c>
      <c r="F5484" s="767">
        <v>145006.09</v>
      </c>
      <c r="G5484" s="767">
        <v>0</v>
      </c>
      <c r="H5484" s="767">
        <v>145006.09</v>
      </c>
      <c r="I5484" s="768" t="s">
        <v>1752</v>
      </c>
    </row>
    <row r="5485" spans="1:9" x14ac:dyDescent="0.25">
      <c r="A5485" s="753"/>
      <c r="C5485" s="131" t="s">
        <v>106</v>
      </c>
      <c r="D5485" s="131">
        <v>16</v>
      </c>
      <c r="E5485" s="131" t="s">
        <v>106</v>
      </c>
      <c r="F5485" s="767">
        <v>-227426</v>
      </c>
      <c r="G5485" s="767">
        <v>0</v>
      </c>
      <c r="H5485" s="767">
        <v>-227426</v>
      </c>
      <c r="I5485" s="768" t="s">
        <v>1754</v>
      </c>
    </row>
    <row r="5486" spans="1:9" x14ac:dyDescent="0.25">
      <c r="A5486" s="753"/>
      <c r="C5486" s="131" t="s">
        <v>1143</v>
      </c>
      <c r="D5486" s="131">
        <v>16</v>
      </c>
      <c r="E5486" s="131" t="s">
        <v>1143</v>
      </c>
      <c r="F5486" s="767">
        <v>214312.85</v>
      </c>
      <c r="G5486" s="767">
        <v>0</v>
      </c>
      <c r="H5486" s="767">
        <v>214312.85</v>
      </c>
      <c r="I5486" s="768" t="s">
        <v>1755</v>
      </c>
    </row>
    <row r="5487" spans="1:9" x14ac:dyDescent="0.25">
      <c r="A5487" s="753"/>
      <c r="C5487" s="131" t="s">
        <v>405</v>
      </c>
      <c r="D5487" s="131">
        <v>16</v>
      </c>
      <c r="E5487" s="131" t="s">
        <v>405</v>
      </c>
      <c r="F5487" s="767">
        <v>-235967</v>
      </c>
      <c r="G5487" s="767">
        <v>0</v>
      </c>
      <c r="H5487" s="767">
        <v>-235967</v>
      </c>
      <c r="I5487" s="768" t="s">
        <v>1757</v>
      </c>
    </row>
    <row r="5488" spans="1:9" x14ac:dyDescent="0.25">
      <c r="A5488" s="753"/>
      <c r="C5488" s="131" t="s">
        <v>1116</v>
      </c>
      <c r="D5488" s="131">
        <v>16</v>
      </c>
      <c r="E5488" s="131" t="s">
        <v>1116</v>
      </c>
      <c r="F5488" s="767">
        <v>220347.51999999999</v>
      </c>
      <c r="G5488" s="767">
        <v>0</v>
      </c>
      <c r="H5488" s="767">
        <v>220347.51999999999</v>
      </c>
      <c r="I5488" s="768" t="s">
        <v>1758</v>
      </c>
    </row>
    <row r="5489" spans="1:9" x14ac:dyDescent="0.25">
      <c r="A5489" s="753"/>
      <c r="C5489" s="131">
        <v>480</v>
      </c>
      <c r="D5489" s="131">
        <v>16</v>
      </c>
      <c r="E5489" s="131">
        <v>480</v>
      </c>
      <c r="F5489" s="767">
        <v>-273292.68</v>
      </c>
      <c r="G5489" s="767">
        <v>0</v>
      </c>
      <c r="H5489" s="767">
        <v>-273292.68</v>
      </c>
      <c r="I5489" s="768" t="s">
        <v>1760</v>
      </c>
    </row>
    <row r="5490" spans="1:9" x14ac:dyDescent="0.25">
      <c r="A5490" s="753"/>
      <c r="C5490" s="131">
        <v>680</v>
      </c>
      <c r="D5490" s="131">
        <v>16</v>
      </c>
      <c r="E5490" s="131">
        <v>680</v>
      </c>
      <c r="F5490" s="767">
        <v>269709.11</v>
      </c>
      <c r="G5490" s="767">
        <v>0</v>
      </c>
      <c r="H5490" s="767">
        <v>269709.11</v>
      </c>
      <c r="I5490" s="768" t="s">
        <v>1761</v>
      </c>
    </row>
    <row r="5491" spans="1:9" x14ac:dyDescent="0.25">
      <c r="A5491" s="753"/>
      <c r="C5491" s="131" t="s">
        <v>406</v>
      </c>
      <c r="D5491" s="131">
        <v>16</v>
      </c>
      <c r="E5491" s="131" t="s">
        <v>406</v>
      </c>
      <c r="F5491" s="767">
        <v>-309378.09999999998</v>
      </c>
      <c r="G5491" s="767">
        <v>0</v>
      </c>
      <c r="H5491" s="767">
        <v>-309378.09999999998</v>
      </c>
      <c r="I5491" s="768" t="s">
        <v>1764</v>
      </c>
    </row>
    <row r="5492" spans="1:9" x14ac:dyDescent="0.25">
      <c r="A5492" s="753"/>
      <c r="C5492" s="131" t="s">
        <v>1119</v>
      </c>
      <c r="D5492" s="131">
        <v>16</v>
      </c>
      <c r="E5492" s="131" t="s">
        <v>1119</v>
      </c>
      <c r="F5492" s="767">
        <v>291459.78000000003</v>
      </c>
      <c r="G5492" s="767">
        <v>0</v>
      </c>
      <c r="H5492" s="767">
        <v>291459.78000000003</v>
      </c>
      <c r="I5492" s="768" t="s">
        <v>1765</v>
      </c>
    </row>
    <row r="5493" spans="1:9" x14ac:dyDescent="0.25">
      <c r="A5493" s="753"/>
      <c r="C5493" s="131">
        <v>481</v>
      </c>
      <c r="D5493" s="131">
        <v>16</v>
      </c>
      <c r="E5493" s="131">
        <v>481</v>
      </c>
      <c r="F5493" s="767">
        <v>-237027.97</v>
      </c>
      <c r="G5493" s="767">
        <v>0</v>
      </c>
      <c r="H5493" s="767">
        <v>-237027.97</v>
      </c>
      <c r="I5493" s="768" t="s">
        <v>408</v>
      </c>
    </row>
    <row r="5494" spans="1:9" x14ac:dyDescent="0.25">
      <c r="A5494" s="753"/>
      <c r="C5494" s="131">
        <v>681</v>
      </c>
      <c r="D5494" s="131">
        <v>16</v>
      </c>
      <c r="E5494" s="131">
        <v>681</v>
      </c>
      <c r="F5494" s="767">
        <v>233811.43</v>
      </c>
      <c r="G5494" s="767">
        <v>0</v>
      </c>
      <c r="H5494" s="767">
        <v>233811.43</v>
      </c>
      <c r="I5494" s="768" t="s">
        <v>408</v>
      </c>
    </row>
    <row r="5495" spans="1:9" x14ac:dyDescent="0.25">
      <c r="A5495" s="753"/>
      <c r="C5495" s="131" t="s">
        <v>410</v>
      </c>
      <c r="D5495" s="131">
        <v>16</v>
      </c>
      <c r="E5495" s="131" t="s">
        <v>410</v>
      </c>
      <c r="F5495" s="767">
        <v>-246468.25</v>
      </c>
      <c r="G5495" s="767">
        <v>0</v>
      </c>
      <c r="H5495" s="767">
        <v>-246468.25</v>
      </c>
      <c r="I5495" s="768" t="s">
        <v>1767</v>
      </c>
    </row>
    <row r="5496" spans="1:9" x14ac:dyDescent="0.25">
      <c r="A5496" s="753"/>
      <c r="C5496" s="131" t="s">
        <v>1120</v>
      </c>
      <c r="D5496" s="131">
        <v>16</v>
      </c>
      <c r="E5496" s="131" t="s">
        <v>1120</v>
      </c>
      <c r="F5496" s="767">
        <v>235559.82</v>
      </c>
      <c r="G5496" s="767">
        <v>0</v>
      </c>
      <c r="H5496" s="767">
        <v>235559.82</v>
      </c>
      <c r="I5496" s="768" t="s">
        <v>1767</v>
      </c>
    </row>
    <row r="5497" spans="1:9" x14ac:dyDescent="0.25">
      <c r="A5497" s="753"/>
      <c r="C5497" s="131" t="s">
        <v>376</v>
      </c>
      <c r="D5497" s="131">
        <v>16</v>
      </c>
      <c r="E5497" s="131" t="s">
        <v>376</v>
      </c>
      <c r="F5497" s="767">
        <v>-98510.95</v>
      </c>
      <c r="G5497" s="767">
        <v>0</v>
      </c>
      <c r="H5497" s="767">
        <v>-98510.95</v>
      </c>
      <c r="I5497" s="768" t="s">
        <v>2278</v>
      </c>
    </row>
    <row r="5498" spans="1:9" x14ac:dyDescent="0.25">
      <c r="A5498" s="753"/>
      <c r="C5498" s="131" t="s">
        <v>2279</v>
      </c>
      <c r="D5498" s="131">
        <v>16</v>
      </c>
      <c r="E5498" s="131" t="s">
        <v>2279</v>
      </c>
      <c r="F5498" s="767">
        <v>97615</v>
      </c>
      <c r="G5498" s="767">
        <v>0</v>
      </c>
      <c r="H5498" s="767">
        <v>97615</v>
      </c>
      <c r="I5498" s="768" t="s">
        <v>2280</v>
      </c>
    </row>
    <row r="5499" spans="1:9" x14ac:dyDescent="0.25">
      <c r="A5499" s="753"/>
      <c r="C5499" s="131" t="s">
        <v>378</v>
      </c>
      <c r="D5499" s="131">
        <v>16</v>
      </c>
      <c r="E5499" s="131" t="s">
        <v>378</v>
      </c>
      <c r="F5499" s="767">
        <v>-323316.75</v>
      </c>
      <c r="G5499" s="767">
        <v>0</v>
      </c>
      <c r="H5499" s="767">
        <v>-323316.75</v>
      </c>
      <c r="I5499" s="768" t="s">
        <v>1769</v>
      </c>
    </row>
    <row r="5500" spans="1:9" x14ac:dyDescent="0.25">
      <c r="A5500" s="753"/>
      <c r="C5500" s="131" t="s">
        <v>1121</v>
      </c>
      <c r="D5500" s="131">
        <v>16</v>
      </c>
      <c r="E5500" s="131" t="s">
        <v>1121</v>
      </c>
      <c r="F5500" s="767">
        <v>316233.65000000002</v>
      </c>
      <c r="G5500" s="767">
        <v>0</v>
      </c>
      <c r="H5500" s="767">
        <v>316233.65000000002</v>
      </c>
      <c r="I5500" s="768" t="s">
        <v>1770</v>
      </c>
    </row>
    <row r="5501" spans="1:9" x14ac:dyDescent="0.25">
      <c r="A5501" s="753"/>
      <c r="C5501" s="131" t="s">
        <v>233</v>
      </c>
      <c r="D5501" s="131">
        <v>16</v>
      </c>
      <c r="E5501" s="131" t="s">
        <v>233</v>
      </c>
      <c r="F5501" s="767">
        <v>-49508.31</v>
      </c>
      <c r="G5501" s="767">
        <v>0</v>
      </c>
      <c r="H5501" s="767">
        <v>-49508.31</v>
      </c>
      <c r="I5501" s="768" t="s">
        <v>1824</v>
      </c>
    </row>
    <row r="5502" spans="1:9" x14ac:dyDescent="0.25">
      <c r="A5502" s="753"/>
      <c r="C5502" s="131" t="s">
        <v>1135</v>
      </c>
      <c r="D5502" s="131">
        <v>16</v>
      </c>
      <c r="E5502" s="131" t="s">
        <v>1135</v>
      </c>
      <c r="F5502" s="767">
        <v>44968.42</v>
      </c>
      <c r="G5502" s="767">
        <v>0</v>
      </c>
      <c r="H5502" s="767">
        <v>44968.42</v>
      </c>
      <c r="I5502" s="768" t="s">
        <v>1825</v>
      </c>
    </row>
    <row r="5503" spans="1:9" x14ac:dyDescent="0.25">
      <c r="A5503" s="753"/>
      <c r="C5503" s="131" t="s">
        <v>234</v>
      </c>
      <c r="D5503" s="131">
        <v>16</v>
      </c>
      <c r="E5503" s="131" t="s">
        <v>234</v>
      </c>
      <c r="F5503" s="767">
        <v>-66243.350000000006</v>
      </c>
      <c r="G5503" s="767">
        <v>0</v>
      </c>
      <c r="H5503" s="767">
        <v>-66243.350000000006</v>
      </c>
      <c r="I5503" s="768" t="s">
        <v>1827</v>
      </c>
    </row>
    <row r="5504" spans="1:9" x14ac:dyDescent="0.25">
      <c r="A5504" s="753"/>
      <c r="C5504" s="131" t="s">
        <v>1138</v>
      </c>
      <c r="D5504" s="131">
        <v>16</v>
      </c>
      <c r="E5504" s="131" t="s">
        <v>1138</v>
      </c>
      <c r="F5504" s="767">
        <v>64976.959999999999</v>
      </c>
      <c r="G5504" s="767">
        <v>0</v>
      </c>
      <c r="H5504" s="767">
        <v>64976.959999999999</v>
      </c>
      <c r="I5504" s="768" t="s">
        <v>1828</v>
      </c>
    </row>
    <row r="5505" spans="1:9" x14ac:dyDescent="0.25">
      <c r="A5505" s="753"/>
      <c r="C5505" s="131" t="s">
        <v>385</v>
      </c>
      <c r="D5505" s="131">
        <v>16</v>
      </c>
      <c r="E5505" s="131" t="s">
        <v>385</v>
      </c>
      <c r="F5505" s="767">
        <v>-88209.5</v>
      </c>
      <c r="G5505" s="767">
        <v>0</v>
      </c>
      <c r="H5505" s="767">
        <v>-88209.5</v>
      </c>
      <c r="I5505" s="768" t="s">
        <v>2283</v>
      </c>
    </row>
    <row r="5506" spans="1:9" x14ac:dyDescent="0.25">
      <c r="A5506" s="753"/>
      <c r="C5506" s="131" t="s">
        <v>1136</v>
      </c>
      <c r="D5506" s="131">
        <v>16</v>
      </c>
      <c r="E5506" s="131" t="s">
        <v>1136</v>
      </c>
      <c r="F5506" s="767">
        <v>84914.34</v>
      </c>
      <c r="G5506" s="767">
        <v>0</v>
      </c>
      <c r="H5506" s="767">
        <v>84914.34</v>
      </c>
      <c r="I5506" s="768" t="s">
        <v>1829</v>
      </c>
    </row>
    <row r="5507" spans="1:9" x14ac:dyDescent="0.25">
      <c r="A5507" s="753"/>
      <c r="C5507" s="131" t="s">
        <v>100</v>
      </c>
      <c r="D5507" s="131">
        <v>16</v>
      </c>
      <c r="E5507" s="131" t="s">
        <v>100</v>
      </c>
      <c r="F5507" s="767">
        <v>-63527.8</v>
      </c>
      <c r="G5507" s="767">
        <v>0</v>
      </c>
      <c r="H5507" s="767">
        <v>-63527.8</v>
      </c>
      <c r="I5507" s="768" t="s">
        <v>1831</v>
      </c>
    </row>
    <row r="5508" spans="1:9" x14ac:dyDescent="0.25">
      <c r="A5508" s="753"/>
      <c r="C5508" s="131" t="s">
        <v>1142</v>
      </c>
      <c r="D5508" s="131">
        <v>16</v>
      </c>
      <c r="E5508" s="131" t="s">
        <v>1142</v>
      </c>
      <c r="F5508" s="767">
        <v>62923.61</v>
      </c>
      <c r="G5508" s="767">
        <v>0</v>
      </c>
      <c r="H5508" s="767">
        <v>62923.61</v>
      </c>
      <c r="I5508" s="768" t="s">
        <v>1832</v>
      </c>
    </row>
    <row r="5509" spans="1:9" x14ac:dyDescent="0.25">
      <c r="A5509" s="753"/>
      <c r="C5509" s="131" t="s">
        <v>255</v>
      </c>
      <c r="D5509" s="131">
        <v>16</v>
      </c>
      <c r="E5509" s="131" t="s">
        <v>255</v>
      </c>
      <c r="F5509" s="767">
        <v>-295643.12</v>
      </c>
      <c r="G5509" s="767">
        <v>0</v>
      </c>
      <c r="H5509" s="767">
        <v>-295643.12</v>
      </c>
      <c r="I5509" s="768" t="s">
        <v>1833</v>
      </c>
    </row>
    <row r="5510" spans="1:9" x14ac:dyDescent="0.25">
      <c r="A5510" s="753"/>
      <c r="C5510" s="131" t="s">
        <v>1145</v>
      </c>
      <c r="D5510" s="131">
        <v>16</v>
      </c>
      <c r="E5510" s="131" t="s">
        <v>1145</v>
      </c>
      <c r="F5510" s="767">
        <v>278307.76</v>
      </c>
      <c r="G5510" s="767">
        <v>0</v>
      </c>
      <c r="H5510" s="767">
        <v>278307.76</v>
      </c>
      <c r="I5510" s="768" t="s">
        <v>1833</v>
      </c>
    </row>
    <row r="5511" spans="1:9" x14ac:dyDescent="0.25">
      <c r="A5511" s="753"/>
      <c r="C5511" s="131" t="s">
        <v>101</v>
      </c>
      <c r="D5511" s="131">
        <v>16</v>
      </c>
      <c r="E5511" s="131" t="s">
        <v>101</v>
      </c>
      <c r="F5511" s="767">
        <v>-80066.53</v>
      </c>
      <c r="G5511" s="767">
        <v>0</v>
      </c>
      <c r="H5511" s="767">
        <v>-80066.53</v>
      </c>
      <c r="I5511" s="768" t="s">
        <v>1834</v>
      </c>
    </row>
    <row r="5512" spans="1:9" x14ac:dyDescent="0.25">
      <c r="A5512" s="753"/>
      <c r="C5512" s="131" t="s">
        <v>1147</v>
      </c>
      <c r="D5512" s="131">
        <v>16</v>
      </c>
      <c r="E5512" s="131" t="s">
        <v>1147</v>
      </c>
      <c r="F5512" s="767">
        <v>76375.27</v>
      </c>
      <c r="G5512" s="767">
        <v>0</v>
      </c>
      <c r="H5512" s="767">
        <v>76375.27</v>
      </c>
      <c r="I5512" s="768" t="s">
        <v>1834</v>
      </c>
    </row>
    <row r="5513" spans="1:9" x14ac:dyDescent="0.25">
      <c r="A5513" s="753"/>
      <c r="C5513" s="131" t="s">
        <v>235</v>
      </c>
      <c r="D5513" s="131">
        <v>16</v>
      </c>
      <c r="E5513" s="131" t="s">
        <v>235</v>
      </c>
      <c r="F5513" s="767">
        <v>0</v>
      </c>
      <c r="G5513" s="767">
        <v>-181349.96</v>
      </c>
      <c r="H5513" s="767">
        <v>-181349.96</v>
      </c>
      <c r="I5513" s="768" t="s">
        <v>2286</v>
      </c>
    </row>
    <row r="5514" spans="1:9" x14ac:dyDescent="0.25">
      <c r="A5514" s="753"/>
      <c r="C5514" s="131" t="s">
        <v>2287</v>
      </c>
      <c r="D5514" s="131">
        <v>16</v>
      </c>
      <c r="E5514" s="131" t="s">
        <v>2287</v>
      </c>
      <c r="F5514" s="767">
        <v>0</v>
      </c>
      <c r="G5514" s="767">
        <v>175112.67</v>
      </c>
      <c r="H5514" s="767">
        <v>175112.67</v>
      </c>
      <c r="I5514" s="768" t="s">
        <v>2288</v>
      </c>
    </row>
    <row r="5515" spans="1:9" x14ac:dyDescent="0.25">
      <c r="A5515" s="753"/>
      <c r="C5515" s="131" t="s">
        <v>364</v>
      </c>
      <c r="D5515" s="131">
        <v>16</v>
      </c>
      <c r="E5515" s="131" t="s">
        <v>364</v>
      </c>
      <c r="F5515" s="767">
        <v>-120423.5</v>
      </c>
      <c r="G5515" s="767">
        <v>-107635.36</v>
      </c>
      <c r="H5515" s="767">
        <v>-228058.86</v>
      </c>
      <c r="I5515" s="768" t="s">
        <v>2291</v>
      </c>
    </row>
    <row r="5516" spans="1:9" x14ac:dyDescent="0.25">
      <c r="A5516" s="753"/>
      <c r="C5516" s="131" t="s">
        <v>2292</v>
      </c>
      <c r="D5516" s="131">
        <v>16</v>
      </c>
      <c r="E5516" s="131" t="s">
        <v>2292</v>
      </c>
      <c r="F5516" s="767">
        <v>111575</v>
      </c>
      <c r="G5516" s="767">
        <v>100537.06</v>
      </c>
      <c r="H5516" s="767">
        <v>212112.06</v>
      </c>
      <c r="I5516" s="768" t="s">
        <v>2293</v>
      </c>
    </row>
    <row r="5517" spans="1:9" x14ac:dyDescent="0.25">
      <c r="A5517" s="753"/>
      <c r="C5517" s="131" t="s">
        <v>371</v>
      </c>
      <c r="D5517" s="131">
        <v>16</v>
      </c>
      <c r="E5517" s="131" t="s">
        <v>371</v>
      </c>
      <c r="F5517" s="767">
        <v>-106923.5</v>
      </c>
      <c r="G5517" s="767">
        <v>0</v>
      </c>
      <c r="H5517" s="767">
        <v>-106923.5</v>
      </c>
      <c r="I5517" s="768" t="s">
        <v>1836</v>
      </c>
    </row>
    <row r="5518" spans="1:9" x14ac:dyDescent="0.25">
      <c r="A5518" s="753"/>
      <c r="C5518" s="131" t="s">
        <v>1152</v>
      </c>
      <c r="D5518" s="131">
        <v>16</v>
      </c>
      <c r="E5518" s="131" t="s">
        <v>1152</v>
      </c>
      <c r="F5518" s="767">
        <v>102290.17</v>
      </c>
      <c r="G5518" s="767">
        <v>0</v>
      </c>
      <c r="H5518" s="767">
        <v>102290.17</v>
      </c>
      <c r="I5518" s="768" t="s">
        <v>1837</v>
      </c>
    </row>
    <row r="5519" spans="1:9" x14ac:dyDescent="0.25">
      <c r="A5519" s="753"/>
      <c r="C5519" s="131" t="s">
        <v>0</v>
      </c>
      <c r="D5519" s="131">
        <v>16</v>
      </c>
      <c r="E5519" s="131" t="s">
        <v>0</v>
      </c>
      <c r="F5519" s="767">
        <v>-90273.5</v>
      </c>
      <c r="G5519" s="767">
        <v>0</v>
      </c>
      <c r="H5519" s="767">
        <v>-90273.5</v>
      </c>
      <c r="I5519" s="768" t="s">
        <v>1839</v>
      </c>
    </row>
    <row r="5520" spans="1:9" x14ac:dyDescent="0.25">
      <c r="A5520" s="753"/>
      <c r="C5520" s="131" t="s">
        <v>1117</v>
      </c>
      <c r="D5520" s="131">
        <v>16</v>
      </c>
      <c r="E5520" s="131" t="s">
        <v>1117</v>
      </c>
      <c r="F5520" s="767">
        <v>82763.5</v>
      </c>
      <c r="G5520" s="767">
        <v>0</v>
      </c>
      <c r="H5520" s="767">
        <v>82763.5</v>
      </c>
      <c r="I5520" s="768" t="s">
        <v>1840</v>
      </c>
    </row>
    <row r="5521" spans="1:9" x14ac:dyDescent="0.25">
      <c r="A5521" s="753"/>
      <c r="C5521" s="131" t="s">
        <v>388</v>
      </c>
      <c r="D5521" s="131">
        <v>16</v>
      </c>
      <c r="E5521" s="131" t="s">
        <v>388</v>
      </c>
      <c r="F5521" s="767">
        <v>-488096.67</v>
      </c>
      <c r="G5521" s="767">
        <v>-138273.37</v>
      </c>
      <c r="H5521" s="767">
        <v>-626370.04</v>
      </c>
      <c r="I5521" s="768" t="s">
        <v>1842</v>
      </c>
    </row>
    <row r="5522" spans="1:9" x14ac:dyDescent="0.25">
      <c r="A5522" s="753"/>
      <c r="C5522" s="131" t="s">
        <v>1157</v>
      </c>
      <c r="D5522" s="131">
        <v>16</v>
      </c>
      <c r="E5522" s="131" t="s">
        <v>1157</v>
      </c>
      <c r="F5522" s="767">
        <v>453839.9</v>
      </c>
      <c r="G5522" s="767">
        <v>126082.57</v>
      </c>
      <c r="H5522" s="767">
        <v>579922.47</v>
      </c>
      <c r="I5522" s="768" t="s">
        <v>1843</v>
      </c>
    </row>
    <row r="5523" spans="1:9" x14ac:dyDescent="0.25">
      <c r="A5523" s="753"/>
      <c r="C5523" s="131" t="s">
        <v>372</v>
      </c>
      <c r="D5523" s="131">
        <v>16</v>
      </c>
      <c r="E5523" s="131" t="s">
        <v>372</v>
      </c>
      <c r="F5523" s="767">
        <v>-1072320</v>
      </c>
      <c r="G5523" s="767">
        <v>-324698.42</v>
      </c>
      <c r="H5523" s="767">
        <v>-1397018.42</v>
      </c>
      <c r="I5523" s="768" t="s">
        <v>1845</v>
      </c>
    </row>
    <row r="5524" spans="1:9" x14ac:dyDescent="0.25">
      <c r="A5524" s="753"/>
      <c r="C5524" s="131" t="s">
        <v>1159</v>
      </c>
      <c r="D5524" s="131">
        <v>16</v>
      </c>
      <c r="E5524" s="131" t="s">
        <v>1159</v>
      </c>
      <c r="F5524" s="767">
        <v>1004366.9</v>
      </c>
      <c r="G5524" s="767">
        <v>299603.12</v>
      </c>
      <c r="H5524" s="767">
        <v>1303970.02</v>
      </c>
      <c r="I5524" s="768" t="s">
        <v>1846</v>
      </c>
    </row>
    <row r="5525" spans="1:9" x14ac:dyDescent="0.25">
      <c r="A5525" s="753"/>
      <c r="C5525" s="131" t="s">
        <v>389</v>
      </c>
      <c r="D5525" s="131">
        <v>16</v>
      </c>
      <c r="E5525" s="131" t="s">
        <v>389</v>
      </c>
      <c r="F5525" s="767">
        <v>-160941.5</v>
      </c>
      <c r="G5525" s="767">
        <v>0</v>
      </c>
      <c r="H5525" s="767">
        <v>-160941.5</v>
      </c>
      <c r="I5525" s="768" t="s">
        <v>2296</v>
      </c>
    </row>
    <row r="5526" spans="1:9" x14ac:dyDescent="0.25">
      <c r="A5526" s="753"/>
      <c r="C5526" s="131" t="s">
        <v>2297</v>
      </c>
      <c r="D5526" s="131">
        <v>16</v>
      </c>
      <c r="E5526" s="131" t="s">
        <v>2297</v>
      </c>
      <c r="F5526" s="767">
        <v>156088.57999999999</v>
      </c>
      <c r="G5526" s="767">
        <v>0</v>
      </c>
      <c r="H5526" s="767">
        <v>156088.57999999999</v>
      </c>
      <c r="I5526" s="768" t="s">
        <v>2298</v>
      </c>
    </row>
    <row r="5527" spans="1:9" x14ac:dyDescent="0.25">
      <c r="A5527" s="753"/>
      <c r="C5527" s="131" t="s">
        <v>373</v>
      </c>
      <c r="D5527" s="131">
        <v>16</v>
      </c>
      <c r="E5527" s="131" t="s">
        <v>373</v>
      </c>
      <c r="F5527" s="767">
        <v>-345515.77</v>
      </c>
      <c r="G5527" s="767">
        <v>0</v>
      </c>
      <c r="H5527" s="767">
        <v>-345515.77</v>
      </c>
      <c r="I5527" s="768" t="s">
        <v>2301</v>
      </c>
    </row>
    <row r="5528" spans="1:9" x14ac:dyDescent="0.25">
      <c r="A5528" s="753"/>
      <c r="C5528" s="131" t="s">
        <v>2302</v>
      </c>
      <c r="D5528" s="131">
        <v>16</v>
      </c>
      <c r="E5528" s="131" t="s">
        <v>2302</v>
      </c>
      <c r="F5528" s="767">
        <v>339379.44</v>
      </c>
      <c r="G5528" s="767">
        <v>0</v>
      </c>
      <c r="H5528" s="767">
        <v>339379.44</v>
      </c>
      <c r="I5528" s="768" t="s">
        <v>2303</v>
      </c>
    </row>
    <row r="5529" spans="1:9" x14ac:dyDescent="0.25">
      <c r="A5529" s="753"/>
      <c r="C5529" s="131" t="s">
        <v>365</v>
      </c>
      <c r="D5529" s="131">
        <v>16</v>
      </c>
      <c r="E5529" s="131" t="s">
        <v>365</v>
      </c>
      <c r="F5529" s="767">
        <v>-242245.5</v>
      </c>
      <c r="G5529" s="767">
        <v>0</v>
      </c>
      <c r="H5529" s="767">
        <v>-242245.5</v>
      </c>
      <c r="I5529" s="768" t="s">
        <v>1850</v>
      </c>
    </row>
    <row r="5530" spans="1:9" x14ac:dyDescent="0.25">
      <c r="A5530" s="753"/>
      <c r="C5530" s="131" t="s">
        <v>365</v>
      </c>
      <c r="D5530" s="131">
        <v>16</v>
      </c>
      <c r="E5530" s="131" t="s">
        <v>1139</v>
      </c>
      <c r="F5530" s="767">
        <v>-72260.61</v>
      </c>
      <c r="G5530" s="767">
        <v>0</v>
      </c>
      <c r="H5530" s="767">
        <v>-72260.61</v>
      </c>
      <c r="I5530" s="768" t="s">
        <v>1851</v>
      </c>
    </row>
    <row r="5531" spans="1:9" x14ac:dyDescent="0.25">
      <c r="A5531" s="753"/>
      <c r="C5531" s="131" t="s">
        <v>1161</v>
      </c>
      <c r="D5531" s="131">
        <v>16</v>
      </c>
      <c r="E5531" s="131" t="s">
        <v>1161</v>
      </c>
      <c r="F5531" s="767">
        <v>225357.57</v>
      </c>
      <c r="G5531" s="767">
        <v>0</v>
      </c>
      <c r="H5531" s="767">
        <v>225357.57</v>
      </c>
      <c r="I5531" s="768" t="s">
        <v>1852</v>
      </c>
    </row>
    <row r="5532" spans="1:9" x14ac:dyDescent="0.25">
      <c r="A5532" s="753"/>
      <c r="C5532" s="131" t="s">
        <v>1161</v>
      </c>
      <c r="D5532" s="131">
        <v>16</v>
      </c>
      <c r="E5532" s="131" t="s">
        <v>1140</v>
      </c>
      <c r="F5532" s="767">
        <v>65199.61</v>
      </c>
      <c r="G5532" s="767">
        <v>0</v>
      </c>
      <c r="H5532" s="767">
        <v>65199.61</v>
      </c>
      <c r="I5532" s="768" t="s">
        <v>1853</v>
      </c>
    </row>
    <row r="5533" spans="1:9" x14ac:dyDescent="0.25">
      <c r="A5533" s="753"/>
      <c r="C5533" s="131" t="s">
        <v>416</v>
      </c>
      <c r="D5533" s="131">
        <v>16</v>
      </c>
      <c r="E5533" s="131" t="s">
        <v>416</v>
      </c>
      <c r="F5533" s="767">
        <v>-97623.5</v>
      </c>
      <c r="G5533" s="767">
        <v>0</v>
      </c>
      <c r="H5533" s="767">
        <v>-97623.5</v>
      </c>
      <c r="I5533" s="768" t="s">
        <v>1854</v>
      </c>
    </row>
    <row r="5534" spans="1:9" x14ac:dyDescent="0.25">
      <c r="A5534" s="753"/>
      <c r="C5534" s="131" t="s">
        <v>1163</v>
      </c>
      <c r="D5534" s="131">
        <v>16</v>
      </c>
      <c r="E5534" s="131" t="s">
        <v>1163</v>
      </c>
      <c r="F5534" s="767">
        <v>90757.33</v>
      </c>
      <c r="G5534" s="767">
        <v>0</v>
      </c>
      <c r="H5534" s="767">
        <v>90757.33</v>
      </c>
      <c r="I5534" s="768" t="s">
        <v>1854</v>
      </c>
    </row>
    <row r="5535" spans="1:9" x14ac:dyDescent="0.25">
      <c r="A5535" s="753"/>
      <c r="C5535" s="131" t="s">
        <v>256</v>
      </c>
      <c r="D5535" s="131">
        <v>16</v>
      </c>
      <c r="E5535" s="131" t="s">
        <v>256</v>
      </c>
      <c r="F5535" s="767">
        <v>-121994.74</v>
      </c>
      <c r="G5535" s="767">
        <v>0</v>
      </c>
      <c r="H5535" s="767">
        <v>-121994.74</v>
      </c>
      <c r="I5535" s="768" t="s">
        <v>1856</v>
      </c>
    </row>
    <row r="5536" spans="1:9" x14ac:dyDescent="0.25">
      <c r="A5536" s="753"/>
      <c r="C5536" s="131" t="s">
        <v>1165</v>
      </c>
      <c r="D5536" s="131">
        <v>16</v>
      </c>
      <c r="E5536" s="131" t="s">
        <v>1165</v>
      </c>
      <c r="F5536" s="767">
        <v>116172.84</v>
      </c>
      <c r="G5536" s="767">
        <v>0</v>
      </c>
      <c r="H5536" s="767">
        <v>116172.84</v>
      </c>
      <c r="I5536" s="768" t="s">
        <v>1857</v>
      </c>
    </row>
    <row r="5537" spans="1:9" x14ac:dyDescent="0.25">
      <c r="A5537" s="753"/>
      <c r="C5537" s="131" t="s">
        <v>366</v>
      </c>
      <c r="D5537" s="131">
        <v>16</v>
      </c>
      <c r="E5537" s="131" t="s">
        <v>366</v>
      </c>
      <c r="F5537" s="767">
        <v>-133336.91</v>
      </c>
      <c r="G5537" s="767">
        <v>0</v>
      </c>
      <c r="H5537" s="767">
        <v>-133336.91</v>
      </c>
      <c r="I5537" s="768" t="s">
        <v>1859</v>
      </c>
    </row>
    <row r="5538" spans="1:9" x14ac:dyDescent="0.25">
      <c r="A5538" s="753"/>
      <c r="C5538" s="131" t="s">
        <v>1155</v>
      </c>
      <c r="D5538" s="131">
        <v>16</v>
      </c>
      <c r="E5538" s="131" t="s">
        <v>1155</v>
      </c>
      <c r="F5538" s="767">
        <v>124643.41</v>
      </c>
      <c r="G5538" s="767">
        <v>0</v>
      </c>
      <c r="H5538" s="767">
        <v>124643.41</v>
      </c>
      <c r="I5538" s="768" t="s">
        <v>1860</v>
      </c>
    </row>
    <row r="5539" spans="1:9" x14ac:dyDescent="0.25">
      <c r="A5539" s="753"/>
      <c r="C5539" s="131" t="s">
        <v>391</v>
      </c>
      <c r="D5539" s="131">
        <v>16</v>
      </c>
      <c r="E5539" s="131" t="s">
        <v>391</v>
      </c>
      <c r="F5539" s="767">
        <v>-227978.65</v>
      </c>
      <c r="G5539" s="767">
        <v>0</v>
      </c>
      <c r="H5539" s="767">
        <v>-227978.65</v>
      </c>
      <c r="I5539" s="768" t="s">
        <v>1862</v>
      </c>
    </row>
    <row r="5540" spans="1:9" x14ac:dyDescent="0.25">
      <c r="A5540" s="753"/>
      <c r="C5540" s="131" t="s">
        <v>1168</v>
      </c>
      <c r="D5540" s="131">
        <v>16</v>
      </c>
      <c r="E5540" s="131" t="s">
        <v>1168</v>
      </c>
      <c r="F5540" s="767">
        <v>216450.03</v>
      </c>
      <c r="G5540" s="767">
        <v>0</v>
      </c>
      <c r="H5540" s="767">
        <v>216450.03</v>
      </c>
      <c r="I5540" s="768" t="s">
        <v>1863</v>
      </c>
    </row>
    <row r="5541" spans="1:9" x14ac:dyDescent="0.25">
      <c r="A5541" s="753"/>
      <c r="C5541" s="131">
        <v>415</v>
      </c>
      <c r="D5541" s="131">
        <v>16</v>
      </c>
      <c r="E5541" s="131">
        <v>415</v>
      </c>
      <c r="F5541" s="767">
        <v>0</v>
      </c>
      <c r="G5541" s="767">
        <v>-140922.95000000001</v>
      </c>
      <c r="H5541" s="767">
        <v>-140922.95000000001</v>
      </c>
      <c r="I5541" s="768" t="s">
        <v>2306</v>
      </c>
    </row>
    <row r="5542" spans="1:9" x14ac:dyDescent="0.25">
      <c r="A5542" s="753"/>
      <c r="C5542" s="131">
        <v>615</v>
      </c>
      <c r="D5542" s="131">
        <v>16</v>
      </c>
      <c r="E5542" s="131">
        <v>615</v>
      </c>
      <c r="F5542" s="767">
        <v>0</v>
      </c>
      <c r="G5542" s="767">
        <v>135011.85</v>
      </c>
      <c r="H5542" s="767">
        <v>135011.85</v>
      </c>
      <c r="I5542" s="768" t="s">
        <v>2307</v>
      </c>
    </row>
    <row r="5543" spans="1:9" x14ac:dyDescent="0.25">
      <c r="A5543" s="753"/>
      <c r="C5543" s="131" t="s">
        <v>394</v>
      </c>
      <c r="D5543" s="131">
        <v>16</v>
      </c>
      <c r="E5543" s="131" t="s">
        <v>394</v>
      </c>
      <c r="F5543" s="767">
        <v>-118545.13</v>
      </c>
      <c r="G5543" s="767">
        <v>0</v>
      </c>
      <c r="H5543" s="767">
        <v>-118545.13</v>
      </c>
      <c r="I5543" s="768" t="s">
        <v>1865</v>
      </c>
    </row>
    <row r="5544" spans="1:9" x14ac:dyDescent="0.25">
      <c r="A5544" s="753"/>
      <c r="C5544" s="131" t="s">
        <v>1122</v>
      </c>
      <c r="D5544" s="131">
        <v>16</v>
      </c>
      <c r="E5544" s="131" t="s">
        <v>1122</v>
      </c>
      <c r="F5544" s="767">
        <v>118545.13</v>
      </c>
      <c r="G5544" s="767">
        <v>0</v>
      </c>
      <c r="H5544" s="767">
        <v>118545.13</v>
      </c>
      <c r="I5544" s="768" t="s">
        <v>1866</v>
      </c>
    </row>
    <row r="5545" spans="1:9" x14ac:dyDescent="0.25">
      <c r="A5545" s="753"/>
      <c r="C5545" s="131" t="s">
        <v>292</v>
      </c>
      <c r="D5545" s="131">
        <v>16</v>
      </c>
      <c r="E5545" s="131" t="s">
        <v>1080</v>
      </c>
      <c r="F5545" s="767">
        <v>-128273.5</v>
      </c>
      <c r="G5545" s="767">
        <v>0</v>
      </c>
      <c r="H5545" s="767">
        <v>-128273.5</v>
      </c>
      <c r="I5545" s="768" t="s">
        <v>1868</v>
      </c>
    </row>
    <row r="5546" spans="1:9" x14ac:dyDescent="0.25">
      <c r="A5546" s="753"/>
      <c r="C5546" s="131" t="s">
        <v>1174</v>
      </c>
      <c r="D5546" s="131">
        <v>16</v>
      </c>
      <c r="E5546" s="131" t="s">
        <v>1081</v>
      </c>
      <c r="F5546" s="767">
        <v>115038.03</v>
      </c>
      <c r="G5546" s="767">
        <v>0</v>
      </c>
      <c r="H5546" s="767">
        <v>115038.03</v>
      </c>
      <c r="I5546" s="768" t="s">
        <v>1869</v>
      </c>
    </row>
    <row r="5547" spans="1:9" x14ac:dyDescent="0.25">
      <c r="A5547" s="753"/>
      <c r="C5547" s="131" t="s">
        <v>297</v>
      </c>
      <c r="D5547" s="131">
        <v>16</v>
      </c>
      <c r="E5547" s="131" t="s">
        <v>297</v>
      </c>
      <c r="F5547" s="767">
        <v>-156342</v>
      </c>
      <c r="G5547" s="767">
        <v>0</v>
      </c>
      <c r="H5547" s="767">
        <v>-156342</v>
      </c>
      <c r="I5547" s="768" t="s">
        <v>1871</v>
      </c>
    </row>
    <row r="5548" spans="1:9" x14ac:dyDescent="0.25">
      <c r="A5548" s="753"/>
      <c r="C5548" s="131" t="s">
        <v>1083</v>
      </c>
      <c r="D5548" s="131">
        <v>16</v>
      </c>
      <c r="E5548" s="131" t="s">
        <v>1083</v>
      </c>
      <c r="F5548" s="767">
        <v>147709.57999999999</v>
      </c>
      <c r="G5548" s="767">
        <v>0</v>
      </c>
      <c r="H5548" s="767">
        <v>147709.57999999999</v>
      </c>
      <c r="I5548" s="768" t="s">
        <v>1872</v>
      </c>
    </row>
    <row r="5549" spans="1:9" x14ac:dyDescent="0.25">
      <c r="A5549" s="753"/>
      <c r="C5549" s="131" t="s">
        <v>299</v>
      </c>
      <c r="D5549" s="131">
        <v>16</v>
      </c>
      <c r="E5549" s="131" t="s">
        <v>299</v>
      </c>
      <c r="F5549" s="767">
        <v>-363200</v>
      </c>
      <c r="G5549" s="767">
        <v>0</v>
      </c>
      <c r="H5549" s="767">
        <v>-363200</v>
      </c>
      <c r="I5549" s="768" t="s">
        <v>1874</v>
      </c>
    </row>
    <row r="5550" spans="1:9" x14ac:dyDescent="0.25">
      <c r="A5550" s="753"/>
      <c r="C5550" s="131" t="s">
        <v>1180</v>
      </c>
      <c r="D5550" s="131">
        <v>16</v>
      </c>
      <c r="E5550" s="131" t="s">
        <v>1180</v>
      </c>
      <c r="F5550" s="767">
        <v>343503.43</v>
      </c>
      <c r="G5550" s="767">
        <v>0</v>
      </c>
      <c r="H5550" s="767">
        <v>343503.43</v>
      </c>
      <c r="I5550" s="768" t="s">
        <v>1875</v>
      </c>
    </row>
    <row r="5551" spans="1:9" x14ac:dyDescent="0.25">
      <c r="A5551" s="753"/>
      <c r="C5551" s="131">
        <v>409</v>
      </c>
      <c r="D5551" s="131">
        <v>16</v>
      </c>
      <c r="E5551" s="131">
        <v>409</v>
      </c>
      <c r="F5551" s="767">
        <v>-363098.13</v>
      </c>
      <c r="G5551" s="767">
        <v>-188223.59</v>
      </c>
      <c r="H5551" s="767">
        <v>-551321.72</v>
      </c>
      <c r="I5551" s="768" t="s">
        <v>1725</v>
      </c>
    </row>
    <row r="5552" spans="1:9" x14ac:dyDescent="0.25">
      <c r="A5552" s="753"/>
      <c r="C5552" s="131">
        <v>609</v>
      </c>
      <c r="D5552" s="131">
        <v>16</v>
      </c>
      <c r="E5552" s="131">
        <v>609</v>
      </c>
      <c r="F5552" s="767">
        <v>341003.75</v>
      </c>
      <c r="G5552" s="767">
        <v>179636.18</v>
      </c>
      <c r="H5552" s="767">
        <v>520639.93</v>
      </c>
      <c r="I5552" s="768" t="s">
        <v>1725</v>
      </c>
    </row>
    <row r="5553" spans="1:9" x14ac:dyDescent="0.25">
      <c r="A5553" s="753"/>
      <c r="C5553" s="131" t="s">
        <v>1102</v>
      </c>
      <c r="D5553" s="131">
        <v>16</v>
      </c>
      <c r="E5553" s="131" t="s">
        <v>1102</v>
      </c>
      <c r="F5553" s="767">
        <v>-90100.5</v>
      </c>
      <c r="G5553" s="767">
        <v>-79723.5</v>
      </c>
      <c r="H5553" s="767">
        <v>-169824</v>
      </c>
      <c r="I5553" s="768" t="s">
        <v>1726</v>
      </c>
    </row>
    <row r="5554" spans="1:9" x14ac:dyDescent="0.25">
      <c r="A5554" s="753"/>
      <c r="C5554" s="131" t="s">
        <v>1103</v>
      </c>
      <c r="D5554" s="131">
        <v>16</v>
      </c>
      <c r="E5554" s="131" t="s">
        <v>1103</v>
      </c>
      <c r="F5554" s="767">
        <v>84965.15</v>
      </c>
      <c r="G5554" s="767">
        <v>74349.23</v>
      </c>
      <c r="H5554" s="767">
        <v>159314.38</v>
      </c>
      <c r="I5554" s="768" t="s">
        <v>1726</v>
      </c>
    </row>
    <row r="5555" spans="1:9" x14ac:dyDescent="0.25">
      <c r="A5555" s="753"/>
      <c r="C5555" s="131">
        <v>418</v>
      </c>
      <c r="D5555" s="131">
        <v>16</v>
      </c>
      <c r="E5555" s="131">
        <v>418</v>
      </c>
      <c r="F5555" s="767">
        <v>-1440981.45</v>
      </c>
      <c r="G5555" s="767">
        <v>0</v>
      </c>
      <c r="H5555" s="767">
        <v>-1440981.45</v>
      </c>
      <c r="I5555" s="768" t="s">
        <v>1773</v>
      </c>
    </row>
    <row r="5556" spans="1:9" x14ac:dyDescent="0.25">
      <c r="A5556" s="753"/>
      <c r="C5556" s="131">
        <v>418</v>
      </c>
      <c r="D5556" s="131">
        <v>16</v>
      </c>
      <c r="E5556" s="131" t="s">
        <v>144</v>
      </c>
      <c r="F5556" s="767">
        <v>-927552.69</v>
      </c>
      <c r="G5556" s="767">
        <v>0</v>
      </c>
      <c r="H5556" s="767">
        <v>-927552.69</v>
      </c>
      <c r="I5556" s="768" t="s">
        <v>1774</v>
      </c>
    </row>
    <row r="5557" spans="1:9" x14ac:dyDescent="0.25">
      <c r="A5557" s="753"/>
      <c r="C5557" s="131">
        <v>618</v>
      </c>
      <c r="D5557" s="131">
        <v>16</v>
      </c>
      <c r="E5557" s="131">
        <v>618</v>
      </c>
      <c r="F5557" s="767">
        <v>1398430.52</v>
      </c>
      <c r="G5557" s="767">
        <v>0</v>
      </c>
      <c r="H5557" s="767">
        <v>1398430.52</v>
      </c>
      <c r="I5557" s="768" t="s">
        <v>1775</v>
      </c>
    </row>
    <row r="5558" spans="1:9" x14ac:dyDescent="0.25">
      <c r="A5558" s="753"/>
      <c r="C5558" s="131">
        <v>618</v>
      </c>
      <c r="D5558" s="131">
        <v>16</v>
      </c>
      <c r="E5558" s="131" t="s">
        <v>1056</v>
      </c>
      <c r="F5558" s="767">
        <v>905230.46</v>
      </c>
      <c r="G5558" s="767">
        <v>0</v>
      </c>
      <c r="H5558" s="767">
        <v>905230.46</v>
      </c>
      <c r="I5558" s="768" t="s">
        <v>1776</v>
      </c>
    </row>
    <row r="5559" spans="1:9" x14ac:dyDescent="0.25">
      <c r="A5559" s="753"/>
      <c r="C5559" s="131">
        <v>419</v>
      </c>
      <c r="D5559" s="131">
        <v>16</v>
      </c>
      <c r="E5559" s="131">
        <v>419</v>
      </c>
      <c r="F5559" s="767">
        <v>-253973.5</v>
      </c>
      <c r="G5559" s="767">
        <v>-71375.3</v>
      </c>
      <c r="H5559" s="767">
        <v>-325348.8</v>
      </c>
      <c r="I5559" s="768" t="s">
        <v>1778</v>
      </c>
    </row>
    <row r="5560" spans="1:9" x14ac:dyDescent="0.25">
      <c r="A5560" s="753"/>
      <c r="C5560" s="131">
        <v>619</v>
      </c>
      <c r="D5560" s="131">
        <v>16</v>
      </c>
      <c r="E5560" s="131">
        <v>619</v>
      </c>
      <c r="F5560" s="767">
        <v>241009.33</v>
      </c>
      <c r="G5560" s="767">
        <v>70959.12</v>
      </c>
      <c r="H5560" s="767">
        <v>311968.45</v>
      </c>
      <c r="I5560" s="768" t="s">
        <v>1779</v>
      </c>
    </row>
    <row r="5561" spans="1:9" x14ac:dyDescent="0.25">
      <c r="A5561" s="753"/>
      <c r="C5561" s="131" t="s">
        <v>226</v>
      </c>
      <c r="D5561" s="131">
        <v>16</v>
      </c>
      <c r="E5561" s="131" t="s">
        <v>226</v>
      </c>
      <c r="F5561" s="767">
        <v>-324517</v>
      </c>
      <c r="G5561" s="767">
        <v>-35867.599999999999</v>
      </c>
      <c r="H5561" s="767">
        <v>-360384.6</v>
      </c>
      <c r="I5561" s="768" t="s">
        <v>1780</v>
      </c>
    </row>
    <row r="5562" spans="1:9" x14ac:dyDescent="0.25">
      <c r="A5562" s="753">
        <v>604328</v>
      </c>
      <c r="B5562" s="130">
        <v>6092</v>
      </c>
      <c r="E5562" s="131"/>
    </row>
    <row r="5563" spans="1:9" x14ac:dyDescent="0.25">
      <c r="A5563" s="753">
        <v>604518</v>
      </c>
      <c r="B5563" s="130">
        <v>758</v>
      </c>
      <c r="E5563" s="131"/>
    </row>
    <row r="5564" spans="1:9" x14ac:dyDescent="0.25">
      <c r="A5564" s="753">
        <v>604528</v>
      </c>
      <c r="B5564" s="130">
        <v>772</v>
      </c>
      <c r="E5564" s="131"/>
    </row>
    <row r="5565" spans="1:9" x14ac:dyDescent="0.25">
      <c r="A5565" s="753">
        <v>604618</v>
      </c>
      <c r="B5565" s="130">
        <v>1647</v>
      </c>
      <c r="E5565" s="131"/>
    </row>
    <row r="5566" spans="1:9" x14ac:dyDescent="0.25">
      <c r="A5566" s="753">
        <v>604628</v>
      </c>
      <c r="B5566" s="130">
        <v>1903</v>
      </c>
      <c r="E5566" s="131"/>
    </row>
    <row r="5567" spans="1:9" x14ac:dyDescent="0.25">
      <c r="A5567" s="753">
        <v>604718</v>
      </c>
      <c r="B5567" s="130">
        <v>163</v>
      </c>
      <c r="E5567" s="131"/>
    </row>
    <row r="5568" spans="1:9" x14ac:dyDescent="0.25">
      <c r="A5568" s="753">
        <v>604728</v>
      </c>
      <c r="B5568" s="130">
        <v>202</v>
      </c>
      <c r="E5568" s="131"/>
    </row>
    <row r="5569" spans="1:9" x14ac:dyDescent="0.25">
      <c r="A5569" s="753">
        <v>604818</v>
      </c>
      <c r="B5569" s="130">
        <v>753</v>
      </c>
      <c r="E5569" s="131"/>
    </row>
    <row r="5570" spans="1:9" x14ac:dyDescent="0.25">
      <c r="A5570" s="753">
        <v>604828</v>
      </c>
      <c r="B5570" s="130">
        <v>777</v>
      </c>
      <c r="E5570" s="131"/>
    </row>
    <row r="5571" spans="1:9" x14ac:dyDescent="0.25">
      <c r="A5571" s="753">
        <v>604918</v>
      </c>
      <c r="B5571" s="130">
        <v>0</v>
      </c>
      <c r="E5571" s="131"/>
    </row>
    <row r="5572" spans="1:9" x14ac:dyDescent="0.25">
      <c r="A5572" s="753">
        <v>604928</v>
      </c>
      <c r="B5572" s="130">
        <v>0</v>
      </c>
      <c r="E5572" s="131"/>
    </row>
    <row r="5573" spans="1:9" x14ac:dyDescent="0.25">
      <c r="A5573" s="753">
        <v>605018</v>
      </c>
      <c r="B5573" s="130">
        <v>0</v>
      </c>
      <c r="E5573" s="131"/>
    </row>
    <row r="5574" spans="1:9" x14ac:dyDescent="0.25">
      <c r="A5574" s="753">
        <v>605028</v>
      </c>
      <c r="B5574" s="130">
        <v>0</v>
      </c>
      <c r="E5574" s="131"/>
    </row>
    <row r="5575" spans="1:9" x14ac:dyDescent="0.25">
      <c r="A5575" s="753">
        <v>605118</v>
      </c>
      <c r="B5575" s="130">
        <v>0</v>
      </c>
      <c r="E5575" s="131"/>
    </row>
    <row r="5576" spans="1:9" x14ac:dyDescent="0.25">
      <c r="A5576" s="753">
        <v>605128</v>
      </c>
      <c r="B5576" s="130">
        <v>0</v>
      </c>
      <c r="E5576" s="131"/>
    </row>
    <row r="5577" spans="1:9" x14ac:dyDescent="0.25">
      <c r="A5577" s="753">
        <v>605312</v>
      </c>
      <c r="B5577" s="130">
        <v>10</v>
      </c>
      <c r="E5577" s="131"/>
    </row>
    <row r="5578" spans="1:9" x14ac:dyDescent="0.25">
      <c r="A5578" s="753">
        <v>605314</v>
      </c>
      <c r="B5578" s="130">
        <v>892879</v>
      </c>
      <c r="E5578" s="131"/>
    </row>
    <row r="5579" spans="1:9" x14ac:dyDescent="0.25">
      <c r="A5579" s="753">
        <v>605316</v>
      </c>
      <c r="B5579" s="130">
        <v>56531</v>
      </c>
      <c r="C5579" s="131" t="s">
        <v>233</v>
      </c>
      <c r="D5579" s="131">
        <v>16</v>
      </c>
      <c r="E5579" s="131" t="s">
        <v>233</v>
      </c>
      <c r="F5579" s="767">
        <v>-49508.31</v>
      </c>
      <c r="G5579" s="767">
        <v>0</v>
      </c>
      <c r="H5579" s="767">
        <v>-49508.31</v>
      </c>
      <c r="I5579" s="768" t="s">
        <v>1824</v>
      </c>
    </row>
    <row r="5580" spans="1:9" x14ac:dyDescent="0.25">
      <c r="A5580" s="753"/>
      <c r="C5580" s="131" t="s">
        <v>1135</v>
      </c>
      <c r="D5580" s="131">
        <v>16</v>
      </c>
      <c r="E5580" s="131" t="s">
        <v>1135</v>
      </c>
      <c r="F5580" s="767">
        <v>44968.42</v>
      </c>
      <c r="G5580" s="767">
        <v>0</v>
      </c>
      <c r="H5580" s="767">
        <v>44968.42</v>
      </c>
      <c r="I5580" s="768" t="s">
        <v>1825</v>
      </c>
    </row>
    <row r="5581" spans="1:9" x14ac:dyDescent="0.25">
      <c r="A5581" s="753"/>
      <c r="C5581" s="131" t="s">
        <v>234</v>
      </c>
      <c r="D5581" s="131">
        <v>16</v>
      </c>
      <c r="E5581" s="131" t="s">
        <v>234</v>
      </c>
      <c r="F5581" s="767">
        <v>-66243.350000000006</v>
      </c>
      <c r="G5581" s="767">
        <v>0</v>
      </c>
      <c r="H5581" s="767">
        <v>-66243.350000000006</v>
      </c>
      <c r="I5581" s="768" t="s">
        <v>1827</v>
      </c>
    </row>
    <row r="5582" spans="1:9" x14ac:dyDescent="0.25">
      <c r="A5582" s="753"/>
      <c r="C5582" s="131" t="s">
        <v>1138</v>
      </c>
      <c r="D5582" s="131">
        <v>16</v>
      </c>
      <c r="E5582" s="131" t="s">
        <v>1138</v>
      </c>
      <c r="F5582" s="767">
        <v>64976.959999999999</v>
      </c>
      <c r="G5582" s="767">
        <v>0</v>
      </c>
      <c r="H5582" s="767">
        <v>64976.959999999999</v>
      </c>
      <c r="I5582" s="768" t="s">
        <v>1828</v>
      </c>
    </row>
    <row r="5583" spans="1:9" x14ac:dyDescent="0.25">
      <c r="A5583" s="753"/>
      <c r="C5583" s="131" t="s">
        <v>385</v>
      </c>
      <c r="D5583" s="131">
        <v>16</v>
      </c>
      <c r="E5583" s="131" t="s">
        <v>385</v>
      </c>
      <c r="F5583" s="767">
        <v>-88209.5</v>
      </c>
      <c r="G5583" s="767">
        <v>0</v>
      </c>
      <c r="H5583" s="767">
        <v>-88209.5</v>
      </c>
      <c r="I5583" s="768" t="s">
        <v>2283</v>
      </c>
    </row>
    <row r="5584" spans="1:9" x14ac:dyDescent="0.25">
      <c r="A5584" s="753"/>
      <c r="C5584" s="131" t="s">
        <v>1136</v>
      </c>
      <c r="D5584" s="131">
        <v>16</v>
      </c>
      <c r="E5584" s="131" t="s">
        <v>1136</v>
      </c>
      <c r="F5584" s="767">
        <v>84914.34</v>
      </c>
      <c r="G5584" s="767">
        <v>0</v>
      </c>
      <c r="H5584" s="767">
        <v>84914.34</v>
      </c>
      <c r="I5584" s="768" t="s">
        <v>1829</v>
      </c>
    </row>
    <row r="5585" spans="1:9" x14ac:dyDescent="0.25">
      <c r="A5585" s="753"/>
      <c r="C5585" s="131" t="s">
        <v>100</v>
      </c>
      <c r="D5585" s="131">
        <v>16</v>
      </c>
      <c r="E5585" s="131" t="s">
        <v>100</v>
      </c>
      <c r="F5585" s="767">
        <v>-63527.8</v>
      </c>
      <c r="G5585" s="767">
        <v>0</v>
      </c>
      <c r="H5585" s="767">
        <v>-63527.8</v>
      </c>
      <c r="I5585" s="768" t="s">
        <v>1831</v>
      </c>
    </row>
    <row r="5586" spans="1:9" x14ac:dyDescent="0.25">
      <c r="A5586" s="753"/>
      <c r="C5586" s="131" t="s">
        <v>1142</v>
      </c>
      <c r="D5586" s="131">
        <v>16</v>
      </c>
      <c r="E5586" s="131" t="s">
        <v>1142</v>
      </c>
      <c r="F5586" s="767">
        <v>62923.61</v>
      </c>
      <c r="G5586" s="767">
        <v>0</v>
      </c>
      <c r="H5586" s="767">
        <v>62923.61</v>
      </c>
      <c r="I5586" s="768" t="s">
        <v>1832</v>
      </c>
    </row>
    <row r="5587" spans="1:9" x14ac:dyDescent="0.25">
      <c r="A5587" s="753"/>
      <c r="C5587" s="131" t="s">
        <v>255</v>
      </c>
      <c r="D5587" s="131">
        <v>16</v>
      </c>
      <c r="E5587" s="131" t="s">
        <v>255</v>
      </c>
      <c r="F5587" s="767">
        <v>-295643.12</v>
      </c>
      <c r="G5587" s="767">
        <v>0</v>
      </c>
      <c r="H5587" s="767">
        <v>-295643.12</v>
      </c>
      <c r="I5587" s="768" t="s">
        <v>1833</v>
      </c>
    </row>
    <row r="5588" spans="1:9" x14ac:dyDescent="0.25">
      <c r="A5588" s="753"/>
      <c r="C5588" s="131" t="s">
        <v>1145</v>
      </c>
      <c r="D5588" s="131">
        <v>16</v>
      </c>
      <c r="E5588" s="131" t="s">
        <v>1145</v>
      </c>
      <c r="F5588" s="767">
        <v>278307.76</v>
      </c>
      <c r="G5588" s="767">
        <v>0</v>
      </c>
      <c r="H5588" s="767">
        <v>278307.76</v>
      </c>
      <c r="I5588" s="768" t="s">
        <v>1833</v>
      </c>
    </row>
    <row r="5589" spans="1:9" x14ac:dyDescent="0.25">
      <c r="A5589" s="753"/>
      <c r="C5589" s="131" t="s">
        <v>101</v>
      </c>
      <c r="D5589" s="131">
        <v>16</v>
      </c>
      <c r="E5589" s="131" t="s">
        <v>101</v>
      </c>
      <c r="F5589" s="767">
        <v>-80066.53</v>
      </c>
      <c r="G5589" s="767">
        <v>0</v>
      </c>
      <c r="H5589" s="767">
        <v>-80066.53</v>
      </c>
      <c r="I5589" s="768" t="s">
        <v>1834</v>
      </c>
    </row>
    <row r="5590" spans="1:9" x14ac:dyDescent="0.25">
      <c r="A5590" s="753"/>
      <c r="C5590" s="131" t="s">
        <v>1147</v>
      </c>
      <c r="D5590" s="131">
        <v>16</v>
      </c>
      <c r="E5590" s="131" t="s">
        <v>1147</v>
      </c>
      <c r="F5590" s="767">
        <v>76375.27</v>
      </c>
      <c r="G5590" s="767">
        <v>0</v>
      </c>
      <c r="H5590" s="767">
        <v>76375.27</v>
      </c>
      <c r="I5590" s="768" t="s">
        <v>1834</v>
      </c>
    </row>
    <row r="5591" spans="1:9" x14ac:dyDescent="0.25">
      <c r="A5591" s="753"/>
      <c r="C5591" s="131" t="s">
        <v>235</v>
      </c>
      <c r="D5591" s="131">
        <v>16</v>
      </c>
      <c r="E5591" s="131" t="s">
        <v>235</v>
      </c>
      <c r="F5591" s="767">
        <v>0</v>
      </c>
      <c r="G5591" s="767">
        <v>-181349.96</v>
      </c>
      <c r="H5591" s="767">
        <v>-181349.96</v>
      </c>
      <c r="I5591" s="768" t="s">
        <v>2286</v>
      </c>
    </row>
    <row r="5592" spans="1:9" x14ac:dyDescent="0.25">
      <c r="A5592" s="753"/>
      <c r="C5592" s="131" t="s">
        <v>2287</v>
      </c>
      <c r="D5592" s="131">
        <v>16</v>
      </c>
      <c r="E5592" s="131" t="s">
        <v>2287</v>
      </c>
      <c r="F5592" s="767">
        <v>0</v>
      </c>
      <c r="G5592" s="767">
        <v>175112.67</v>
      </c>
      <c r="H5592" s="767">
        <v>175112.67</v>
      </c>
      <c r="I5592" s="768" t="s">
        <v>2288</v>
      </c>
    </row>
    <row r="5593" spans="1:9" x14ac:dyDescent="0.25">
      <c r="A5593" s="753"/>
      <c r="C5593" s="131" t="s">
        <v>364</v>
      </c>
      <c r="D5593" s="131">
        <v>16</v>
      </c>
      <c r="E5593" s="131" t="s">
        <v>364</v>
      </c>
      <c r="F5593" s="767">
        <v>-120423.5</v>
      </c>
      <c r="G5593" s="767">
        <v>-107635.36</v>
      </c>
      <c r="H5593" s="767">
        <v>-228058.86</v>
      </c>
      <c r="I5593" s="768" t="s">
        <v>2291</v>
      </c>
    </row>
    <row r="5594" spans="1:9" x14ac:dyDescent="0.25">
      <c r="A5594" s="753"/>
      <c r="C5594" s="131" t="s">
        <v>2292</v>
      </c>
      <c r="D5594" s="131">
        <v>16</v>
      </c>
      <c r="E5594" s="131" t="s">
        <v>2292</v>
      </c>
      <c r="F5594" s="767">
        <v>111575</v>
      </c>
      <c r="G5594" s="767">
        <v>100537.06</v>
      </c>
      <c r="H5594" s="767">
        <v>212112.06</v>
      </c>
      <c r="I5594" s="768" t="s">
        <v>2293</v>
      </c>
    </row>
    <row r="5595" spans="1:9" x14ac:dyDescent="0.25">
      <c r="A5595" s="753"/>
      <c r="C5595" s="131" t="s">
        <v>371</v>
      </c>
      <c r="D5595" s="131">
        <v>16</v>
      </c>
      <c r="E5595" s="131" t="s">
        <v>371</v>
      </c>
      <c r="F5595" s="767">
        <v>-106923.5</v>
      </c>
      <c r="G5595" s="767">
        <v>0</v>
      </c>
      <c r="H5595" s="767">
        <v>-106923.5</v>
      </c>
      <c r="I5595" s="768" t="s">
        <v>1836</v>
      </c>
    </row>
    <row r="5596" spans="1:9" x14ac:dyDescent="0.25">
      <c r="A5596" s="753"/>
      <c r="C5596" s="131" t="s">
        <v>1152</v>
      </c>
      <c r="D5596" s="131">
        <v>16</v>
      </c>
      <c r="E5596" s="131" t="s">
        <v>1152</v>
      </c>
      <c r="F5596" s="767">
        <v>102290.17</v>
      </c>
      <c r="G5596" s="767">
        <v>0</v>
      </c>
      <c r="H5596" s="767">
        <v>102290.17</v>
      </c>
      <c r="I5596" s="768" t="s">
        <v>1837</v>
      </c>
    </row>
    <row r="5597" spans="1:9" x14ac:dyDescent="0.25">
      <c r="A5597" s="753"/>
      <c r="C5597" s="131" t="s">
        <v>0</v>
      </c>
      <c r="D5597" s="131">
        <v>16</v>
      </c>
      <c r="E5597" s="131" t="s">
        <v>0</v>
      </c>
      <c r="F5597" s="767">
        <v>-90273.5</v>
      </c>
      <c r="G5597" s="767">
        <v>0</v>
      </c>
      <c r="H5597" s="767">
        <v>-90273.5</v>
      </c>
      <c r="I5597" s="768" t="s">
        <v>1839</v>
      </c>
    </row>
    <row r="5598" spans="1:9" x14ac:dyDescent="0.25">
      <c r="A5598" s="753"/>
      <c r="C5598" s="131" t="s">
        <v>1117</v>
      </c>
      <c r="D5598" s="131">
        <v>16</v>
      </c>
      <c r="E5598" s="131" t="s">
        <v>1117</v>
      </c>
      <c r="F5598" s="767">
        <v>82763.5</v>
      </c>
      <c r="G5598" s="767">
        <v>0</v>
      </c>
      <c r="H5598" s="767">
        <v>82763.5</v>
      </c>
      <c r="I5598" s="768" t="s">
        <v>1840</v>
      </c>
    </row>
    <row r="5599" spans="1:9" x14ac:dyDescent="0.25">
      <c r="A5599" s="753"/>
      <c r="C5599" s="131" t="s">
        <v>388</v>
      </c>
      <c r="D5599" s="131">
        <v>16</v>
      </c>
      <c r="E5599" s="131" t="s">
        <v>388</v>
      </c>
      <c r="F5599" s="767">
        <v>-488096.67</v>
      </c>
      <c r="G5599" s="767">
        <v>-138273.37</v>
      </c>
      <c r="H5599" s="767">
        <v>-626370.04</v>
      </c>
      <c r="I5599" s="768" t="s">
        <v>1842</v>
      </c>
    </row>
    <row r="5600" spans="1:9" x14ac:dyDescent="0.25">
      <c r="A5600" s="753"/>
      <c r="C5600" s="131" t="s">
        <v>1157</v>
      </c>
      <c r="D5600" s="131">
        <v>16</v>
      </c>
      <c r="E5600" s="131" t="s">
        <v>1157</v>
      </c>
      <c r="F5600" s="767">
        <v>453839.9</v>
      </c>
      <c r="G5600" s="767">
        <v>126082.57</v>
      </c>
      <c r="H5600" s="767">
        <v>579922.47</v>
      </c>
      <c r="I5600" s="768" t="s">
        <v>1843</v>
      </c>
    </row>
    <row r="5601" spans="1:9" x14ac:dyDescent="0.25">
      <c r="A5601" s="753"/>
      <c r="C5601" s="131" t="s">
        <v>372</v>
      </c>
      <c r="D5601" s="131">
        <v>16</v>
      </c>
      <c r="E5601" s="131" t="s">
        <v>372</v>
      </c>
      <c r="F5601" s="767">
        <v>-1072320</v>
      </c>
      <c r="G5601" s="767">
        <v>-324698.42</v>
      </c>
      <c r="H5601" s="767">
        <v>-1397018.42</v>
      </c>
      <c r="I5601" s="768" t="s">
        <v>1845</v>
      </c>
    </row>
    <row r="5602" spans="1:9" x14ac:dyDescent="0.25">
      <c r="A5602" s="753"/>
      <c r="C5602" s="131" t="s">
        <v>1159</v>
      </c>
      <c r="D5602" s="131">
        <v>16</v>
      </c>
      <c r="E5602" s="131" t="s">
        <v>1159</v>
      </c>
      <c r="F5602" s="767">
        <v>1004366.9</v>
      </c>
      <c r="G5602" s="767">
        <v>299603.12</v>
      </c>
      <c r="H5602" s="767">
        <v>1303970.02</v>
      </c>
      <c r="I5602" s="768" t="s">
        <v>1846</v>
      </c>
    </row>
    <row r="5603" spans="1:9" x14ac:dyDescent="0.25">
      <c r="A5603" s="753"/>
      <c r="C5603" s="131" t="s">
        <v>389</v>
      </c>
      <c r="D5603" s="131">
        <v>16</v>
      </c>
      <c r="E5603" s="131" t="s">
        <v>389</v>
      </c>
      <c r="F5603" s="767">
        <v>-160941.5</v>
      </c>
      <c r="G5603" s="767">
        <v>0</v>
      </c>
      <c r="H5603" s="767">
        <v>-160941.5</v>
      </c>
      <c r="I5603" s="768" t="s">
        <v>2296</v>
      </c>
    </row>
    <row r="5604" spans="1:9" x14ac:dyDescent="0.25">
      <c r="A5604" s="753"/>
      <c r="C5604" s="131" t="s">
        <v>2297</v>
      </c>
      <c r="D5604" s="131">
        <v>16</v>
      </c>
      <c r="E5604" s="131" t="s">
        <v>2297</v>
      </c>
      <c r="F5604" s="767">
        <v>156088.57999999999</v>
      </c>
      <c r="G5604" s="767">
        <v>0</v>
      </c>
      <c r="H5604" s="767">
        <v>156088.57999999999</v>
      </c>
      <c r="I5604" s="768" t="s">
        <v>2298</v>
      </c>
    </row>
    <row r="5605" spans="1:9" x14ac:dyDescent="0.25">
      <c r="A5605" s="753"/>
      <c r="C5605" s="131" t="s">
        <v>373</v>
      </c>
      <c r="D5605" s="131">
        <v>16</v>
      </c>
      <c r="E5605" s="131" t="s">
        <v>373</v>
      </c>
      <c r="F5605" s="767">
        <v>-345515.77</v>
      </c>
      <c r="G5605" s="767">
        <v>0</v>
      </c>
      <c r="H5605" s="767">
        <v>-345515.77</v>
      </c>
      <c r="I5605" s="768" t="s">
        <v>2301</v>
      </c>
    </row>
    <row r="5606" spans="1:9" x14ac:dyDescent="0.25">
      <c r="A5606" s="753"/>
      <c r="C5606" s="131" t="s">
        <v>2302</v>
      </c>
      <c r="D5606" s="131">
        <v>16</v>
      </c>
      <c r="E5606" s="131" t="s">
        <v>2302</v>
      </c>
      <c r="F5606" s="767">
        <v>339379.44</v>
      </c>
      <c r="G5606" s="767">
        <v>0</v>
      </c>
      <c r="H5606" s="767">
        <v>339379.44</v>
      </c>
      <c r="I5606" s="768" t="s">
        <v>2303</v>
      </c>
    </row>
    <row r="5607" spans="1:9" x14ac:dyDescent="0.25">
      <c r="A5607" s="753"/>
      <c r="C5607" s="131" t="s">
        <v>365</v>
      </c>
      <c r="D5607" s="131">
        <v>16</v>
      </c>
      <c r="E5607" s="131" t="s">
        <v>365</v>
      </c>
      <c r="F5607" s="767">
        <v>-242245.5</v>
      </c>
      <c r="G5607" s="767">
        <v>0</v>
      </c>
      <c r="H5607" s="767">
        <v>-242245.5</v>
      </c>
      <c r="I5607" s="768" t="s">
        <v>1850</v>
      </c>
    </row>
    <row r="5608" spans="1:9" x14ac:dyDescent="0.25">
      <c r="A5608" s="753"/>
      <c r="C5608" s="131" t="s">
        <v>365</v>
      </c>
      <c r="D5608" s="131">
        <v>16</v>
      </c>
      <c r="E5608" s="131" t="s">
        <v>1139</v>
      </c>
      <c r="F5608" s="767">
        <v>-72260.61</v>
      </c>
      <c r="G5608" s="767">
        <v>0</v>
      </c>
      <c r="H5608" s="767">
        <v>-72260.61</v>
      </c>
      <c r="I5608" s="768" t="s">
        <v>1851</v>
      </c>
    </row>
    <row r="5609" spans="1:9" x14ac:dyDescent="0.25">
      <c r="A5609" s="753"/>
      <c r="C5609" s="131" t="s">
        <v>1161</v>
      </c>
      <c r="D5609" s="131">
        <v>16</v>
      </c>
      <c r="E5609" s="131" t="s">
        <v>1161</v>
      </c>
      <c r="F5609" s="767">
        <v>225357.57</v>
      </c>
      <c r="G5609" s="767">
        <v>0</v>
      </c>
      <c r="H5609" s="767">
        <v>225357.57</v>
      </c>
      <c r="I5609" s="768" t="s">
        <v>1852</v>
      </c>
    </row>
    <row r="5610" spans="1:9" x14ac:dyDescent="0.25">
      <c r="A5610" s="753"/>
      <c r="C5610" s="131" t="s">
        <v>1161</v>
      </c>
      <c r="D5610" s="131">
        <v>16</v>
      </c>
      <c r="E5610" s="131" t="s">
        <v>1140</v>
      </c>
      <c r="F5610" s="767">
        <v>65199.61</v>
      </c>
      <c r="G5610" s="767">
        <v>0</v>
      </c>
      <c r="H5610" s="767">
        <v>65199.61</v>
      </c>
      <c r="I5610" s="768" t="s">
        <v>1853</v>
      </c>
    </row>
    <row r="5611" spans="1:9" x14ac:dyDescent="0.25">
      <c r="A5611" s="753"/>
      <c r="C5611" s="131" t="s">
        <v>416</v>
      </c>
      <c r="D5611" s="131">
        <v>16</v>
      </c>
      <c r="E5611" s="131" t="s">
        <v>416</v>
      </c>
      <c r="F5611" s="767">
        <v>-97623.5</v>
      </c>
      <c r="G5611" s="767">
        <v>0</v>
      </c>
      <c r="H5611" s="767">
        <v>-97623.5</v>
      </c>
      <c r="I5611" s="768" t="s">
        <v>1854</v>
      </c>
    </row>
    <row r="5612" spans="1:9" x14ac:dyDescent="0.25">
      <c r="A5612" s="753"/>
      <c r="C5612" s="131" t="s">
        <v>1163</v>
      </c>
      <c r="D5612" s="131">
        <v>16</v>
      </c>
      <c r="E5612" s="131" t="s">
        <v>1163</v>
      </c>
      <c r="F5612" s="767">
        <v>90757.33</v>
      </c>
      <c r="G5612" s="767">
        <v>0</v>
      </c>
      <c r="H5612" s="767">
        <v>90757.33</v>
      </c>
      <c r="I5612" s="768" t="s">
        <v>1854</v>
      </c>
    </row>
    <row r="5613" spans="1:9" x14ac:dyDescent="0.25">
      <c r="A5613" s="753"/>
      <c r="C5613" s="131" t="s">
        <v>256</v>
      </c>
      <c r="D5613" s="131">
        <v>16</v>
      </c>
      <c r="E5613" s="131" t="s">
        <v>256</v>
      </c>
      <c r="F5613" s="767">
        <v>-121994.74</v>
      </c>
      <c r="G5613" s="767">
        <v>0</v>
      </c>
      <c r="H5613" s="767">
        <v>-121994.74</v>
      </c>
      <c r="I5613" s="768" t="s">
        <v>1856</v>
      </c>
    </row>
    <row r="5614" spans="1:9" x14ac:dyDescent="0.25">
      <c r="A5614" s="753"/>
      <c r="C5614" s="131" t="s">
        <v>1165</v>
      </c>
      <c r="D5614" s="131">
        <v>16</v>
      </c>
      <c r="E5614" s="131" t="s">
        <v>1165</v>
      </c>
      <c r="F5614" s="767">
        <v>116172.84</v>
      </c>
      <c r="G5614" s="767">
        <v>0</v>
      </c>
      <c r="H5614" s="767">
        <v>116172.84</v>
      </c>
      <c r="I5614" s="768" t="s">
        <v>1857</v>
      </c>
    </row>
    <row r="5615" spans="1:9" x14ac:dyDescent="0.25">
      <c r="A5615" s="753"/>
      <c r="C5615" s="131" t="s">
        <v>366</v>
      </c>
      <c r="D5615" s="131">
        <v>16</v>
      </c>
      <c r="E5615" s="131" t="s">
        <v>366</v>
      </c>
      <c r="F5615" s="767">
        <v>-133336.91</v>
      </c>
      <c r="G5615" s="767">
        <v>0</v>
      </c>
      <c r="H5615" s="767">
        <v>-133336.91</v>
      </c>
      <c r="I5615" s="768" t="s">
        <v>1859</v>
      </c>
    </row>
    <row r="5616" spans="1:9" x14ac:dyDescent="0.25">
      <c r="A5616" s="753"/>
      <c r="C5616" s="131" t="s">
        <v>1155</v>
      </c>
      <c r="D5616" s="131">
        <v>16</v>
      </c>
      <c r="E5616" s="131" t="s">
        <v>1155</v>
      </c>
      <c r="F5616" s="767">
        <v>124643.41</v>
      </c>
      <c r="G5616" s="767">
        <v>0</v>
      </c>
      <c r="H5616" s="767">
        <v>124643.41</v>
      </c>
      <c r="I5616" s="768" t="s">
        <v>1860</v>
      </c>
    </row>
    <row r="5617" spans="1:9" x14ac:dyDescent="0.25">
      <c r="A5617" s="753"/>
      <c r="C5617" s="131" t="s">
        <v>391</v>
      </c>
      <c r="D5617" s="131">
        <v>16</v>
      </c>
      <c r="E5617" s="131" t="s">
        <v>391</v>
      </c>
      <c r="F5617" s="767">
        <v>-227978.65</v>
      </c>
      <c r="G5617" s="767">
        <v>0</v>
      </c>
      <c r="H5617" s="767">
        <v>-227978.65</v>
      </c>
      <c r="I5617" s="768" t="s">
        <v>1862</v>
      </c>
    </row>
    <row r="5618" spans="1:9" x14ac:dyDescent="0.25">
      <c r="A5618" s="753"/>
      <c r="C5618" s="131" t="s">
        <v>1168</v>
      </c>
      <c r="D5618" s="131">
        <v>16</v>
      </c>
      <c r="E5618" s="131" t="s">
        <v>1168</v>
      </c>
      <c r="F5618" s="767">
        <v>216450.03</v>
      </c>
      <c r="G5618" s="767">
        <v>0</v>
      </c>
      <c r="H5618" s="767">
        <v>216450.03</v>
      </c>
      <c r="I5618" s="768" t="s">
        <v>1863</v>
      </c>
    </row>
    <row r="5619" spans="1:9" x14ac:dyDescent="0.25">
      <c r="A5619" s="753"/>
      <c r="C5619" s="131">
        <v>415</v>
      </c>
      <c r="D5619" s="131">
        <v>16</v>
      </c>
      <c r="E5619" s="131">
        <v>415</v>
      </c>
      <c r="F5619" s="767">
        <v>0</v>
      </c>
      <c r="G5619" s="767">
        <v>-140922.95000000001</v>
      </c>
      <c r="H5619" s="767">
        <v>-140922.95000000001</v>
      </c>
      <c r="I5619" s="768" t="s">
        <v>2306</v>
      </c>
    </row>
    <row r="5620" spans="1:9" x14ac:dyDescent="0.25">
      <c r="A5620" s="753"/>
      <c r="C5620" s="131">
        <v>615</v>
      </c>
      <c r="D5620" s="131">
        <v>16</v>
      </c>
      <c r="E5620" s="131">
        <v>615</v>
      </c>
      <c r="F5620" s="767">
        <v>0</v>
      </c>
      <c r="G5620" s="767">
        <v>135011.85</v>
      </c>
      <c r="H5620" s="767">
        <v>135011.85</v>
      </c>
      <c r="I5620" s="768" t="s">
        <v>2307</v>
      </c>
    </row>
    <row r="5621" spans="1:9" x14ac:dyDescent="0.25">
      <c r="A5621" s="753"/>
      <c r="C5621" s="131" t="s">
        <v>394</v>
      </c>
      <c r="D5621" s="131">
        <v>16</v>
      </c>
      <c r="E5621" s="131" t="s">
        <v>394</v>
      </c>
      <c r="F5621" s="767">
        <v>-118545.13</v>
      </c>
      <c r="G5621" s="767">
        <v>0</v>
      </c>
      <c r="H5621" s="767">
        <v>-118545.13</v>
      </c>
      <c r="I5621" s="768" t="s">
        <v>1865</v>
      </c>
    </row>
    <row r="5622" spans="1:9" x14ac:dyDescent="0.25">
      <c r="A5622" s="753"/>
      <c r="C5622" s="131" t="s">
        <v>1122</v>
      </c>
      <c r="D5622" s="131">
        <v>16</v>
      </c>
      <c r="E5622" s="131" t="s">
        <v>1122</v>
      </c>
      <c r="F5622" s="767">
        <v>118545.13</v>
      </c>
      <c r="G5622" s="767">
        <v>0</v>
      </c>
      <c r="H5622" s="767">
        <v>118545.13</v>
      </c>
      <c r="I5622" s="768" t="s">
        <v>1866</v>
      </c>
    </row>
    <row r="5623" spans="1:9" x14ac:dyDescent="0.25">
      <c r="A5623" s="753"/>
      <c r="C5623" s="131" t="s">
        <v>292</v>
      </c>
      <c r="D5623" s="131">
        <v>16</v>
      </c>
      <c r="E5623" s="131" t="s">
        <v>1080</v>
      </c>
      <c r="F5623" s="767">
        <v>-128273.5</v>
      </c>
      <c r="G5623" s="767">
        <v>0</v>
      </c>
      <c r="H5623" s="767">
        <v>-128273.5</v>
      </c>
      <c r="I5623" s="768" t="s">
        <v>1868</v>
      </c>
    </row>
    <row r="5624" spans="1:9" x14ac:dyDescent="0.25">
      <c r="A5624" s="753"/>
      <c r="C5624" s="131" t="s">
        <v>1174</v>
      </c>
      <c r="D5624" s="131">
        <v>16</v>
      </c>
      <c r="E5624" s="131" t="s">
        <v>1081</v>
      </c>
      <c r="F5624" s="767">
        <v>115038.03</v>
      </c>
      <c r="G5624" s="767">
        <v>0</v>
      </c>
      <c r="H5624" s="767">
        <v>115038.03</v>
      </c>
      <c r="I5624" s="768" t="s">
        <v>1869</v>
      </c>
    </row>
    <row r="5625" spans="1:9" x14ac:dyDescent="0.25">
      <c r="A5625" s="753"/>
      <c r="C5625" s="131" t="s">
        <v>297</v>
      </c>
      <c r="D5625" s="131">
        <v>16</v>
      </c>
      <c r="E5625" s="131" t="s">
        <v>297</v>
      </c>
      <c r="F5625" s="767">
        <v>-156342</v>
      </c>
      <c r="G5625" s="767">
        <v>0</v>
      </c>
      <c r="H5625" s="767">
        <v>-156342</v>
      </c>
      <c r="I5625" s="768" t="s">
        <v>1871</v>
      </c>
    </row>
    <row r="5626" spans="1:9" x14ac:dyDescent="0.25">
      <c r="A5626" s="753"/>
      <c r="C5626" s="131" t="s">
        <v>1083</v>
      </c>
      <c r="D5626" s="131">
        <v>16</v>
      </c>
      <c r="E5626" s="131" t="s">
        <v>1083</v>
      </c>
      <c r="F5626" s="767">
        <v>147709.57999999999</v>
      </c>
      <c r="G5626" s="767">
        <v>0</v>
      </c>
      <c r="H5626" s="767">
        <v>147709.57999999999</v>
      </c>
      <c r="I5626" s="768" t="s">
        <v>1872</v>
      </c>
    </row>
    <row r="5627" spans="1:9" x14ac:dyDescent="0.25">
      <c r="A5627" s="753"/>
      <c r="C5627" s="131" t="s">
        <v>299</v>
      </c>
      <c r="D5627" s="131">
        <v>16</v>
      </c>
      <c r="E5627" s="131" t="s">
        <v>299</v>
      </c>
      <c r="F5627" s="767">
        <v>-363200</v>
      </c>
      <c r="G5627" s="767">
        <v>0</v>
      </c>
      <c r="H5627" s="767">
        <v>-363200</v>
      </c>
      <c r="I5627" s="768" t="s">
        <v>1874</v>
      </c>
    </row>
    <row r="5628" spans="1:9" x14ac:dyDescent="0.25">
      <c r="A5628" s="753"/>
      <c r="C5628" s="131" t="s">
        <v>1180</v>
      </c>
      <c r="D5628" s="131">
        <v>16</v>
      </c>
      <c r="E5628" s="131" t="s">
        <v>1180</v>
      </c>
      <c r="F5628" s="767">
        <v>343503.43</v>
      </c>
      <c r="G5628" s="767">
        <v>0</v>
      </c>
      <c r="H5628" s="767">
        <v>343503.43</v>
      </c>
      <c r="I5628" s="768" t="s">
        <v>1875</v>
      </c>
    </row>
    <row r="5629" spans="1:9" x14ac:dyDescent="0.25">
      <c r="A5629" s="753"/>
      <c r="C5629" s="131" t="s">
        <v>376</v>
      </c>
      <c r="D5629" s="131">
        <v>16</v>
      </c>
      <c r="E5629" s="131" t="s">
        <v>376</v>
      </c>
      <c r="F5629" s="767">
        <v>-98510.95</v>
      </c>
      <c r="G5629" s="767">
        <v>0</v>
      </c>
      <c r="H5629" s="767">
        <v>-98510.95</v>
      </c>
      <c r="I5629" s="768" t="s">
        <v>2278</v>
      </c>
    </row>
    <row r="5630" spans="1:9" x14ac:dyDescent="0.25">
      <c r="A5630" s="753"/>
      <c r="C5630" s="131" t="s">
        <v>2279</v>
      </c>
      <c r="D5630" s="131">
        <v>16</v>
      </c>
      <c r="E5630" s="131" t="s">
        <v>2279</v>
      </c>
      <c r="F5630" s="767">
        <v>97615</v>
      </c>
      <c r="G5630" s="767">
        <v>0</v>
      </c>
      <c r="H5630" s="767">
        <v>97615</v>
      </c>
      <c r="I5630" s="768" t="s">
        <v>2280</v>
      </c>
    </row>
    <row r="5631" spans="1:9" x14ac:dyDescent="0.25">
      <c r="A5631" s="753"/>
      <c r="C5631" s="131" t="s">
        <v>378</v>
      </c>
      <c r="D5631" s="131">
        <v>16</v>
      </c>
      <c r="E5631" s="131" t="s">
        <v>378</v>
      </c>
      <c r="F5631" s="767">
        <v>-323316.75</v>
      </c>
      <c r="G5631" s="767">
        <v>0</v>
      </c>
      <c r="H5631" s="767">
        <v>-323316.75</v>
      </c>
      <c r="I5631" s="768" t="s">
        <v>1769</v>
      </c>
    </row>
    <row r="5632" spans="1:9" x14ac:dyDescent="0.25">
      <c r="A5632" s="753"/>
      <c r="C5632" s="131" t="s">
        <v>1121</v>
      </c>
      <c r="D5632" s="131">
        <v>16</v>
      </c>
      <c r="E5632" s="131" t="s">
        <v>1121</v>
      </c>
      <c r="F5632" s="767">
        <v>316233.65000000002</v>
      </c>
      <c r="G5632" s="767">
        <v>0</v>
      </c>
      <c r="H5632" s="767">
        <v>316233.65000000002</v>
      </c>
      <c r="I5632" s="768" t="s">
        <v>1770</v>
      </c>
    </row>
    <row r="5633" spans="1:9" x14ac:dyDescent="0.25">
      <c r="A5633" s="753">
        <v>605318</v>
      </c>
      <c r="B5633" s="130">
        <v>5653</v>
      </c>
      <c r="E5633" s="131"/>
    </row>
    <row r="5634" spans="1:9" x14ac:dyDescent="0.25">
      <c r="A5634" s="753">
        <v>605322</v>
      </c>
      <c r="B5634" s="130">
        <v>69</v>
      </c>
      <c r="E5634" s="131"/>
    </row>
    <row r="5635" spans="1:9" x14ac:dyDescent="0.25">
      <c r="A5635" s="753">
        <v>605324</v>
      </c>
      <c r="B5635" s="130">
        <v>6004205</v>
      </c>
      <c r="E5635" s="131"/>
    </row>
    <row r="5636" spans="1:9" x14ac:dyDescent="0.25">
      <c r="A5636" s="753">
        <v>605326</v>
      </c>
      <c r="B5636" s="130">
        <v>327863</v>
      </c>
      <c r="C5636" s="131" t="s">
        <v>233</v>
      </c>
      <c r="D5636" s="131">
        <v>16</v>
      </c>
      <c r="E5636" s="131" t="s">
        <v>233</v>
      </c>
      <c r="F5636" s="767">
        <v>-49508.31</v>
      </c>
      <c r="G5636" s="767">
        <v>0</v>
      </c>
      <c r="H5636" s="767">
        <v>-49508.31</v>
      </c>
      <c r="I5636" s="768" t="s">
        <v>1824</v>
      </c>
    </row>
    <row r="5637" spans="1:9" x14ac:dyDescent="0.25">
      <c r="A5637" s="753"/>
      <c r="C5637" s="131" t="s">
        <v>1135</v>
      </c>
      <c r="D5637" s="131">
        <v>16</v>
      </c>
      <c r="E5637" s="131" t="s">
        <v>1135</v>
      </c>
      <c r="F5637" s="767">
        <v>44968.42</v>
      </c>
      <c r="G5637" s="767">
        <v>0</v>
      </c>
      <c r="H5637" s="767">
        <v>44968.42</v>
      </c>
      <c r="I5637" s="768" t="s">
        <v>1825</v>
      </c>
    </row>
    <row r="5638" spans="1:9" x14ac:dyDescent="0.25">
      <c r="A5638" s="753"/>
      <c r="C5638" s="131" t="s">
        <v>234</v>
      </c>
      <c r="D5638" s="131">
        <v>16</v>
      </c>
      <c r="E5638" s="131" t="s">
        <v>234</v>
      </c>
      <c r="F5638" s="767">
        <v>-66243.350000000006</v>
      </c>
      <c r="G5638" s="767">
        <v>0</v>
      </c>
      <c r="H5638" s="767">
        <v>-66243.350000000006</v>
      </c>
      <c r="I5638" s="768" t="s">
        <v>1827</v>
      </c>
    </row>
    <row r="5639" spans="1:9" x14ac:dyDescent="0.25">
      <c r="A5639" s="753"/>
      <c r="C5639" s="131" t="s">
        <v>1138</v>
      </c>
      <c r="D5639" s="131">
        <v>16</v>
      </c>
      <c r="E5639" s="131" t="s">
        <v>1138</v>
      </c>
      <c r="F5639" s="767">
        <v>64976.959999999999</v>
      </c>
      <c r="G5639" s="767">
        <v>0</v>
      </c>
      <c r="H5639" s="767">
        <v>64976.959999999999</v>
      </c>
      <c r="I5639" s="768" t="s">
        <v>1828</v>
      </c>
    </row>
    <row r="5640" spans="1:9" x14ac:dyDescent="0.25">
      <c r="A5640" s="753"/>
      <c r="C5640" s="131" t="s">
        <v>385</v>
      </c>
      <c r="D5640" s="131">
        <v>16</v>
      </c>
      <c r="E5640" s="131" t="s">
        <v>385</v>
      </c>
      <c r="F5640" s="767">
        <v>-88209.5</v>
      </c>
      <c r="G5640" s="767">
        <v>0</v>
      </c>
      <c r="H5640" s="767">
        <v>-88209.5</v>
      </c>
      <c r="I5640" s="768" t="s">
        <v>2283</v>
      </c>
    </row>
    <row r="5641" spans="1:9" x14ac:dyDescent="0.25">
      <c r="A5641" s="753"/>
      <c r="C5641" s="131" t="s">
        <v>1136</v>
      </c>
      <c r="D5641" s="131">
        <v>16</v>
      </c>
      <c r="E5641" s="131" t="s">
        <v>1136</v>
      </c>
      <c r="F5641" s="767">
        <v>84914.34</v>
      </c>
      <c r="G5641" s="767">
        <v>0</v>
      </c>
      <c r="H5641" s="767">
        <v>84914.34</v>
      </c>
      <c r="I5641" s="768" t="s">
        <v>1829</v>
      </c>
    </row>
    <row r="5642" spans="1:9" x14ac:dyDescent="0.25">
      <c r="A5642" s="753"/>
      <c r="C5642" s="131" t="s">
        <v>100</v>
      </c>
      <c r="D5642" s="131">
        <v>16</v>
      </c>
      <c r="E5642" s="131" t="s">
        <v>100</v>
      </c>
      <c r="F5642" s="767">
        <v>-63527.8</v>
      </c>
      <c r="G5642" s="767">
        <v>0</v>
      </c>
      <c r="H5642" s="767">
        <v>-63527.8</v>
      </c>
      <c r="I5642" s="768" t="s">
        <v>1831</v>
      </c>
    </row>
    <row r="5643" spans="1:9" x14ac:dyDescent="0.25">
      <c r="A5643" s="753"/>
      <c r="C5643" s="131" t="s">
        <v>1142</v>
      </c>
      <c r="D5643" s="131">
        <v>16</v>
      </c>
      <c r="E5643" s="131" t="s">
        <v>1142</v>
      </c>
      <c r="F5643" s="767">
        <v>62923.61</v>
      </c>
      <c r="G5643" s="767">
        <v>0</v>
      </c>
      <c r="H5643" s="767">
        <v>62923.61</v>
      </c>
      <c r="I5643" s="768" t="s">
        <v>1832</v>
      </c>
    </row>
    <row r="5644" spans="1:9" x14ac:dyDescent="0.25">
      <c r="A5644" s="753"/>
      <c r="C5644" s="131" t="s">
        <v>255</v>
      </c>
      <c r="D5644" s="131">
        <v>16</v>
      </c>
      <c r="E5644" s="131" t="s">
        <v>255</v>
      </c>
      <c r="F5644" s="767">
        <v>-295643.12</v>
      </c>
      <c r="G5644" s="767">
        <v>0</v>
      </c>
      <c r="H5644" s="767">
        <v>-295643.12</v>
      </c>
      <c r="I5644" s="768" t="s">
        <v>1833</v>
      </c>
    </row>
    <row r="5645" spans="1:9" x14ac:dyDescent="0.25">
      <c r="A5645" s="753"/>
      <c r="C5645" s="131" t="s">
        <v>1145</v>
      </c>
      <c r="D5645" s="131">
        <v>16</v>
      </c>
      <c r="E5645" s="131" t="s">
        <v>1145</v>
      </c>
      <c r="F5645" s="767">
        <v>278307.76</v>
      </c>
      <c r="G5645" s="767">
        <v>0</v>
      </c>
      <c r="H5645" s="767">
        <v>278307.76</v>
      </c>
      <c r="I5645" s="768" t="s">
        <v>1833</v>
      </c>
    </row>
    <row r="5646" spans="1:9" x14ac:dyDescent="0.25">
      <c r="A5646" s="753"/>
      <c r="C5646" s="131" t="s">
        <v>101</v>
      </c>
      <c r="D5646" s="131">
        <v>16</v>
      </c>
      <c r="E5646" s="131" t="s">
        <v>101</v>
      </c>
      <c r="F5646" s="767">
        <v>-80066.53</v>
      </c>
      <c r="G5646" s="767">
        <v>0</v>
      </c>
      <c r="H5646" s="767">
        <v>-80066.53</v>
      </c>
      <c r="I5646" s="768" t="s">
        <v>1834</v>
      </c>
    </row>
    <row r="5647" spans="1:9" x14ac:dyDescent="0.25">
      <c r="A5647" s="753"/>
      <c r="C5647" s="131" t="s">
        <v>1147</v>
      </c>
      <c r="D5647" s="131">
        <v>16</v>
      </c>
      <c r="E5647" s="131" t="s">
        <v>1147</v>
      </c>
      <c r="F5647" s="767">
        <v>76375.27</v>
      </c>
      <c r="G5647" s="767">
        <v>0</v>
      </c>
      <c r="H5647" s="767">
        <v>76375.27</v>
      </c>
      <c r="I5647" s="768" t="s">
        <v>1834</v>
      </c>
    </row>
    <row r="5648" spans="1:9" x14ac:dyDescent="0.25">
      <c r="A5648" s="753"/>
      <c r="C5648" s="131" t="s">
        <v>235</v>
      </c>
      <c r="D5648" s="131">
        <v>16</v>
      </c>
      <c r="E5648" s="131" t="s">
        <v>235</v>
      </c>
      <c r="F5648" s="767">
        <v>0</v>
      </c>
      <c r="G5648" s="767">
        <v>-181349.96</v>
      </c>
      <c r="H5648" s="767">
        <v>-181349.96</v>
      </c>
      <c r="I5648" s="768" t="s">
        <v>2286</v>
      </c>
    </row>
    <row r="5649" spans="1:9" x14ac:dyDescent="0.25">
      <c r="A5649" s="753"/>
      <c r="C5649" s="131" t="s">
        <v>2287</v>
      </c>
      <c r="D5649" s="131">
        <v>16</v>
      </c>
      <c r="E5649" s="131" t="s">
        <v>2287</v>
      </c>
      <c r="F5649" s="767">
        <v>0</v>
      </c>
      <c r="G5649" s="767">
        <v>175112.67</v>
      </c>
      <c r="H5649" s="767">
        <v>175112.67</v>
      </c>
      <c r="I5649" s="768" t="s">
        <v>2288</v>
      </c>
    </row>
    <row r="5650" spans="1:9" x14ac:dyDescent="0.25">
      <c r="A5650" s="753"/>
      <c r="C5650" s="131" t="s">
        <v>364</v>
      </c>
      <c r="D5650" s="131">
        <v>16</v>
      </c>
      <c r="E5650" s="131" t="s">
        <v>364</v>
      </c>
      <c r="F5650" s="767">
        <v>-120423.5</v>
      </c>
      <c r="G5650" s="767">
        <v>-107635.36</v>
      </c>
      <c r="H5650" s="767">
        <v>-228058.86</v>
      </c>
      <c r="I5650" s="768" t="s">
        <v>2291</v>
      </c>
    </row>
    <row r="5651" spans="1:9" x14ac:dyDescent="0.25">
      <c r="A5651" s="753"/>
      <c r="C5651" s="131" t="s">
        <v>2292</v>
      </c>
      <c r="D5651" s="131">
        <v>16</v>
      </c>
      <c r="E5651" s="131" t="s">
        <v>2292</v>
      </c>
      <c r="F5651" s="767">
        <v>111575</v>
      </c>
      <c r="G5651" s="767">
        <v>100537.06</v>
      </c>
      <c r="H5651" s="767">
        <v>212112.06</v>
      </c>
      <c r="I5651" s="768" t="s">
        <v>2293</v>
      </c>
    </row>
    <row r="5652" spans="1:9" x14ac:dyDescent="0.25">
      <c r="A5652" s="753"/>
      <c r="C5652" s="131" t="s">
        <v>371</v>
      </c>
      <c r="D5652" s="131">
        <v>16</v>
      </c>
      <c r="E5652" s="131" t="s">
        <v>371</v>
      </c>
      <c r="F5652" s="767">
        <v>-106923.5</v>
      </c>
      <c r="G5652" s="767">
        <v>0</v>
      </c>
      <c r="H5652" s="767">
        <v>-106923.5</v>
      </c>
      <c r="I5652" s="768" t="s">
        <v>1836</v>
      </c>
    </row>
    <row r="5653" spans="1:9" x14ac:dyDescent="0.25">
      <c r="A5653" s="753"/>
      <c r="C5653" s="131" t="s">
        <v>1152</v>
      </c>
      <c r="D5653" s="131">
        <v>16</v>
      </c>
      <c r="E5653" s="131" t="s">
        <v>1152</v>
      </c>
      <c r="F5653" s="767">
        <v>102290.17</v>
      </c>
      <c r="G5653" s="767">
        <v>0</v>
      </c>
      <c r="H5653" s="767">
        <v>102290.17</v>
      </c>
      <c r="I5653" s="768" t="s">
        <v>1837</v>
      </c>
    </row>
    <row r="5654" spans="1:9" x14ac:dyDescent="0.25">
      <c r="A5654" s="753"/>
      <c r="C5654" s="131" t="s">
        <v>0</v>
      </c>
      <c r="D5654" s="131">
        <v>16</v>
      </c>
      <c r="E5654" s="131" t="s">
        <v>0</v>
      </c>
      <c r="F5654" s="767">
        <v>-90273.5</v>
      </c>
      <c r="G5654" s="767">
        <v>0</v>
      </c>
      <c r="H5654" s="767">
        <v>-90273.5</v>
      </c>
      <c r="I5654" s="768" t="s">
        <v>1839</v>
      </c>
    </row>
    <row r="5655" spans="1:9" x14ac:dyDescent="0.25">
      <c r="A5655" s="753"/>
      <c r="C5655" s="131" t="s">
        <v>1117</v>
      </c>
      <c r="D5655" s="131">
        <v>16</v>
      </c>
      <c r="E5655" s="131" t="s">
        <v>1117</v>
      </c>
      <c r="F5655" s="767">
        <v>82763.5</v>
      </c>
      <c r="G5655" s="767">
        <v>0</v>
      </c>
      <c r="H5655" s="767">
        <v>82763.5</v>
      </c>
      <c r="I5655" s="768" t="s">
        <v>1840</v>
      </c>
    </row>
    <row r="5656" spans="1:9" x14ac:dyDescent="0.25">
      <c r="A5656" s="753"/>
      <c r="C5656" s="131" t="s">
        <v>388</v>
      </c>
      <c r="D5656" s="131">
        <v>16</v>
      </c>
      <c r="E5656" s="131" t="s">
        <v>388</v>
      </c>
      <c r="F5656" s="767">
        <v>-488096.67</v>
      </c>
      <c r="G5656" s="767">
        <v>-138273.37</v>
      </c>
      <c r="H5656" s="767">
        <v>-626370.04</v>
      </c>
      <c r="I5656" s="768" t="s">
        <v>1842</v>
      </c>
    </row>
    <row r="5657" spans="1:9" x14ac:dyDescent="0.25">
      <c r="A5657" s="753"/>
      <c r="C5657" s="131" t="s">
        <v>1157</v>
      </c>
      <c r="D5657" s="131">
        <v>16</v>
      </c>
      <c r="E5657" s="131" t="s">
        <v>1157</v>
      </c>
      <c r="F5657" s="767">
        <v>453839.9</v>
      </c>
      <c r="G5657" s="767">
        <v>126082.57</v>
      </c>
      <c r="H5657" s="767">
        <v>579922.47</v>
      </c>
      <c r="I5657" s="768" t="s">
        <v>1843</v>
      </c>
    </row>
    <row r="5658" spans="1:9" x14ac:dyDescent="0.25">
      <c r="A5658" s="753"/>
      <c r="C5658" s="131" t="s">
        <v>372</v>
      </c>
      <c r="D5658" s="131">
        <v>16</v>
      </c>
      <c r="E5658" s="131" t="s">
        <v>372</v>
      </c>
      <c r="F5658" s="767">
        <v>-1072320</v>
      </c>
      <c r="G5658" s="767">
        <v>-324698.42</v>
      </c>
      <c r="H5658" s="767">
        <v>-1397018.42</v>
      </c>
      <c r="I5658" s="768" t="s">
        <v>1845</v>
      </c>
    </row>
    <row r="5659" spans="1:9" x14ac:dyDescent="0.25">
      <c r="A5659" s="753"/>
      <c r="C5659" s="131" t="s">
        <v>1159</v>
      </c>
      <c r="D5659" s="131">
        <v>16</v>
      </c>
      <c r="E5659" s="131" t="s">
        <v>1159</v>
      </c>
      <c r="F5659" s="767">
        <v>1004366.9</v>
      </c>
      <c r="G5659" s="767">
        <v>299603.12</v>
      </c>
      <c r="H5659" s="767">
        <v>1303970.02</v>
      </c>
      <c r="I5659" s="768" t="s">
        <v>1846</v>
      </c>
    </row>
    <row r="5660" spans="1:9" x14ac:dyDescent="0.25">
      <c r="A5660" s="753"/>
      <c r="C5660" s="131" t="s">
        <v>389</v>
      </c>
      <c r="D5660" s="131">
        <v>16</v>
      </c>
      <c r="E5660" s="131" t="s">
        <v>389</v>
      </c>
      <c r="F5660" s="767">
        <v>-160941.5</v>
      </c>
      <c r="G5660" s="767">
        <v>0</v>
      </c>
      <c r="H5660" s="767">
        <v>-160941.5</v>
      </c>
      <c r="I5660" s="768" t="s">
        <v>2296</v>
      </c>
    </row>
    <row r="5661" spans="1:9" x14ac:dyDescent="0.25">
      <c r="A5661" s="753"/>
      <c r="C5661" s="131" t="s">
        <v>2297</v>
      </c>
      <c r="D5661" s="131">
        <v>16</v>
      </c>
      <c r="E5661" s="131" t="s">
        <v>2297</v>
      </c>
      <c r="F5661" s="767">
        <v>156088.57999999999</v>
      </c>
      <c r="G5661" s="767">
        <v>0</v>
      </c>
      <c r="H5661" s="767">
        <v>156088.57999999999</v>
      </c>
      <c r="I5661" s="768" t="s">
        <v>2298</v>
      </c>
    </row>
    <row r="5662" spans="1:9" x14ac:dyDescent="0.25">
      <c r="A5662" s="753"/>
      <c r="C5662" s="131" t="s">
        <v>373</v>
      </c>
      <c r="D5662" s="131">
        <v>16</v>
      </c>
      <c r="E5662" s="131" t="s">
        <v>373</v>
      </c>
      <c r="F5662" s="767">
        <v>-345515.77</v>
      </c>
      <c r="G5662" s="767">
        <v>0</v>
      </c>
      <c r="H5662" s="767">
        <v>-345515.77</v>
      </c>
      <c r="I5662" s="768" t="s">
        <v>2301</v>
      </c>
    </row>
    <row r="5663" spans="1:9" x14ac:dyDescent="0.25">
      <c r="A5663" s="753"/>
      <c r="C5663" s="131" t="s">
        <v>2302</v>
      </c>
      <c r="D5663" s="131">
        <v>16</v>
      </c>
      <c r="E5663" s="131" t="s">
        <v>2302</v>
      </c>
      <c r="F5663" s="767">
        <v>339379.44</v>
      </c>
      <c r="G5663" s="767">
        <v>0</v>
      </c>
      <c r="H5663" s="767">
        <v>339379.44</v>
      </c>
      <c r="I5663" s="768" t="s">
        <v>2303</v>
      </c>
    </row>
    <row r="5664" spans="1:9" x14ac:dyDescent="0.25">
      <c r="A5664" s="753"/>
      <c r="C5664" s="131" t="s">
        <v>365</v>
      </c>
      <c r="D5664" s="131">
        <v>16</v>
      </c>
      <c r="E5664" s="131" t="s">
        <v>365</v>
      </c>
      <c r="F5664" s="767">
        <v>-242245.5</v>
      </c>
      <c r="G5664" s="767">
        <v>0</v>
      </c>
      <c r="H5664" s="767">
        <v>-242245.5</v>
      </c>
      <c r="I5664" s="768" t="s">
        <v>1850</v>
      </c>
    </row>
    <row r="5665" spans="1:9" x14ac:dyDescent="0.25">
      <c r="A5665" s="753"/>
      <c r="C5665" s="131" t="s">
        <v>365</v>
      </c>
      <c r="D5665" s="131">
        <v>16</v>
      </c>
      <c r="E5665" s="131" t="s">
        <v>1139</v>
      </c>
      <c r="F5665" s="767">
        <v>-72260.61</v>
      </c>
      <c r="G5665" s="767">
        <v>0</v>
      </c>
      <c r="H5665" s="767">
        <v>-72260.61</v>
      </c>
      <c r="I5665" s="768" t="s">
        <v>1851</v>
      </c>
    </row>
    <row r="5666" spans="1:9" x14ac:dyDescent="0.25">
      <c r="A5666" s="753"/>
      <c r="C5666" s="131" t="s">
        <v>1161</v>
      </c>
      <c r="D5666" s="131">
        <v>16</v>
      </c>
      <c r="E5666" s="131" t="s">
        <v>1161</v>
      </c>
      <c r="F5666" s="767">
        <v>225357.57</v>
      </c>
      <c r="G5666" s="767">
        <v>0</v>
      </c>
      <c r="H5666" s="767">
        <v>225357.57</v>
      </c>
      <c r="I5666" s="768" t="s">
        <v>1852</v>
      </c>
    </row>
    <row r="5667" spans="1:9" x14ac:dyDescent="0.25">
      <c r="A5667" s="753"/>
      <c r="C5667" s="131" t="s">
        <v>1161</v>
      </c>
      <c r="D5667" s="131">
        <v>16</v>
      </c>
      <c r="E5667" s="131" t="s">
        <v>1140</v>
      </c>
      <c r="F5667" s="767">
        <v>65199.61</v>
      </c>
      <c r="G5667" s="767">
        <v>0</v>
      </c>
      <c r="H5667" s="767">
        <v>65199.61</v>
      </c>
      <c r="I5667" s="768" t="s">
        <v>1853</v>
      </c>
    </row>
    <row r="5668" spans="1:9" x14ac:dyDescent="0.25">
      <c r="A5668" s="753"/>
      <c r="C5668" s="131" t="s">
        <v>416</v>
      </c>
      <c r="D5668" s="131">
        <v>16</v>
      </c>
      <c r="E5668" s="131" t="s">
        <v>416</v>
      </c>
      <c r="F5668" s="767">
        <v>-97623.5</v>
      </c>
      <c r="G5668" s="767">
        <v>0</v>
      </c>
      <c r="H5668" s="767">
        <v>-97623.5</v>
      </c>
      <c r="I5668" s="768" t="s">
        <v>1854</v>
      </c>
    </row>
    <row r="5669" spans="1:9" x14ac:dyDescent="0.25">
      <c r="A5669" s="753"/>
      <c r="C5669" s="131" t="s">
        <v>1163</v>
      </c>
      <c r="D5669" s="131">
        <v>16</v>
      </c>
      <c r="E5669" s="131" t="s">
        <v>1163</v>
      </c>
      <c r="F5669" s="767">
        <v>90757.33</v>
      </c>
      <c r="G5669" s="767">
        <v>0</v>
      </c>
      <c r="H5669" s="767">
        <v>90757.33</v>
      </c>
      <c r="I5669" s="768" t="s">
        <v>1854</v>
      </c>
    </row>
    <row r="5670" spans="1:9" x14ac:dyDescent="0.25">
      <c r="A5670" s="753"/>
      <c r="C5670" s="131" t="s">
        <v>256</v>
      </c>
      <c r="D5670" s="131">
        <v>16</v>
      </c>
      <c r="E5670" s="131" t="s">
        <v>256</v>
      </c>
      <c r="F5670" s="767">
        <v>-121994.74</v>
      </c>
      <c r="G5670" s="767">
        <v>0</v>
      </c>
      <c r="H5670" s="767">
        <v>-121994.74</v>
      </c>
      <c r="I5670" s="768" t="s">
        <v>1856</v>
      </c>
    </row>
    <row r="5671" spans="1:9" x14ac:dyDescent="0.25">
      <c r="A5671" s="753"/>
      <c r="C5671" s="131" t="s">
        <v>1165</v>
      </c>
      <c r="D5671" s="131">
        <v>16</v>
      </c>
      <c r="E5671" s="131" t="s">
        <v>1165</v>
      </c>
      <c r="F5671" s="767">
        <v>116172.84</v>
      </c>
      <c r="G5671" s="767">
        <v>0</v>
      </c>
      <c r="H5671" s="767">
        <v>116172.84</v>
      </c>
      <c r="I5671" s="768" t="s">
        <v>1857</v>
      </c>
    </row>
    <row r="5672" spans="1:9" x14ac:dyDescent="0.25">
      <c r="A5672" s="753"/>
      <c r="C5672" s="131" t="s">
        <v>366</v>
      </c>
      <c r="D5672" s="131">
        <v>16</v>
      </c>
      <c r="E5672" s="131" t="s">
        <v>366</v>
      </c>
      <c r="F5672" s="767">
        <v>-133336.91</v>
      </c>
      <c r="G5672" s="767">
        <v>0</v>
      </c>
      <c r="H5672" s="767">
        <v>-133336.91</v>
      </c>
      <c r="I5672" s="768" t="s">
        <v>1859</v>
      </c>
    </row>
    <row r="5673" spans="1:9" x14ac:dyDescent="0.25">
      <c r="A5673" s="753"/>
      <c r="C5673" s="131" t="s">
        <v>1155</v>
      </c>
      <c r="D5673" s="131">
        <v>16</v>
      </c>
      <c r="E5673" s="131" t="s">
        <v>1155</v>
      </c>
      <c r="F5673" s="767">
        <v>124643.41</v>
      </c>
      <c r="G5673" s="767">
        <v>0</v>
      </c>
      <c r="H5673" s="767">
        <v>124643.41</v>
      </c>
      <c r="I5673" s="768" t="s">
        <v>1860</v>
      </c>
    </row>
    <row r="5674" spans="1:9" x14ac:dyDescent="0.25">
      <c r="A5674" s="753"/>
      <c r="C5674" s="131" t="s">
        <v>391</v>
      </c>
      <c r="D5674" s="131">
        <v>16</v>
      </c>
      <c r="E5674" s="131" t="s">
        <v>391</v>
      </c>
      <c r="F5674" s="767">
        <v>-227978.65</v>
      </c>
      <c r="G5674" s="767">
        <v>0</v>
      </c>
      <c r="H5674" s="767">
        <v>-227978.65</v>
      </c>
      <c r="I5674" s="768" t="s">
        <v>1862</v>
      </c>
    </row>
    <row r="5675" spans="1:9" x14ac:dyDescent="0.25">
      <c r="A5675" s="753"/>
      <c r="C5675" s="131" t="s">
        <v>1168</v>
      </c>
      <c r="D5675" s="131">
        <v>16</v>
      </c>
      <c r="E5675" s="131" t="s">
        <v>1168</v>
      </c>
      <c r="F5675" s="767">
        <v>216450.03</v>
      </c>
      <c r="G5675" s="767">
        <v>0</v>
      </c>
      <c r="H5675" s="767">
        <v>216450.03</v>
      </c>
      <c r="I5675" s="768" t="s">
        <v>1863</v>
      </c>
    </row>
    <row r="5676" spans="1:9" x14ac:dyDescent="0.25">
      <c r="A5676" s="753"/>
      <c r="C5676" s="131">
        <v>415</v>
      </c>
      <c r="D5676" s="131">
        <v>16</v>
      </c>
      <c r="E5676" s="131">
        <v>415</v>
      </c>
      <c r="F5676" s="767">
        <v>0</v>
      </c>
      <c r="G5676" s="767">
        <v>-140922.95000000001</v>
      </c>
      <c r="H5676" s="767">
        <v>-140922.95000000001</v>
      </c>
      <c r="I5676" s="768" t="s">
        <v>2306</v>
      </c>
    </row>
    <row r="5677" spans="1:9" x14ac:dyDescent="0.25">
      <c r="A5677" s="753"/>
      <c r="C5677" s="131">
        <v>615</v>
      </c>
      <c r="D5677" s="131">
        <v>16</v>
      </c>
      <c r="E5677" s="131">
        <v>615</v>
      </c>
      <c r="F5677" s="767">
        <v>0</v>
      </c>
      <c r="G5677" s="767">
        <v>135011.85</v>
      </c>
      <c r="H5677" s="767">
        <v>135011.85</v>
      </c>
      <c r="I5677" s="768" t="s">
        <v>2307</v>
      </c>
    </row>
    <row r="5678" spans="1:9" x14ac:dyDescent="0.25">
      <c r="A5678" s="753"/>
      <c r="C5678" s="131" t="s">
        <v>394</v>
      </c>
      <c r="D5678" s="131">
        <v>16</v>
      </c>
      <c r="E5678" s="131" t="s">
        <v>394</v>
      </c>
      <c r="F5678" s="767">
        <v>-118545.13</v>
      </c>
      <c r="G5678" s="767">
        <v>0</v>
      </c>
      <c r="H5678" s="767">
        <v>-118545.13</v>
      </c>
      <c r="I5678" s="768" t="s">
        <v>1865</v>
      </c>
    </row>
    <row r="5679" spans="1:9" x14ac:dyDescent="0.25">
      <c r="A5679" s="753"/>
      <c r="C5679" s="131" t="s">
        <v>1122</v>
      </c>
      <c r="D5679" s="131">
        <v>16</v>
      </c>
      <c r="E5679" s="131" t="s">
        <v>1122</v>
      </c>
      <c r="F5679" s="767">
        <v>118545.13</v>
      </c>
      <c r="G5679" s="767">
        <v>0</v>
      </c>
      <c r="H5679" s="767">
        <v>118545.13</v>
      </c>
      <c r="I5679" s="768" t="s">
        <v>1866</v>
      </c>
    </row>
    <row r="5680" spans="1:9" x14ac:dyDescent="0.25">
      <c r="A5680" s="753"/>
      <c r="C5680" s="131" t="s">
        <v>292</v>
      </c>
      <c r="D5680" s="131">
        <v>16</v>
      </c>
      <c r="E5680" s="131" t="s">
        <v>1080</v>
      </c>
      <c r="F5680" s="767">
        <v>-128273.5</v>
      </c>
      <c r="G5680" s="767">
        <v>0</v>
      </c>
      <c r="H5680" s="767">
        <v>-128273.5</v>
      </c>
      <c r="I5680" s="768" t="s">
        <v>1868</v>
      </c>
    </row>
    <row r="5681" spans="1:9" x14ac:dyDescent="0.25">
      <c r="A5681" s="753"/>
      <c r="C5681" s="131" t="s">
        <v>1174</v>
      </c>
      <c r="D5681" s="131">
        <v>16</v>
      </c>
      <c r="E5681" s="131" t="s">
        <v>1081</v>
      </c>
      <c r="F5681" s="767">
        <v>115038.03</v>
      </c>
      <c r="G5681" s="767">
        <v>0</v>
      </c>
      <c r="H5681" s="767">
        <v>115038.03</v>
      </c>
      <c r="I5681" s="768" t="s">
        <v>1869</v>
      </c>
    </row>
    <row r="5682" spans="1:9" x14ac:dyDescent="0.25">
      <c r="A5682" s="753"/>
      <c r="C5682" s="131" t="s">
        <v>297</v>
      </c>
      <c r="D5682" s="131">
        <v>16</v>
      </c>
      <c r="E5682" s="131" t="s">
        <v>297</v>
      </c>
      <c r="F5682" s="767">
        <v>-156342</v>
      </c>
      <c r="G5682" s="767">
        <v>0</v>
      </c>
      <c r="H5682" s="767">
        <v>-156342</v>
      </c>
      <c r="I5682" s="768" t="s">
        <v>1871</v>
      </c>
    </row>
    <row r="5683" spans="1:9" x14ac:dyDescent="0.25">
      <c r="A5683" s="753"/>
      <c r="C5683" s="131" t="s">
        <v>1083</v>
      </c>
      <c r="D5683" s="131">
        <v>16</v>
      </c>
      <c r="E5683" s="131" t="s">
        <v>1083</v>
      </c>
      <c r="F5683" s="767">
        <v>147709.57999999999</v>
      </c>
      <c r="G5683" s="767">
        <v>0</v>
      </c>
      <c r="H5683" s="767">
        <v>147709.57999999999</v>
      </c>
      <c r="I5683" s="768" t="s">
        <v>1872</v>
      </c>
    </row>
    <row r="5684" spans="1:9" x14ac:dyDescent="0.25">
      <c r="A5684" s="753"/>
      <c r="C5684" s="131" t="s">
        <v>299</v>
      </c>
      <c r="D5684" s="131">
        <v>16</v>
      </c>
      <c r="E5684" s="131" t="s">
        <v>299</v>
      </c>
      <c r="F5684" s="767">
        <v>-363200</v>
      </c>
      <c r="G5684" s="767">
        <v>0</v>
      </c>
      <c r="H5684" s="767">
        <v>-363200</v>
      </c>
      <c r="I5684" s="768" t="s">
        <v>1874</v>
      </c>
    </row>
    <row r="5685" spans="1:9" x14ac:dyDescent="0.25">
      <c r="A5685" s="753"/>
      <c r="C5685" s="131" t="s">
        <v>1180</v>
      </c>
      <c r="D5685" s="131">
        <v>16</v>
      </c>
      <c r="E5685" s="131" t="s">
        <v>1180</v>
      </c>
      <c r="F5685" s="767">
        <v>343503.43</v>
      </c>
      <c r="G5685" s="767">
        <v>0</v>
      </c>
      <c r="H5685" s="767">
        <v>343503.43</v>
      </c>
      <c r="I5685" s="768" t="s">
        <v>1875</v>
      </c>
    </row>
    <row r="5686" spans="1:9" x14ac:dyDescent="0.25">
      <c r="A5686" s="753"/>
      <c r="C5686" s="131" t="s">
        <v>376</v>
      </c>
      <c r="D5686" s="131">
        <v>16</v>
      </c>
      <c r="E5686" s="131" t="s">
        <v>376</v>
      </c>
      <c r="F5686" s="767">
        <v>-98510.95</v>
      </c>
      <c r="G5686" s="767">
        <v>0</v>
      </c>
      <c r="H5686" s="767">
        <v>-98510.95</v>
      </c>
      <c r="I5686" s="768" t="s">
        <v>2278</v>
      </c>
    </row>
    <row r="5687" spans="1:9" x14ac:dyDescent="0.25">
      <c r="A5687" s="753"/>
      <c r="C5687" s="131" t="s">
        <v>2279</v>
      </c>
      <c r="D5687" s="131">
        <v>16</v>
      </c>
      <c r="E5687" s="131" t="s">
        <v>2279</v>
      </c>
      <c r="F5687" s="767">
        <v>97615</v>
      </c>
      <c r="G5687" s="767">
        <v>0</v>
      </c>
      <c r="H5687" s="767">
        <v>97615</v>
      </c>
      <c r="I5687" s="768" t="s">
        <v>2280</v>
      </c>
    </row>
    <row r="5688" spans="1:9" x14ac:dyDescent="0.25">
      <c r="A5688" s="753"/>
      <c r="C5688" s="131" t="s">
        <v>378</v>
      </c>
      <c r="D5688" s="131">
        <v>16</v>
      </c>
      <c r="E5688" s="131" t="s">
        <v>378</v>
      </c>
      <c r="F5688" s="767">
        <v>-323316.75</v>
      </c>
      <c r="G5688" s="767">
        <v>0</v>
      </c>
      <c r="H5688" s="767">
        <v>-323316.75</v>
      </c>
      <c r="I5688" s="768" t="s">
        <v>1769</v>
      </c>
    </row>
    <row r="5689" spans="1:9" x14ac:dyDescent="0.25">
      <c r="A5689" s="753"/>
      <c r="C5689" s="131" t="s">
        <v>1121</v>
      </c>
      <c r="D5689" s="131">
        <v>16</v>
      </c>
      <c r="E5689" s="131" t="s">
        <v>1121</v>
      </c>
      <c r="F5689" s="767">
        <v>316233.65000000002</v>
      </c>
      <c r="G5689" s="767">
        <v>0</v>
      </c>
      <c r="H5689" s="767">
        <v>316233.65000000002</v>
      </c>
      <c r="I5689" s="768" t="s">
        <v>1770</v>
      </c>
    </row>
    <row r="5690" spans="1:9" x14ac:dyDescent="0.25">
      <c r="A5690" s="753">
        <v>605328</v>
      </c>
      <c r="B5690" s="130">
        <v>4752</v>
      </c>
      <c r="E5690" s="131"/>
    </row>
    <row r="5691" spans="1:9" x14ac:dyDescent="0.25">
      <c r="A5691" s="753">
        <v>605412</v>
      </c>
      <c r="B5691" s="130">
        <v>13</v>
      </c>
      <c r="E5691" s="131"/>
    </row>
    <row r="5692" spans="1:9" x14ac:dyDescent="0.25">
      <c r="A5692" s="753">
        <v>605414</v>
      </c>
      <c r="B5692" s="130">
        <v>924426</v>
      </c>
      <c r="E5692" s="131"/>
    </row>
    <row r="5693" spans="1:9" x14ac:dyDescent="0.25">
      <c r="A5693" s="753">
        <v>605416</v>
      </c>
      <c r="B5693" s="130">
        <v>55672</v>
      </c>
      <c r="C5693" s="131">
        <v>416</v>
      </c>
      <c r="D5693" s="131">
        <v>16</v>
      </c>
      <c r="E5693" s="131">
        <v>416</v>
      </c>
      <c r="F5693" s="767">
        <v>-1003631.7</v>
      </c>
      <c r="G5693" s="767">
        <v>-238444</v>
      </c>
      <c r="H5693" s="767">
        <v>-1242075.7</v>
      </c>
      <c r="I5693" s="768" t="s">
        <v>1720</v>
      </c>
    </row>
    <row r="5694" spans="1:9" x14ac:dyDescent="0.25">
      <c r="A5694" s="753"/>
      <c r="C5694" s="131">
        <v>616</v>
      </c>
      <c r="D5694" s="131">
        <v>16</v>
      </c>
      <c r="E5694" s="131">
        <v>616</v>
      </c>
      <c r="F5694" s="767">
        <v>941860.05</v>
      </c>
      <c r="G5694" s="767">
        <v>224614.34</v>
      </c>
      <c r="H5694" s="767">
        <v>1166474.3899999999</v>
      </c>
      <c r="I5694" s="768" t="s">
        <v>1721</v>
      </c>
    </row>
    <row r="5695" spans="1:9" x14ac:dyDescent="0.25">
      <c r="A5695" s="753"/>
      <c r="C5695" s="131" t="s">
        <v>400</v>
      </c>
      <c r="D5695" s="131">
        <v>16</v>
      </c>
      <c r="E5695" s="131" t="s">
        <v>400</v>
      </c>
      <c r="F5695" s="767">
        <v>-139749.68</v>
      </c>
      <c r="G5695" s="767">
        <v>-74470.399999999994</v>
      </c>
      <c r="H5695" s="767">
        <v>-214220.08</v>
      </c>
      <c r="I5695" s="768" t="s">
        <v>1723</v>
      </c>
    </row>
    <row r="5696" spans="1:9" x14ac:dyDescent="0.25">
      <c r="A5696" s="753"/>
      <c r="C5696" s="131" t="s">
        <v>1100</v>
      </c>
      <c r="D5696" s="131">
        <v>16</v>
      </c>
      <c r="E5696" s="131" t="s">
        <v>1100</v>
      </c>
      <c r="F5696" s="767">
        <v>131422.87</v>
      </c>
      <c r="G5696" s="767">
        <v>69814.75</v>
      </c>
      <c r="H5696" s="767">
        <v>201237.62</v>
      </c>
      <c r="I5696" s="768" t="s">
        <v>1724</v>
      </c>
    </row>
    <row r="5697" spans="1:9" x14ac:dyDescent="0.25">
      <c r="A5697" s="753"/>
      <c r="C5697" s="131">
        <v>409</v>
      </c>
      <c r="D5697" s="131">
        <v>16</v>
      </c>
      <c r="E5697" s="131">
        <v>409</v>
      </c>
      <c r="F5697" s="767">
        <v>-363098.13</v>
      </c>
      <c r="G5697" s="767">
        <v>-188223.59</v>
      </c>
      <c r="H5697" s="767">
        <v>-551321.72</v>
      </c>
      <c r="I5697" s="768" t="s">
        <v>1725</v>
      </c>
    </row>
    <row r="5698" spans="1:9" x14ac:dyDescent="0.25">
      <c r="A5698" s="753"/>
      <c r="C5698" s="131">
        <v>609</v>
      </c>
      <c r="D5698" s="131">
        <v>16</v>
      </c>
      <c r="E5698" s="131">
        <v>609</v>
      </c>
      <c r="F5698" s="767">
        <v>341003.75</v>
      </c>
      <c r="G5698" s="767">
        <v>179636.18</v>
      </c>
      <c r="H5698" s="767">
        <v>520639.93</v>
      </c>
      <c r="I5698" s="768" t="s">
        <v>1725</v>
      </c>
    </row>
    <row r="5699" spans="1:9" x14ac:dyDescent="0.25">
      <c r="A5699" s="753"/>
      <c r="C5699" s="131" t="s">
        <v>1102</v>
      </c>
      <c r="D5699" s="131">
        <v>16</v>
      </c>
      <c r="E5699" s="131" t="s">
        <v>1102</v>
      </c>
      <c r="F5699" s="767">
        <v>-90100.5</v>
      </c>
      <c r="G5699" s="767">
        <v>-79723.5</v>
      </c>
      <c r="H5699" s="767">
        <v>-169824</v>
      </c>
      <c r="I5699" s="768" t="s">
        <v>1726</v>
      </c>
    </row>
    <row r="5700" spans="1:9" x14ac:dyDescent="0.25">
      <c r="A5700" s="753"/>
      <c r="C5700" s="131" t="s">
        <v>1103</v>
      </c>
      <c r="D5700" s="131">
        <v>16</v>
      </c>
      <c r="E5700" s="131" t="s">
        <v>1103</v>
      </c>
      <c r="F5700" s="767">
        <v>84965.15</v>
      </c>
      <c r="G5700" s="767">
        <v>74349.23</v>
      </c>
      <c r="H5700" s="767">
        <v>159314.38</v>
      </c>
      <c r="I5700" s="768" t="s">
        <v>1726</v>
      </c>
    </row>
    <row r="5701" spans="1:9" x14ac:dyDescent="0.25">
      <c r="A5701" s="753"/>
      <c r="C5701" s="131" t="s">
        <v>104</v>
      </c>
      <c r="D5701" s="131">
        <v>16</v>
      </c>
      <c r="E5701" s="131" t="s">
        <v>104</v>
      </c>
      <c r="F5701" s="767">
        <v>-1584890.7</v>
      </c>
      <c r="G5701" s="767">
        <v>0</v>
      </c>
      <c r="H5701" s="767">
        <v>-1584890.7</v>
      </c>
      <c r="I5701" s="768" t="s">
        <v>1728</v>
      </c>
    </row>
    <row r="5702" spans="1:9" x14ac:dyDescent="0.25">
      <c r="A5702" s="753"/>
      <c r="C5702" s="131" t="s">
        <v>1106</v>
      </c>
      <c r="D5702" s="131">
        <v>16</v>
      </c>
      <c r="E5702" s="131" t="s">
        <v>1106</v>
      </c>
      <c r="F5702" s="767">
        <v>1486270.54</v>
      </c>
      <c r="G5702" s="767">
        <v>0</v>
      </c>
      <c r="H5702" s="767">
        <v>1486270.54</v>
      </c>
      <c r="I5702" s="768" t="s">
        <v>1729</v>
      </c>
    </row>
    <row r="5703" spans="1:9" x14ac:dyDescent="0.25">
      <c r="A5703" s="753"/>
      <c r="C5703" s="131" t="s">
        <v>282</v>
      </c>
      <c r="D5703" s="131">
        <v>16</v>
      </c>
      <c r="E5703" s="131" t="s">
        <v>282</v>
      </c>
      <c r="F5703" s="767">
        <v>-355284</v>
      </c>
      <c r="G5703" s="767">
        <v>0</v>
      </c>
      <c r="H5703" s="767">
        <v>-355284</v>
      </c>
      <c r="I5703" s="768" t="s">
        <v>1731</v>
      </c>
    </row>
    <row r="5704" spans="1:9" x14ac:dyDescent="0.25">
      <c r="A5704" s="753"/>
      <c r="C5704" s="131" t="s">
        <v>1107</v>
      </c>
      <c r="D5704" s="131">
        <v>16</v>
      </c>
      <c r="E5704" s="131" t="s">
        <v>1107</v>
      </c>
      <c r="F5704" s="767">
        <v>333495.65000000002</v>
      </c>
      <c r="G5704" s="767">
        <v>0</v>
      </c>
      <c r="H5704" s="767">
        <v>333495.65000000002</v>
      </c>
      <c r="I5704" s="768" t="s">
        <v>1732</v>
      </c>
    </row>
    <row r="5705" spans="1:9" x14ac:dyDescent="0.25">
      <c r="A5705" s="753"/>
      <c r="C5705" s="131" t="s">
        <v>340</v>
      </c>
      <c r="D5705" s="131">
        <v>16</v>
      </c>
      <c r="E5705" s="131" t="s">
        <v>340</v>
      </c>
      <c r="F5705" s="767">
        <v>-482797.12</v>
      </c>
      <c r="G5705" s="767">
        <v>-236789.98</v>
      </c>
      <c r="H5705" s="767">
        <v>-719587.1</v>
      </c>
      <c r="I5705" s="768" t="s">
        <v>1734</v>
      </c>
    </row>
    <row r="5706" spans="1:9" x14ac:dyDescent="0.25">
      <c r="A5706" s="753"/>
      <c r="C5706" s="131" t="s">
        <v>1108</v>
      </c>
      <c r="D5706" s="131">
        <v>16</v>
      </c>
      <c r="E5706" s="131" t="s">
        <v>1108</v>
      </c>
      <c r="F5706" s="767">
        <v>453323.44</v>
      </c>
      <c r="G5706" s="767">
        <v>217365.05</v>
      </c>
      <c r="H5706" s="767">
        <v>670688.49</v>
      </c>
      <c r="I5706" s="768" t="s">
        <v>1735</v>
      </c>
    </row>
    <row r="5707" spans="1:9" x14ac:dyDescent="0.25">
      <c r="A5707" s="753"/>
      <c r="C5707" s="131" t="s">
        <v>301</v>
      </c>
      <c r="D5707" s="131">
        <v>16</v>
      </c>
      <c r="E5707" s="131" t="s">
        <v>301</v>
      </c>
      <c r="F5707" s="767">
        <v>-109302.93</v>
      </c>
      <c r="G5707" s="767">
        <v>0</v>
      </c>
      <c r="H5707" s="767">
        <v>-109302.93</v>
      </c>
      <c r="I5707" s="768" t="s">
        <v>2272</v>
      </c>
    </row>
    <row r="5708" spans="1:9" x14ac:dyDescent="0.25">
      <c r="A5708" s="753"/>
      <c r="C5708" s="131" t="s">
        <v>2273</v>
      </c>
      <c r="D5708" s="131">
        <v>16</v>
      </c>
      <c r="E5708" s="131" t="s">
        <v>2273</v>
      </c>
      <c r="F5708" s="767">
        <v>109633.12</v>
      </c>
      <c r="G5708" s="767">
        <v>0</v>
      </c>
      <c r="H5708" s="767">
        <v>109633.12</v>
      </c>
      <c r="I5708" s="768" t="s">
        <v>2274</v>
      </c>
    </row>
    <row r="5709" spans="1:9" x14ac:dyDescent="0.25">
      <c r="A5709" s="753"/>
      <c r="C5709" s="131" t="s">
        <v>237</v>
      </c>
      <c r="D5709" s="131">
        <v>16</v>
      </c>
      <c r="E5709" s="131" t="s">
        <v>237</v>
      </c>
      <c r="F5709" s="767">
        <v>-222837.66</v>
      </c>
      <c r="G5709" s="767">
        <v>0</v>
      </c>
      <c r="H5709" s="767">
        <v>-222837.66</v>
      </c>
      <c r="I5709" s="768" t="s">
        <v>1737</v>
      </c>
    </row>
    <row r="5710" spans="1:9" x14ac:dyDescent="0.25">
      <c r="A5710" s="753"/>
      <c r="C5710" s="131" t="s">
        <v>1094</v>
      </c>
      <c r="D5710" s="131">
        <v>16</v>
      </c>
      <c r="E5710" s="131" t="s">
        <v>1094</v>
      </c>
      <c r="F5710" s="767">
        <v>208571.21</v>
      </c>
      <c r="G5710" s="767">
        <v>0</v>
      </c>
      <c r="H5710" s="767">
        <v>208571.21</v>
      </c>
      <c r="I5710" s="768" t="s">
        <v>1738</v>
      </c>
    </row>
    <row r="5711" spans="1:9" x14ac:dyDescent="0.25">
      <c r="A5711" s="753"/>
      <c r="C5711" s="131" t="s">
        <v>258</v>
      </c>
      <c r="D5711" s="131">
        <v>16</v>
      </c>
      <c r="E5711" s="131" t="s">
        <v>258</v>
      </c>
      <c r="F5711" s="767">
        <v>-180770</v>
      </c>
      <c r="G5711" s="767">
        <v>0</v>
      </c>
      <c r="H5711" s="767">
        <v>-180770</v>
      </c>
      <c r="I5711" s="768" t="s">
        <v>1741</v>
      </c>
    </row>
    <row r="5712" spans="1:9" x14ac:dyDescent="0.25">
      <c r="A5712" s="753"/>
      <c r="C5712" s="131" t="s">
        <v>1742</v>
      </c>
      <c r="D5712" s="131">
        <v>16</v>
      </c>
      <c r="E5712" s="131" t="s">
        <v>1742</v>
      </c>
      <c r="F5712" s="767">
        <v>168281.09</v>
      </c>
      <c r="G5712" s="767">
        <v>0</v>
      </c>
      <c r="H5712" s="767">
        <v>168281.09</v>
      </c>
      <c r="I5712" s="768" t="s">
        <v>1743</v>
      </c>
    </row>
    <row r="5713" spans="1:9" x14ac:dyDescent="0.25">
      <c r="A5713" s="753"/>
      <c r="C5713" s="131" t="s">
        <v>105</v>
      </c>
      <c r="D5713" s="131">
        <v>16</v>
      </c>
      <c r="E5713" s="131" t="s">
        <v>105</v>
      </c>
      <c r="F5713" s="767">
        <v>-751239.23</v>
      </c>
      <c r="G5713" s="767">
        <v>-106773.5</v>
      </c>
      <c r="H5713" s="767">
        <v>-858012.73</v>
      </c>
      <c r="I5713" s="768" t="s">
        <v>1745</v>
      </c>
    </row>
    <row r="5714" spans="1:9" x14ac:dyDescent="0.25">
      <c r="A5714" s="753"/>
      <c r="C5714" s="131" t="s">
        <v>1110</v>
      </c>
      <c r="D5714" s="131">
        <v>16</v>
      </c>
      <c r="E5714" s="131" t="s">
        <v>1110</v>
      </c>
      <c r="F5714" s="767">
        <v>714996.42</v>
      </c>
      <c r="G5714" s="767">
        <v>102975</v>
      </c>
      <c r="H5714" s="767">
        <v>817971.42</v>
      </c>
      <c r="I5714" s="768" t="s">
        <v>1746</v>
      </c>
    </row>
    <row r="5715" spans="1:9" x14ac:dyDescent="0.25">
      <c r="A5715" s="753"/>
      <c r="C5715" s="131" t="s">
        <v>401</v>
      </c>
      <c r="D5715" s="131">
        <v>16</v>
      </c>
      <c r="E5715" s="131" t="s">
        <v>401</v>
      </c>
      <c r="F5715" s="767">
        <v>-976653.2</v>
      </c>
      <c r="G5715" s="767">
        <v>0</v>
      </c>
      <c r="H5715" s="767">
        <v>-976653.2</v>
      </c>
      <c r="I5715" s="768" t="s">
        <v>1748</v>
      </c>
    </row>
    <row r="5716" spans="1:9" x14ac:dyDescent="0.25">
      <c r="A5716" s="753"/>
      <c r="C5716" s="131" t="s">
        <v>1112</v>
      </c>
      <c r="D5716" s="131">
        <v>16</v>
      </c>
      <c r="E5716" s="131" t="s">
        <v>1112</v>
      </c>
      <c r="F5716" s="767">
        <v>912448.95</v>
      </c>
      <c r="G5716" s="767">
        <v>0</v>
      </c>
      <c r="H5716" s="767">
        <v>912448.95</v>
      </c>
      <c r="I5716" s="768" t="s">
        <v>1749</v>
      </c>
    </row>
    <row r="5717" spans="1:9" x14ac:dyDescent="0.25">
      <c r="A5717" s="753"/>
      <c r="C5717" s="131">
        <v>447</v>
      </c>
      <c r="D5717" s="131">
        <v>16</v>
      </c>
      <c r="E5717" s="131">
        <v>447</v>
      </c>
      <c r="F5717" s="767">
        <v>-151506.5</v>
      </c>
      <c r="G5717" s="767">
        <v>0</v>
      </c>
      <c r="H5717" s="767">
        <v>-151506.5</v>
      </c>
      <c r="I5717" s="768" t="s">
        <v>1751</v>
      </c>
    </row>
    <row r="5718" spans="1:9" x14ac:dyDescent="0.25">
      <c r="A5718" s="753"/>
      <c r="C5718" s="131">
        <v>647</v>
      </c>
      <c r="D5718" s="131">
        <v>16</v>
      </c>
      <c r="E5718" s="131">
        <v>647</v>
      </c>
      <c r="F5718" s="767">
        <v>145006.09</v>
      </c>
      <c r="G5718" s="767">
        <v>0</v>
      </c>
      <c r="H5718" s="767">
        <v>145006.09</v>
      </c>
      <c r="I5718" s="768" t="s">
        <v>1752</v>
      </c>
    </row>
    <row r="5719" spans="1:9" x14ac:dyDescent="0.25">
      <c r="A5719" s="753"/>
      <c r="C5719" s="131" t="s">
        <v>106</v>
      </c>
      <c r="D5719" s="131">
        <v>16</v>
      </c>
      <c r="E5719" s="131" t="s">
        <v>106</v>
      </c>
      <c r="F5719" s="767">
        <v>-227426</v>
      </c>
      <c r="G5719" s="767">
        <v>0</v>
      </c>
      <c r="H5719" s="767">
        <v>-227426</v>
      </c>
      <c r="I5719" s="768" t="s">
        <v>1754</v>
      </c>
    </row>
    <row r="5720" spans="1:9" x14ac:dyDescent="0.25">
      <c r="A5720" s="753"/>
      <c r="C5720" s="131" t="s">
        <v>1143</v>
      </c>
      <c r="D5720" s="131">
        <v>16</v>
      </c>
      <c r="E5720" s="131" t="s">
        <v>1143</v>
      </c>
      <c r="F5720" s="767">
        <v>214312.85</v>
      </c>
      <c r="G5720" s="767">
        <v>0</v>
      </c>
      <c r="H5720" s="767">
        <v>214312.85</v>
      </c>
      <c r="I5720" s="768" t="s">
        <v>1755</v>
      </c>
    </row>
    <row r="5721" spans="1:9" x14ac:dyDescent="0.25">
      <c r="A5721" s="753"/>
      <c r="C5721" s="131" t="s">
        <v>405</v>
      </c>
      <c r="D5721" s="131">
        <v>16</v>
      </c>
      <c r="E5721" s="131" t="s">
        <v>405</v>
      </c>
      <c r="F5721" s="767">
        <v>-235967</v>
      </c>
      <c r="G5721" s="767">
        <v>0</v>
      </c>
      <c r="H5721" s="767">
        <v>-235967</v>
      </c>
      <c r="I5721" s="768" t="s">
        <v>1757</v>
      </c>
    </row>
    <row r="5722" spans="1:9" x14ac:dyDescent="0.25">
      <c r="A5722" s="753"/>
      <c r="C5722" s="131" t="s">
        <v>1116</v>
      </c>
      <c r="D5722" s="131">
        <v>16</v>
      </c>
      <c r="E5722" s="131" t="s">
        <v>1116</v>
      </c>
      <c r="F5722" s="767">
        <v>220347.51999999999</v>
      </c>
      <c r="G5722" s="767">
        <v>0</v>
      </c>
      <c r="H5722" s="767">
        <v>220347.51999999999</v>
      </c>
      <c r="I5722" s="768" t="s">
        <v>1758</v>
      </c>
    </row>
    <row r="5723" spans="1:9" x14ac:dyDescent="0.25">
      <c r="A5723" s="753"/>
      <c r="C5723" s="131">
        <v>480</v>
      </c>
      <c r="D5723" s="131">
        <v>16</v>
      </c>
      <c r="E5723" s="131">
        <v>480</v>
      </c>
      <c r="F5723" s="767">
        <v>-273292.68</v>
      </c>
      <c r="G5723" s="767">
        <v>0</v>
      </c>
      <c r="H5723" s="767">
        <v>-273292.68</v>
      </c>
      <c r="I5723" s="768" t="s">
        <v>1760</v>
      </c>
    </row>
    <row r="5724" spans="1:9" x14ac:dyDescent="0.25">
      <c r="A5724" s="753"/>
      <c r="C5724" s="131">
        <v>680</v>
      </c>
      <c r="D5724" s="131">
        <v>16</v>
      </c>
      <c r="E5724" s="131">
        <v>680</v>
      </c>
      <c r="F5724" s="767">
        <v>269709.11</v>
      </c>
      <c r="G5724" s="767">
        <v>0</v>
      </c>
      <c r="H5724" s="767">
        <v>269709.11</v>
      </c>
      <c r="I5724" s="768" t="s">
        <v>1761</v>
      </c>
    </row>
    <row r="5725" spans="1:9" x14ac:dyDescent="0.25">
      <c r="A5725" s="753"/>
      <c r="C5725" s="131" t="s">
        <v>406</v>
      </c>
      <c r="D5725" s="131">
        <v>16</v>
      </c>
      <c r="E5725" s="131" t="s">
        <v>406</v>
      </c>
      <c r="F5725" s="767">
        <v>-309378.09999999998</v>
      </c>
      <c r="G5725" s="767">
        <v>0</v>
      </c>
      <c r="H5725" s="767">
        <v>-309378.09999999998</v>
      </c>
      <c r="I5725" s="768" t="s">
        <v>1764</v>
      </c>
    </row>
    <row r="5726" spans="1:9" x14ac:dyDescent="0.25">
      <c r="A5726" s="753"/>
      <c r="C5726" s="131" t="s">
        <v>1119</v>
      </c>
      <c r="D5726" s="131">
        <v>16</v>
      </c>
      <c r="E5726" s="131" t="s">
        <v>1119</v>
      </c>
      <c r="F5726" s="767">
        <v>291459.78000000003</v>
      </c>
      <c r="G5726" s="767">
        <v>0</v>
      </c>
      <c r="H5726" s="767">
        <v>291459.78000000003</v>
      </c>
      <c r="I5726" s="768" t="s">
        <v>1765</v>
      </c>
    </row>
    <row r="5727" spans="1:9" x14ac:dyDescent="0.25">
      <c r="A5727" s="753"/>
      <c r="C5727" s="131">
        <v>481</v>
      </c>
      <c r="D5727" s="131">
        <v>16</v>
      </c>
      <c r="E5727" s="131">
        <v>481</v>
      </c>
      <c r="F5727" s="767">
        <v>-237027.97</v>
      </c>
      <c r="G5727" s="767">
        <v>0</v>
      </c>
      <c r="H5727" s="767">
        <v>-237027.97</v>
      </c>
      <c r="I5727" s="768" t="s">
        <v>408</v>
      </c>
    </row>
    <row r="5728" spans="1:9" x14ac:dyDescent="0.25">
      <c r="A5728" s="753"/>
      <c r="C5728" s="131">
        <v>681</v>
      </c>
      <c r="D5728" s="131">
        <v>16</v>
      </c>
      <c r="E5728" s="131">
        <v>681</v>
      </c>
      <c r="F5728" s="767">
        <v>233811.43</v>
      </c>
      <c r="G5728" s="767">
        <v>0</v>
      </c>
      <c r="H5728" s="767">
        <v>233811.43</v>
      </c>
      <c r="I5728" s="768" t="s">
        <v>408</v>
      </c>
    </row>
    <row r="5729" spans="1:9" x14ac:dyDescent="0.25">
      <c r="A5729" s="753"/>
      <c r="C5729" s="131" t="s">
        <v>410</v>
      </c>
      <c r="D5729" s="131">
        <v>16</v>
      </c>
      <c r="E5729" s="131" t="s">
        <v>410</v>
      </c>
      <c r="F5729" s="767">
        <v>-246468.25</v>
      </c>
      <c r="G5729" s="767">
        <v>0</v>
      </c>
      <c r="H5729" s="767">
        <v>-246468.25</v>
      </c>
      <c r="I5729" s="768" t="s">
        <v>1767</v>
      </c>
    </row>
    <row r="5730" spans="1:9" x14ac:dyDescent="0.25">
      <c r="A5730" s="753"/>
      <c r="C5730" s="131" t="s">
        <v>1120</v>
      </c>
      <c r="D5730" s="131">
        <v>16</v>
      </c>
      <c r="E5730" s="131" t="s">
        <v>1120</v>
      </c>
      <c r="F5730" s="767">
        <v>235559.82</v>
      </c>
      <c r="G5730" s="767">
        <v>0</v>
      </c>
      <c r="H5730" s="767">
        <v>235559.82</v>
      </c>
      <c r="I5730" s="768" t="s">
        <v>1767</v>
      </c>
    </row>
    <row r="5731" spans="1:9" x14ac:dyDescent="0.25">
      <c r="A5731" s="753"/>
      <c r="C5731" s="131" t="s">
        <v>376</v>
      </c>
      <c r="D5731" s="131">
        <v>16</v>
      </c>
      <c r="E5731" s="131" t="s">
        <v>376</v>
      </c>
      <c r="F5731" s="767">
        <v>-98510.95</v>
      </c>
      <c r="G5731" s="767">
        <v>0</v>
      </c>
      <c r="H5731" s="767">
        <v>-98510.95</v>
      </c>
      <c r="I5731" s="768" t="s">
        <v>2278</v>
      </c>
    </row>
    <row r="5732" spans="1:9" x14ac:dyDescent="0.25">
      <c r="A5732" s="753"/>
      <c r="C5732" s="131" t="s">
        <v>2279</v>
      </c>
      <c r="D5732" s="131">
        <v>16</v>
      </c>
      <c r="E5732" s="131" t="s">
        <v>2279</v>
      </c>
      <c r="F5732" s="767">
        <v>97615</v>
      </c>
      <c r="G5732" s="767">
        <v>0</v>
      </c>
      <c r="H5732" s="767">
        <v>97615</v>
      </c>
      <c r="I5732" s="768" t="s">
        <v>2280</v>
      </c>
    </row>
    <row r="5733" spans="1:9" x14ac:dyDescent="0.25">
      <c r="A5733" s="753"/>
      <c r="C5733" s="131" t="s">
        <v>378</v>
      </c>
      <c r="D5733" s="131">
        <v>16</v>
      </c>
      <c r="E5733" s="131" t="s">
        <v>378</v>
      </c>
      <c r="F5733" s="767">
        <v>-323316.75</v>
      </c>
      <c r="G5733" s="767">
        <v>0</v>
      </c>
      <c r="H5733" s="767">
        <v>-323316.75</v>
      </c>
      <c r="I5733" s="768" t="s">
        <v>1769</v>
      </c>
    </row>
    <row r="5734" spans="1:9" x14ac:dyDescent="0.25">
      <c r="A5734" s="753"/>
      <c r="C5734" s="131" t="s">
        <v>1121</v>
      </c>
      <c r="D5734" s="131">
        <v>16</v>
      </c>
      <c r="E5734" s="131" t="s">
        <v>1121</v>
      </c>
      <c r="F5734" s="767">
        <v>316233.65000000002</v>
      </c>
      <c r="G5734" s="767">
        <v>0</v>
      </c>
      <c r="H5734" s="767">
        <v>316233.65000000002</v>
      </c>
      <c r="I5734" s="768" t="s">
        <v>1770</v>
      </c>
    </row>
    <row r="5735" spans="1:9" x14ac:dyDescent="0.25">
      <c r="A5735" s="753">
        <v>605418</v>
      </c>
      <c r="B5735" s="130">
        <v>4282</v>
      </c>
      <c r="E5735" s="131"/>
    </row>
    <row r="5736" spans="1:9" x14ac:dyDescent="0.25">
      <c r="A5736" s="753">
        <v>605422</v>
      </c>
      <c r="B5736" s="130">
        <v>109</v>
      </c>
      <c r="E5736" s="131"/>
    </row>
    <row r="5737" spans="1:9" x14ac:dyDescent="0.25">
      <c r="A5737" s="753">
        <v>605424</v>
      </c>
      <c r="B5737" s="130">
        <v>9287676</v>
      </c>
      <c r="E5737" s="131"/>
    </row>
    <row r="5738" spans="1:9" x14ac:dyDescent="0.25">
      <c r="A5738" s="753">
        <v>605426</v>
      </c>
      <c r="B5738" s="130">
        <v>508594</v>
      </c>
      <c r="C5738" s="131">
        <v>416</v>
      </c>
      <c r="D5738" s="131">
        <v>16</v>
      </c>
      <c r="E5738" s="131">
        <v>416</v>
      </c>
      <c r="F5738" s="767">
        <v>-1003631.7</v>
      </c>
      <c r="G5738" s="767">
        <v>-238444</v>
      </c>
      <c r="H5738" s="767">
        <v>-1242075.7</v>
      </c>
      <c r="I5738" s="768" t="s">
        <v>1720</v>
      </c>
    </row>
    <row r="5739" spans="1:9" x14ac:dyDescent="0.25">
      <c r="A5739" s="753"/>
      <c r="C5739" s="131">
        <v>616</v>
      </c>
      <c r="D5739" s="131">
        <v>16</v>
      </c>
      <c r="E5739" s="131">
        <v>616</v>
      </c>
      <c r="F5739" s="767">
        <v>941860.05</v>
      </c>
      <c r="G5739" s="767">
        <v>224614.34</v>
      </c>
      <c r="H5739" s="767">
        <v>1166474.3899999999</v>
      </c>
      <c r="I5739" s="768" t="s">
        <v>1721</v>
      </c>
    </row>
    <row r="5740" spans="1:9" x14ac:dyDescent="0.25">
      <c r="A5740" s="753"/>
      <c r="C5740" s="131" t="s">
        <v>400</v>
      </c>
      <c r="D5740" s="131">
        <v>16</v>
      </c>
      <c r="E5740" s="131" t="s">
        <v>400</v>
      </c>
      <c r="F5740" s="767">
        <v>-139749.68</v>
      </c>
      <c r="G5740" s="767">
        <v>-74470.399999999994</v>
      </c>
      <c r="H5740" s="767">
        <v>-214220.08</v>
      </c>
      <c r="I5740" s="768" t="s">
        <v>1723</v>
      </c>
    </row>
    <row r="5741" spans="1:9" x14ac:dyDescent="0.25">
      <c r="A5741" s="753"/>
      <c r="C5741" s="131" t="s">
        <v>1100</v>
      </c>
      <c r="D5741" s="131">
        <v>16</v>
      </c>
      <c r="E5741" s="131" t="s">
        <v>1100</v>
      </c>
      <c r="F5741" s="767">
        <v>131422.87</v>
      </c>
      <c r="G5741" s="767">
        <v>69814.75</v>
      </c>
      <c r="H5741" s="767">
        <v>201237.62</v>
      </c>
      <c r="I5741" s="768" t="s">
        <v>1724</v>
      </c>
    </row>
    <row r="5742" spans="1:9" x14ac:dyDescent="0.25">
      <c r="A5742" s="753"/>
      <c r="C5742" s="131">
        <v>409</v>
      </c>
      <c r="D5742" s="131">
        <v>16</v>
      </c>
      <c r="E5742" s="131">
        <v>409</v>
      </c>
      <c r="F5742" s="767">
        <v>-363098.13</v>
      </c>
      <c r="G5742" s="767">
        <v>-188223.59</v>
      </c>
      <c r="H5742" s="767">
        <v>-551321.72</v>
      </c>
      <c r="I5742" s="768" t="s">
        <v>1725</v>
      </c>
    </row>
    <row r="5743" spans="1:9" x14ac:dyDescent="0.25">
      <c r="A5743" s="753"/>
      <c r="C5743" s="131">
        <v>609</v>
      </c>
      <c r="D5743" s="131">
        <v>16</v>
      </c>
      <c r="E5743" s="131">
        <v>609</v>
      </c>
      <c r="F5743" s="767">
        <v>341003.75</v>
      </c>
      <c r="G5743" s="767">
        <v>179636.18</v>
      </c>
      <c r="H5743" s="767">
        <v>520639.93</v>
      </c>
      <c r="I5743" s="768" t="s">
        <v>1725</v>
      </c>
    </row>
    <row r="5744" spans="1:9" x14ac:dyDescent="0.25">
      <c r="A5744" s="753"/>
      <c r="C5744" s="131" t="s">
        <v>1102</v>
      </c>
      <c r="D5744" s="131">
        <v>16</v>
      </c>
      <c r="E5744" s="131" t="s">
        <v>1102</v>
      </c>
      <c r="F5744" s="767">
        <v>-90100.5</v>
      </c>
      <c r="G5744" s="767">
        <v>-79723.5</v>
      </c>
      <c r="H5744" s="767">
        <v>-169824</v>
      </c>
      <c r="I5744" s="768" t="s">
        <v>1726</v>
      </c>
    </row>
    <row r="5745" spans="1:9" x14ac:dyDescent="0.25">
      <c r="A5745" s="753"/>
      <c r="C5745" s="131" t="s">
        <v>1103</v>
      </c>
      <c r="D5745" s="131">
        <v>16</v>
      </c>
      <c r="E5745" s="131" t="s">
        <v>1103</v>
      </c>
      <c r="F5745" s="767">
        <v>84965.15</v>
      </c>
      <c r="G5745" s="767">
        <v>74349.23</v>
      </c>
      <c r="H5745" s="767">
        <v>159314.38</v>
      </c>
      <c r="I5745" s="768" t="s">
        <v>1726</v>
      </c>
    </row>
    <row r="5746" spans="1:9" x14ac:dyDescent="0.25">
      <c r="A5746" s="753"/>
      <c r="C5746" s="131" t="s">
        <v>104</v>
      </c>
      <c r="D5746" s="131">
        <v>16</v>
      </c>
      <c r="E5746" s="131" t="s">
        <v>104</v>
      </c>
      <c r="F5746" s="767">
        <v>-1584890.7</v>
      </c>
      <c r="G5746" s="767">
        <v>0</v>
      </c>
      <c r="H5746" s="767">
        <v>-1584890.7</v>
      </c>
      <c r="I5746" s="768" t="s">
        <v>1728</v>
      </c>
    </row>
    <row r="5747" spans="1:9" x14ac:dyDescent="0.25">
      <c r="A5747" s="753"/>
      <c r="C5747" s="131" t="s">
        <v>1106</v>
      </c>
      <c r="D5747" s="131">
        <v>16</v>
      </c>
      <c r="E5747" s="131" t="s">
        <v>1106</v>
      </c>
      <c r="F5747" s="767">
        <v>1486270.54</v>
      </c>
      <c r="G5747" s="767">
        <v>0</v>
      </c>
      <c r="H5747" s="767">
        <v>1486270.54</v>
      </c>
      <c r="I5747" s="768" t="s">
        <v>1729</v>
      </c>
    </row>
    <row r="5748" spans="1:9" x14ac:dyDescent="0.25">
      <c r="A5748" s="753"/>
      <c r="C5748" s="131" t="s">
        <v>282</v>
      </c>
      <c r="D5748" s="131">
        <v>16</v>
      </c>
      <c r="E5748" s="131" t="s">
        <v>282</v>
      </c>
      <c r="F5748" s="767">
        <v>-355284</v>
      </c>
      <c r="G5748" s="767">
        <v>0</v>
      </c>
      <c r="H5748" s="767">
        <v>-355284</v>
      </c>
      <c r="I5748" s="768" t="s">
        <v>1731</v>
      </c>
    </row>
    <row r="5749" spans="1:9" x14ac:dyDescent="0.25">
      <c r="A5749" s="753"/>
      <c r="C5749" s="131" t="s">
        <v>1107</v>
      </c>
      <c r="D5749" s="131">
        <v>16</v>
      </c>
      <c r="E5749" s="131" t="s">
        <v>1107</v>
      </c>
      <c r="F5749" s="767">
        <v>333495.65000000002</v>
      </c>
      <c r="G5749" s="767">
        <v>0</v>
      </c>
      <c r="H5749" s="767">
        <v>333495.65000000002</v>
      </c>
      <c r="I5749" s="768" t="s">
        <v>1732</v>
      </c>
    </row>
    <row r="5750" spans="1:9" x14ac:dyDescent="0.25">
      <c r="A5750" s="753"/>
      <c r="C5750" s="131" t="s">
        <v>340</v>
      </c>
      <c r="D5750" s="131">
        <v>16</v>
      </c>
      <c r="E5750" s="131" t="s">
        <v>340</v>
      </c>
      <c r="F5750" s="767">
        <v>-482797.12</v>
      </c>
      <c r="G5750" s="767">
        <v>-236789.98</v>
      </c>
      <c r="H5750" s="767">
        <v>-719587.1</v>
      </c>
      <c r="I5750" s="768" t="s">
        <v>1734</v>
      </c>
    </row>
    <row r="5751" spans="1:9" x14ac:dyDescent="0.25">
      <c r="A5751" s="753"/>
      <c r="C5751" s="131" t="s">
        <v>1108</v>
      </c>
      <c r="D5751" s="131">
        <v>16</v>
      </c>
      <c r="E5751" s="131" t="s">
        <v>1108</v>
      </c>
      <c r="F5751" s="767">
        <v>453323.44</v>
      </c>
      <c r="G5751" s="767">
        <v>217365.05</v>
      </c>
      <c r="H5751" s="767">
        <v>670688.49</v>
      </c>
      <c r="I5751" s="768" t="s">
        <v>1735</v>
      </c>
    </row>
    <row r="5752" spans="1:9" x14ac:dyDescent="0.25">
      <c r="A5752" s="753"/>
      <c r="C5752" s="131" t="s">
        <v>301</v>
      </c>
      <c r="D5752" s="131">
        <v>16</v>
      </c>
      <c r="E5752" s="131" t="s">
        <v>301</v>
      </c>
      <c r="F5752" s="767">
        <v>-109302.93</v>
      </c>
      <c r="G5752" s="767">
        <v>0</v>
      </c>
      <c r="H5752" s="767">
        <v>-109302.93</v>
      </c>
      <c r="I5752" s="768" t="s">
        <v>2272</v>
      </c>
    </row>
    <row r="5753" spans="1:9" x14ac:dyDescent="0.25">
      <c r="A5753" s="753"/>
      <c r="C5753" s="131" t="s">
        <v>2273</v>
      </c>
      <c r="D5753" s="131">
        <v>16</v>
      </c>
      <c r="E5753" s="131" t="s">
        <v>2273</v>
      </c>
      <c r="F5753" s="767">
        <v>109633.12</v>
      </c>
      <c r="G5753" s="767">
        <v>0</v>
      </c>
      <c r="H5753" s="767">
        <v>109633.12</v>
      </c>
      <c r="I5753" s="768" t="s">
        <v>2274</v>
      </c>
    </row>
    <row r="5754" spans="1:9" x14ac:dyDescent="0.25">
      <c r="A5754" s="753"/>
      <c r="C5754" s="131" t="s">
        <v>237</v>
      </c>
      <c r="D5754" s="131">
        <v>16</v>
      </c>
      <c r="E5754" s="131" t="s">
        <v>237</v>
      </c>
      <c r="F5754" s="767">
        <v>-222837.66</v>
      </c>
      <c r="G5754" s="767">
        <v>0</v>
      </c>
      <c r="H5754" s="767">
        <v>-222837.66</v>
      </c>
      <c r="I5754" s="768" t="s">
        <v>1737</v>
      </c>
    </row>
    <row r="5755" spans="1:9" x14ac:dyDescent="0.25">
      <c r="A5755" s="753"/>
      <c r="C5755" s="131" t="s">
        <v>1094</v>
      </c>
      <c r="D5755" s="131">
        <v>16</v>
      </c>
      <c r="E5755" s="131" t="s">
        <v>1094</v>
      </c>
      <c r="F5755" s="767">
        <v>208571.21</v>
      </c>
      <c r="G5755" s="767">
        <v>0</v>
      </c>
      <c r="H5755" s="767">
        <v>208571.21</v>
      </c>
      <c r="I5755" s="768" t="s">
        <v>1738</v>
      </c>
    </row>
    <row r="5756" spans="1:9" x14ac:dyDescent="0.25">
      <c r="A5756" s="753"/>
      <c r="C5756" s="131" t="s">
        <v>258</v>
      </c>
      <c r="D5756" s="131">
        <v>16</v>
      </c>
      <c r="E5756" s="131" t="s">
        <v>258</v>
      </c>
      <c r="F5756" s="767">
        <v>-180770</v>
      </c>
      <c r="G5756" s="767">
        <v>0</v>
      </c>
      <c r="H5756" s="767">
        <v>-180770</v>
      </c>
      <c r="I5756" s="768" t="s">
        <v>1741</v>
      </c>
    </row>
    <row r="5757" spans="1:9" x14ac:dyDescent="0.25">
      <c r="A5757" s="753"/>
      <c r="C5757" s="131" t="s">
        <v>1742</v>
      </c>
      <c r="D5757" s="131">
        <v>16</v>
      </c>
      <c r="E5757" s="131" t="s">
        <v>1742</v>
      </c>
      <c r="F5757" s="767">
        <v>168281.09</v>
      </c>
      <c r="G5757" s="767">
        <v>0</v>
      </c>
      <c r="H5757" s="767">
        <v>168281.09</v>
      </c>
      <c r="I5757" s="768" t="s">
        <v>1743</v>
      </c>
    </row>
    <row r="5758" spans="1:9" x14ac:dyDescent="0.25">
      <c r="A5758" s="753"/>
      <c r="C5758" s="131" t="s">
        <v>105</v>
      </c>
      <c r="D5758" s="131">
        <v>16</v>
      </c>
      <c r="E5758" s="131" t="s">
        <v>105</v>
      </c>
      <c r="F5758" s="767">
        <v>-751239.23</v>
      </c>
      <c r="G5758" s="767">
        <v>-106773.5</v>
      </c>
      <c r="H5758" s="767">
        <v>-858012.73</v>
      </c>
      <c r="I5758" s="768" t="s">
        <v>1745</v>
      </c>
    </row>
    <row r="5759" spans="1:9" x14ac:dyDescent="0.25">
      <c r="A5759" s="753"/>
      <c r="C5759" s="131" t="s">
        <v>1110</v>
      </c>
      <c r="D5759" s="131">
        <v>16</v>
      </c>
      <c r="E5759" s="131" t="s">
        <v>1110</v>
      </c>
      <c r="F5759" s="767">
        <v>714996.42</v>
      </c>
      <c r="G5759" s="767">
        <v>102975</v>
      </c>
      <c r="H5759" s="767">
        <v>817971.42</v>
      </c>
      <c r="I5759" s="768" t="s">
        <v>1746</v>
      </c>
    </row>
    <row r="5760" spans="1:9" x14ac:dyDescent="0.25">
      <c r="A5760" s="753"/>
      <c r="C5760" s="131" t="s">
        <v>401</v>
      </c>
      <c r="D5760" s="131">
        <v>16</v>
      </c>
      <c r="E5760" s="131" t="s">
        <v>401</v>
      </c>
      <c r="F5760" s="767">
        <v>-976653.2</v>
      </c>
      <c r="G5760" s="767">
        <v>0</v>
      </c>
      <c r="H5760" s="767">
        <v>-976653.2</v>
      </c>
      <c r="I5760" s="768" t="s">
        <v>1748</v>
      </c>
    </row>
    <row r="5761" spans="1:9" x14ac:dyDescent="0.25">
      <c r="A5761" s="753"/>
      <c r="C5761" s="131" t="s">
        <v>1112</v>
      </c>
      <c r="D5761" s="131">
        <v>16</v>
      </c>
      <c r="E5761" s="131" t="s">
        <v>1112</v>
      </c>
      <c r="F5761" s="767">
        <v>912448.95</v>
      </c>
      <c r="G5761" s="767">
        <v>0</v>
      </c>
      <c r="H5761" s="767">
        <v>912448.95</v>
      </c>
      <c r="I5761" s="768" t="s">
        <v>1749</v>
      </c>
    </row>
    <row r="5762" spans="1:9" x14ac:dyDescent="0.25">
      <c r="A5762" s="753"/>
      <c r="C5762" s="131">
        <v>447</v>
      </c>
      <c r="D5762" s="131">
        <v>16</v>
      </c>
      <c r="E5762" s="131">
        <v>447</v>
      </c>
      <c r="F5762" s="767">
        <v>-151506.5</v>
      </c>
      <c r="G5762" s="767">
        <v>0</v>
      </c>
      <c r="H5762" s="767">
        <v>-151506.5</v>
      </c>
      <c r="I5762" s="768" t="s">
        <v>1751</v>
      </c>
    </row>
    <row r="5763" spans="1:9" x14ac:dyDescent="0.25">
      <c r="A5763" s="753"/>
      <c r="C5763" s="131">
        <v>647</v>
      </c>
      <c r="D5763" s="131">
        <v>16</v>
      </c>
      <c r="E5763" s="131">
        <v>647</v>
      </c>
      <c r="F5763" s="767">
        <v>145006.09</v>
      </c>
      <c r="G5763" s="767">
        <v>0</v>
      </c>
      <c r="H5763" s="767">
        <v>145006.09</v>
      </c>
      <c r="I5763" s="768" t="s">
        <v>1752</v>
      </c>
    </row>
    <row r="5764" spans="1:9" x14ac:dyDescent="0.25">
      <c r="A5764" s="753"/>
      <c r="C5764" s="131" t="s">
        <v>106</v>
      </c>
      <c r="D5764" s="131">
        <v>16</v>
      </c>
      <c r="E5764" s="131" t="s">
        <v>106</v>
      </c>
      <c r="F5764" s="767">
        <v>-227426</v>
      </c>
      <c r="G5764" s="767">
        <v>0</v>
      </c>
      <c r="H5764" s="767">
        <v>-227426</v>
      </c>
      <c r="I5764" s="768" t="s">
        <v>1754</v>
      </c>
    </row>
    <row r="5765" spans="1:9" x14ac:dyDescent="0.25">
      <c r="A5765" s="753"/>
      <c r="C5765" s="131" t="s">
        <v>1143</v>
      </c>
      <c r="D5765" s="131">
        <v>16</v>
      </c>
      <c r="E5765" s="131" t="s">
        <v>1143</v>
      </c>
      <c r="F5765" s="767">
        <v>214312.85</v>
      </c>
      <c r="G5765" s="767">
        <v>0</v>
      </c>
      <c r="H5765" s="767">
        <v>214312.85</v>
      </c>
      <c r="I5765" s="768" t="s">
        <v>1755</v>
      </c>
    </row>
    <row r="5766" spans="1:9" x14ac:dyDescent="0.25">
      <c r="A5766" s="753"/>
      <c r="C5766" s="131" t="s">
        <v>405</v>
      </c>
      <c r="D5766" s="131">
        <v>16</v>
      </c>
      <c r="E5766" s="131" t="s">
        <v>405</v>
      </c>
      <c r="F5766" s="767">
        <v>-235967</v>
      </c>
      <c r="G5766" s="767">
        <v>0</v>
      </c>
      <c r="H5766" s="767">
        <v>-235967</v>
      </c>
      <c r="I5766" s="768" t="s">
        <v>1757</v>
      </c>
    </row>
    <row r="5767" spans="1:9" x14ac:dyDescent="0.25">
      <c r="A5767" s="753"/>
      <c r="C5767" s="131" t="s">
        <v>1116</v>
      </c>
      <c r="D5767" s="131">
        <v>16</v>
      </c>
      <c r="E5767" s="131" t="s">
        <v>1116</v>
      </c>
      <c r="F5767" s="767">
        <v>220347.51999999999</v>
      </c>
      <c r="G5767" s="767">
        <v>0</v>
      </c>
      <c r="H5767" s="767">
        <v>220347.51999999999</v>
      </c>
      <c r="I5767" s="768" t="s">
        <v>1758</v>
      </c>
    </row>
    <row r="5768" spans="1:9" x14ac:dyDescent="0.25">
      <c r="A5768" s="753"/>
      <c r="C5768" s="131">
        <v>480</v>
      </c>
      <c r="D5768" s="131">
        <v>16</v>
      </c>
      <c r="E5768" s="131">
        <v>480</v>
      </c>
      <c r="F5768" s="767">
        <v>-273292.68</v>
      </c>
      <c r="G5768" s="767">
        <v>0</v>
      </c>
      <c r="H5768" s="767">
        <v>-273292.68</v>
      </c>
      <c r="I5768" s="768" t="s">
        <v>1760</v>
      </c>
    </row>
    <row r="5769" spans="1:9" x14ac:dyDescent="0.25">
      <c r="A5769" s="753"/>
      <c r="C5769" s="131">
        <v>680</v>
      </c>
      <c r="D5769" s="131">
        <v>16</v>
      </c>
      <c r="E5769" s="131">
        <v>680</v>
      </c>
      <c r="F5769" s="767">
        <v>269709.11</v>
      </c>
      <c r="G5769" s="767">
        <v>0</v>
      </c>
      <c r="H5769" s="767">
        <v>269709.11</v>
      </c>
      <c r="I5769" s="768" t="s">
        <v>1761</v>
      </c>
    </row>
    <row r="5770" spans="1:9" x14ac:dyDescent="0.25">
      <c r="A5770" s="753"/>
      <c r="C5770" s="131" t="s">
        <v>406</v>
      </c>
      <c r="D5770" s="131">
        <v>16</v>
      </c>
      <c r="E5770" s="131" t="s">
        <v>406</v>
      </c>
      <c r="F5770" s="767">
        <v>-309378.09999999998</v>
      </c>
      <c r="G5770" s="767">
        <v>0</v>
      </c>
      <c r="H5770" s="767">
        <v>-309378.09999999998</v>
      </c>
      <c r="I5770" s="768" t="s">
        <v>1764</v>
      </c>
    </row>
    <row r="5771" spans="1:9" x14ac:dyDescent="0.25">
      <c r="A5771" s="753"/>
      <c r="C5771" s="131" t="s">
        <v>1119</v>
      </c>
      <c r="D5771" s="131">
        <v>16</v>
      </c>
      <c r="E5771" s="131" t="s">
        <v>1119</v>
      </c>
      <c r="F5771" s="767">
        <v>291459.78000000003</v>
      </c>
      <c r="G5771" s="767">
        <v>0</v>
      </c>
      <c r="H5771" s="767">
        <v>291459.78000000003</v>
      </c>
      <c r="I5771" s="768" t="s">
        <v>1765</v>
      </c>
    </row>
    <row r="5772" spans="1:9" x14ac:dyDescent="0.25">
      <c r="A5772" s="753"/>
      <c r="C5772" s="131">
        <v>481</v>
      </c>
      <c r="D5772" s="131">
        <v>16</v>
      </c>
      <c r="E5772" s="131">
        <v>481</v>
      </c>
      <c r="F5772" s="767">
        <v>-237027.97</v>
      </c>
      <c r="G5772" s="767">
        <v>0</v>
      </c>
      <c r="H5772" s="767">
        <v>-237027.97</v>
      </c>
      <c r="I5772" s="768" t="s">
        <v>408</v>
      </c>
    </row>
    <row r="5773" spans="1:9" x14ac:dyDescent="0.25">
      <c r="A5773" s="753"/>
      <c r="C5773" s="131">
        <v>681</v>
      </c>
      <c r="D5773" s="131">
        <v>16</v>
      </c>
      <c r="E5773" s="131">
        <v>681</v>
      </c>
      <c r="F5773" s="767">
        <v>233811.43</v>
      </c>
      <c r="G5773" s="767">
        <v>0</v>
      </c>
      <c r="H5773" s="767">
        <v>233811.43</v>
      </c>
      <c r="I5773" s="768" t="s">
        <v>408</v>
      </c>
    </row>
    <row r="5774" spans="1:9" x14ac:dyDescent="0.25">
      <c r="A5774" s="753"/>
      <c r="C5774" s="131" t="s">
        <v>410</v>
      </c>
      <c r="D5774" s="131">
        <v>16</v>
      </c>
      <c r="E5774" s="131" t="s">
        <v>410</v>
      </c>
      <c r="F5774" s="767">
        <v>-246468.25</v>
      </c>
      <c r="G5774" s="767">
        <v>0</v>
      </c>
      <c r="H5774" s="767">
        <v>-246468.25</v>
      </c>
      <c r="I5774" s="768" t="s">
        <v>1767</v>
      </c>
    </row>
    <row r="5775" spans="1:9" x14ac:dyDescent="0.25">
      <c r="A5775" s="753"/>
      <c r="C5775" s="131" t="s">
        <v>1120</v>
      </c>
      <c r="D5775" s="131">
        <v>16</v>
      </c>
      <c r="E5775" s="131" t="s">
        <v>1120</v>
      </c>
      <c r="F5775" s="767">
        <v>235559.82</v>
      </c>
      <c r="G5775" s="767">
        <v>0</v>
      </c>
      <c r="H5775" s="767">
        <v>235559.82</v>
      </c>
      <c r="I5775" s="768" t="s">
        <v>1767</v>
      </c>
    </row>
    <row r="5776" spans="1:9" x14ac:dyDescent="0.25">
      <c r="A5776" s="753"/>
      <c r="C5776" s="131" t="s">
        <v>376</v>
      </c>
      <c r="D5776" s="131">
        <v>16</v>
      </c>
      <c r="E5776" s="131" t="s">
        <v>376</v>
      </c>
      <c r="F5776" s="767">
        <v>-98510.95</v>
      </c>
      <c r="G5776" s="767">
        <v>0</v>
      </c>
      <c r="H5776" s="767">
        <v>-98510.95</v>
      </c>
      <c r="I5776" s="768" t="s">
        <v>2278</v>
      </c>
    </row>
    <row r="5777" spans="1:9" x14ac:dyDescent="0.25">
      <c r="A5777" s="753"/>
      <c r="C5777" s="131" t="s">
        <v>2279</v>
      </c>
      <c r="D5777" s="131">
        <v>16</v>
      </c>
      <c r="E5777" s="131" t="s">
        <v>2279</v>
      </c>
      <c r="F5777" s="767">
        <v>97615</v>
      </c>
      <c r="G5777" s="767">
        <v>0</v>
      </c>
      <c r="H5777" s="767">
        <v>97615</v>
      </c>
      <c r="I5777" s="768" t="s">
        <v>2280</v>
      </c>
    </row>
    <row r="5778" spans="1:9" x14ac:dyDescent="0.25">
      <c r="A5778" s="753"/>
      <c r="C5778" s="131" t="s">
        <v>378</v>
      </c>
      <c r="D5778" s="131">
        <v>16</v>
      </c>
      <c r="E5778" s="131" t="s">
        <v>378</v>
      </c>
      <c r="F5778" s="767">
        <v>-323316.75</v>
      </c>
      <c r="G5778" s="767">
        <v>0</v>
      </c>
      <c r="H5778" s="767">
        <v>-323316.75</v>
      </c>
      <c r="I5778" s="768" t="s">
        <v>1769</v>
      </c>
    </row>
    <row r="5779" spans="1:9" x14ac:dyDescent="0.25">
      <c r="A5779" s="753"/>
      <c r="C5779" s="131" t="s">
        <v>1121</v>
      </c>
      <c r="D5779" s="131">
        <v>16</v>
      </c>
      <c r="E5779" s="131" t="s">
        <v>1121</v>
      </c>
      <c r="F5779" s="767">
        <v>316233.65000000002</v>
      </c>
      <c r="G5779" s="767">
        <v>0</v>
      </c>
      <c r="H5779" s="767">
        <v>316233.65000000002</v>
      </c>
      <c r="I5779" s="768" t="s">
        <v>1770</v>
      </c>
    </row>
    <row r="5780" spans="1:9" x14ac:dyDescent="0.25">
      <c r="A5780" s="753">
        <v>605428</v>
      </c>
      <c r="B5780" s="130">
        <v>4666</v>
      </c>
      <c r="E5780" s="131"/>
    </row>
    <row r="5781" spans="1:9" x14ac:dyDescent="0.25">
      <c r="A5781" s="753">
        <v>605512</v>
      </c>
      <c r="B5781" s="130">
        <v>3</v>
      </c>
      <c r="E5781" s="131"/>
    </row>
    <row r="5782" spans="1:9" x14ac:dyDescent="0.25">
      <c r="A5782" s="753">
        <v>605514</v>
      </c>
      <c r="B5782" s="130">
        <v>288985</v>
      </c>
      <c r="E5782" s="131"/>
    </row>
    <row r="5783" spans="1:9" x14ac:dyDescent="0.25">
      <c r="A5783" s="753">
        <v>605516</v>
      </c>
      <c r="B5783" s="130">
        <v>13335</v>
      </c>
      <c r="C5783" s="131" t="s">
        <v>301</v>
      </c>
      <c r="D5783" s="131">
        <v>16</v>
      </c>
      <c r="E5783" s="131" t="s">
        <v>301</v>
      </c>
      <c r="F5783" s="767">
        <v>-109302.93</v>
      </c>
      <c r="G5783" s="767">
        <v>0</v>
      </c>
      <c r="H5783" s="767">
        <v>-109302.93</v>
      </c>
      <c r="I5783" s="768" t="s">
        <v>2272</v>
      </c>
    </row>
    <row r="5784" spans="1:9" x14ac:dyDescent="0.25">
      <c r="A5784" s="753"/>
      <c r="C5784" s="131" t="s">
        <v>2273</v>
      </c>
      <c r="D5784" s="131">
        <v>16</v>
      </c>
      <c r="E5784" s="131" t="s">
        <v>2273</v>
      </c>
      <c r="F5784" s="767">
        <v>109633.12</v>
      </c>
      <c r="G5784" s="767">
        <v>0</v>
      </c>
      <c r="H5784" s="767">
        <v>109633.12</v>
      </c>
      <c r="I5784" s="768" t="s">
        <v>2274</v>
      </c>
    </row>
    <row r="5785" spans="1:9" x14ac:dyDescent="0.25">
      <c r="A5785" s="753"/>
      <c r="C5785" s="131">
        <v>447</v>
      </c>
      <c r="D5785" s="131">
        <v>16</v>
      </c>
      <c r="E5785" s="131">
        <v>447</v>
      </c>
      <c r="F5785" s="767">
        <v>-151506.5</v>
      </c>
      <c r="G5785" s="767">
        <v>0</v>
      </c>
      <c r="H5785" s="767">
        <v>-151506.5</v>
      </c>
      <c r="I5785" s="768" t="s">
        <v>1751</v>
      </c>
    </row>
    <row r="5786" spans="1:9" x14ac:dyDescent="0.25">
      <c r="A5786" s="753"/>
      <c r="C5786" s="131">
        <v>647</v>
      </c>
      <c r="D5786" s="131">
        <v>16</v>
      </c>
      <c r="E5786" s="131">
        <v>647</v>
      </c>
      <c r="F5786" s="767">
        <v>145006.09</v>
      </c>
      <c r="G5786" s="767">
        <v>0</v>
      </c>
      <c r="H5786" s="767">
        <v>145006.09</v>
      </c>
      <c r="I5786" s="768" t="s">
        <v>1752</v>
      </c>
    </row>
    <row r="5787" spans="1:9" x14ac:dyDescent="0.25">
      <c r="A5787" s="753"/>
      <c r="C5787" s="131" t="s">
        <v>385</v>
      </c>
      <c r="D5787" s="131">
        <v>16</v>
      </c>
      <c r="E5787" s="131" t="s">
        <v>385</v>
      </c>
      <c r="F5787" s="767">
        <v>-88209.5</v>
      </c>
      <c r="G5787" s="767">
        <v>0</v>
      </c>
      <c r="H5787" s="767">
        <v>-88209.5</v>
      </c>
      <c r="I5787" s="768" t="s">
        <v>2283</v>
      </c>
    </row>
    <row r="5788" spans="1:9" x14ac:dyDescent="0.25">
      <c r="A5788" s="753"/>
      <c r="C5788" s="131" t="s">
        <v>1136</v>
      </c>
      <c r="D5788" s="131">
        <v>16</v>
      </c>
      <c r="E5788" s="131" t="s">
        <v>1136</v>
      </c>
      <c r="F5788" s="767">
        <v>84914.34</v>
      </c>
      <c r="G5788" s="767">
        <v>0</v>
      </c>
      <c r="H5788" s="767">
        <v>84914.34</v>
      </c>
      <c r="I5788" s="768" t="s">
        <v>1829</v>
      </c>
    </row>
    <row r="5789" spans="1:9" x14ac:dyDescent="0.25">
      <c r="A5789" s="753"/>
      <c r="C5789" s="131" t="s">
        <v>235</v>
      </c>
      <c r="D5789" s="131">
        <v>16</v>
      </c>
      <c r="E5789" s="131" t="s">
        <v>235</v>
      </c>
      <c r="F5789" s="767">
        <v>0</v>
      </c>
      <c r="G5789" s="767">
        <v>-181349.96</v>
      </c>
      <c r="H5789" s="767">
        <v>-181349.96</v>
      </c>
      <c r="I5789" s="768" t="s">
        <v>2286</v>
      </c>
    </row>
    <row r="5790" spans="1:9" x14ac:dyDescent="0.25">
      <c r="A5790" s="753"/>
      <c r="C5790" s="131" t="s">
        <v>2287</v>
      </c>
      <c r="D5790" s="131">
        <v>16</v>
      </c>
      <c r="E5790" s="131" t="s">
        <v>2287</v>
      </c>
      <c r="F5790" s="767">
        <v>0</v>
      </c>
      <c r="G5790" s="767">
        <v>175112.67</v>
      </c>
      <c r="H5790" s="767">
        <v>175112.67</v>
      </c>
      <c r="I5790" s="768" t="s">
        <v>2288</v>
      </c>
    </row>
    <row r="5791" spans="1:9" x14ac:dyDescent="0.25">
      <c r="A5791" s="753"/>
      <c r="C5791" s="131" t="s">
        <v>364</v>
      </c>
      <c r="D5791" s="131">
        <v>16</v>
      </c>
      <c r="E5791" s="131" t="s">
        <v>364</v>
      </c>
      <c r="F5791" s="767">
        <v>-120423.5</v>
      </c>
      <c r="G5791" s="767">
        <v>-107635.36</v>
      </c>
      <c r="H5791" s="767">
        <v>-228058.86</v>
      </c>
      <c r="I5791" s="768" t="s">
        <v>2291</v>
      </c>
    </row>
    <row r="5792" spans="1:9" x14ac:dyDescent="0.25">
      <c r="A5792" s="753"/>
      <c r="C5792" s="131" t="s">
        <v>2292</v>
      </c>
      <c r="D5792" s="131">
        <v>16</v>
      </c>
      <c r="E5792" s="131" t="s">
        <v>2292</v>
      </c>
      <c r="F5792" s="767">
        <v>111575</v>
      </c>
      <c r="G5792" s="767">
        <v>100537.06</v>
      </c>
      <c r="H5792" s="767">
        <v>212112.06</v>
      </c>
      <c r="I5792" s="768" t="s">
        <v>2293</v>
      </c>
    </row>
    <row r="5793" spans="1:9" x14ac:dyDescent="0.25">
      <c r="A5793" s="753"/>
      <c r="C5793" s="131" t="s">
        <v>371</v>
      </c>
      <c r="D5793" s="131">
        <v>16</v>
      </c>
      <c r="E5793" s="131" t="s">
        <v>371</v>
      </c>
      <c r="F5793" s="767">
        <v>-106923.5</v>
      </c>
      <c r="G5793" s="767">
        <v>0</v>
      </c>
      <c r="H5793" s="767">
        <v>-106923.5</v>
      </c>
      <c r="I5793" s="768" t="s">
        <v>1836</v>
      </c>
    </row>
    <row r="5794" spans="1:9" x14ac:dyDescent="0.25">
      <c r="A5794" s="753"/>
      <c r="C5794" s="131" t="s">
        <v>1152</v>
      </c>
      <c r="D5794" s="131">
        <v>16</v>
      </c>
      <c r="E5794" s="131" t="s">
        <v>1152</v>
      </c>
      <c r="F5794" s="767">
        <v>102290.17</v>
      </c>
      <c r="G5794" s="767">
        <v>0</v>
      </c>
      <c r="H5794" s="767">
        <v>102290.17</v>
      </c>
      <c r="I5794" s="768" t="s">
        <v>1837</v>
      </c>
    </row>
    <row r="5795" spans="1:9" x14ac:dyDescent="0.25">
      <c r="A5795" s="753"/>
      <c r="C5795" s="131" t="s">
        <v>256</v>
      </c>
      <c r="D5795" s="131">
        <v>16</v>
      </c>
      <c r="E5795" s="131" t="s">
        <v>256</v>
      </c>
      <c r="F5795" s="767">
        <v>-121994.74</v>
      </c>
      <c r="G5795" s="767">
        <v>0</v>
      </c>
      <c r="H5795" s="767">
        <v>-121994.74</v>
      </c>
      <c r="I5795" s="768" t="s">
        <v>1856</v>
      </c>
    </row>
    <row r="5796" spans="1:9" x14ac:dyDescent="0.25">
      <c r="A5796" s="753"/>
      <c r="C5796" s="131" t="s">
        <v>1165</v>
      </c>
      <c r="D5796" s="131">
        <v>16</v>
      </c>
      <c r="E5796" s="131" t="s">
        <v>1165</v>
      </c>
      <c r="F5796" s="767">
        <v>116172.84</v>
      </c>
      <c r="G5796" s="767">
        <v>0</v>
      </c>
      <c r="H5796" s="767">
        <v>116172.84</v>
      </c>
      <c r="I5796" s="768" t="s">
        <v>1857</v>
      </c>
    </row>
    <row r="5797" spans="1:9" x14ac:dyDescent="0.25">
      <c r="A5797" s="753"/>
      <c r="C5797" s="131" t="s">
        <v>366</v>
      </c>
      <c r="D5797" s="131">
        <v>16</v>
      </c>
      <c r="E5797" s="131" t="s">
        <v>366</v>
      </c>
      <c r="F5797" s="767">
        <v>-133336.91</v>
      </c>
      <c r="G5797" s="767">
        <v>0</v>
      </c>
      <c r="H5797" s="767">
        <v>-133336.91</v>
      </c>
      <c r="I5797" s="768" t="s">
        <v>1859</v>
      </c>
    </row>
    <row r="5798" spans="1:9" x14ac:dyDescent="0.25">
      <c r="A5798" s="753"/>
      <c r="C5798" s="131" t="s">
        <v>1155</v>
      </c>
      <c r="D5798" s="131">
        <v>16</v>
      </c>
      <c r="E5798" s="131" t="s">
        <v>1155</v>
      </c>
      <c r="F5798" s="767">
        <v>124643.41</v>
      </c>
      <c r="G5798" s="767">
        <v>0</v>
      </c>
      <c r="H5798" s="767">
        <v>124643.41</v>
      </c>
      <c r="I5798" s="768" t="s">
        <v>1860</v>
      </c>
    </row>
    <row r="5799" spans="1:9" x14ac:dyDescent="0.25">
      <c r="A5799" s="753"/>
      <c r="C5799" s="131">
        <v>481</v>
      </c>
      <c r="D5799" s="131">
        <v>16</v>
      </c>
      <c r="E5799" s="131">
        <v>481</v>
      </c>
      <c r="F5799" s="767">
        <v>-237027.97</v>
      </c>
      <c r="G5799" s="767">
        <v>0</v>
      </c>
      <c r="H5799" s="767">
        <v>-237027.97</v>
      </c>
      <c r="I5799" s="768" t="s">
        <v>408</v>
      </c>
    </row>
    <row r="5800" spans="1:9" x14ac:dyDescent="0.25">
      <c r="A5800" s="753"/>
      <c r="C5800" s="131">
        <v>681</v>
      </c>
      <c r="D5800" s="131">
        <v>16</v>
      </c>
      <c r="E5800" s="131">
        <v>681</v>
      </c>
      <c r="F5800" s="767">
        <v>233811.43</v>
      </c>
      <c r="G5800" s="767">
        <v>0</v>
      </c>
      <c r="H5800" s="767">
        <v>233811.43</v>
      </c>
      <c r="I5800" s="768" t="s">
        <v>408</v>
      </c>
    </row>
    <row r="5801" spans="1:9" x14ac:dyDescent="0.25">
      <c r="A5801" s="753"/>
      <c r="C5801" s="131" t="s">
        <v>410</v>
      </c>
      <c r="D5801" s="131">
        <v>16</v>
      </c>
      <c r="E5801" s="131" t="s">
        <v>410</v>
      </c>
      <c r="F5801" s="767">
        <v>-246468.25</v>
      </c>
      <c r="G5801" s="767">
        <v>0</v>
      </c>
      <c r="H5801" s="767">
        <v>-246468.25</v>
      </c>
      <c r="I5801" s="768" t="s">
        <v>1767</v>
      </c>
    </row>
    <row r="5802" spans="1:9" x14ac:dyDescent="0.25">
      <c r="A5802" s="753"/>
      <c r="C5802" s="131" t="s">
        <v>1120</v>
      </c>
      <c r="D5802" s="131">
        <v>16</v>
      </c>
      <c r="E5802" s="131" t="s">
        <v>1120</v>
      </c>
      <c r="F5802" s="767">
        <v>235559.82</v>
      </c>
      <c r="G5802" s="767">
        <v>0</v>
      </c>
      <c r="H5802" s="767">
        <v>235559.82</v>
      </c>
      <c r="I5802" s="768" t="s">
        <v>1767</v>
      </c>
    </row>
    <row r="5803" spans="1:9" x14ac:dyDescent="0.25">
      <c r="A5803" s="753">
        <v>605518</v>
      </c>
      <c r="B5803" s="130">
        <v>4445</v>
      </c>
      <c r="E5803" s="131"/>
    </row>
    <row r="5804" spans="1:9" x14ac:dyDescent="0.25">
      <c r="A5804" s="753">
        <v>605522</v>
      </c>
      <c r="B5804" s="130">
        <v>12</v>
      </c>
      <c r="E5804" s="131"/>
    </row>
    <row r="5805" spans="1:9" x14ac:dyDescent="0.25">
      <c r="A5805" s="753">
        <v>605524</v>
      </c>
      <c r="B5805" s="130">
        <v>1604181</v>
      </c>
      <c r="E5805" s="131"/>
    </row>
    <row r="5806" spans="1:9" x14ac:dyDescent="0.25">
      <c r="A5806" s="753">
        <v>605526</v>
      </c>
      <c r="B5806" s="130">
        <v>64926</v>
      </c>
      <c r="C5806" s="131" t="s">
        <v>301</v>
      </c>
      <c r="D5806" s="131">
        <v>16</v>
      </c>
      <c r="E5806" s="131" t="s">
        <v>301</v>
      </c>
      <c r="F5806" s="767">
        <v>-109302.93</v>
      </c>
      <c r="G5806" s="767">
        <v>0</v>
      </c>
      <c r="H5806" s="767">
        <v>-109302.93</v>
      </c>
      <c r="I5806" s="768" t="s">
        <v>2272</v>
      </c>
    </row>
    <row r="5807" spans="1:9" x14ac:dyDescent="0.25">
      <c r="A5807" s="753"/>
      <c r="C5807" s="131" t="s">
        <v>2273</v>
      </c>
      <c r="D5807" s="131">
        <v>16</v>
      </c>
      <c r="E5807" s="131" t="s">
        <v>2273</v>
      </c>
      <c r="F5807" s="767">
        <v>109633.12</v>
      </c>
      <c r="G5807" s="767">
        <v>0</v>
      </c>
      <c r="H5807" s="767">
        <v>109633.12</v>
      </c>
      <c r="I5807" s="768" t="s">
        <v>2274</v>
      </c>
    </row>
    <row r="5808" spans="1:9" x14ac:dyDescent="0.25">
      <c r="A5808" s="753"/>
      <c r="C5808" s="131">
        <v>447</v>
      </c>
      <c r="D5808" s="131">
        <v>16</v>
      </c>
      <c r="E5808" s="131">
        <v>447</v>
      </c>
      <c r="F5808" s="767">
        <v>-151506.5</v>
      </c>
      <c r="G5808" s="767">
        <v>0</v>
      </c>
      <c r="H5808" s="767">
        <v>-151506.5</v>
      </c>
      <c r="I5808" s="768" t="s">
        <v>1751</v>
      </c>
    </row>
    <row r="5809" spans="1:9" x14ac:dyDescent="0.25">
      <c r="A5809" s="753"/>
      <c r="C5809" s="131">
        <v>647</v>
      </c>
      <c r="D5809" s="131">
        <v>16</v>
      </c>
      <c r="E5809" s="131">
        <v>647</v>
      </c>
      <c r="F5809" s="767">
        <v>145006.09</v>
      </c>
      <c r="G5809" s="767">
        <v>0</v>
      </c>
      <c r="H5809" s="767">
        <v>145006.09</v>
      </c>
      <c r="I5809" s="768" t="s">
        <v>1752</v>
      </c>
    </row>
    <row r="5810" spans="1:9" x14ac:dyDescent="0.25">
      <c r="A5810" s="753"/>
      <c r="C5810" s="131" t="s">
        <v>385</v>
      </c>
      <c r="D5810" s="131">
        <v>16</v>
      </c>
      <c r="E5810" s="131" t="s">
        <v>385</v>
      </c>
      <c r="F5810" s="767">
        <v>-88209.5</v>
      </c>
      <c r="G5810" s="767">
        <v>0</v>
      </c>
      <c r="H5810" s="767">
        <v>-88209.5</v>
      </c>
      <c r="I5810" s="768" t="s">
        <v>2283</v>
      </c>
    </row>
    <row r="5811" spans="1:9" x14ac:dyDescent="0.25">
      <c r="A5811" s="753"/>
      <c r="C5811" s="131" t="s">
        <v>1136</v>
      </c>
      <c r="D5811" s="131">
        <v>16</v>
      </c>
      <c r="E5811" s="131" t="s">
        <v>1136</v>
      </c>
      <c r="F5811" s="767">
        <v>84914.34</v>
      </c>
      <c r="G5811" s="767">
        <v>0</v>
      </c>
      <c r="H5811" s="767">
        <v>84914.34</v>
      </c>
      <c r="I5811" s="768" t="s">
        <v>1829</v>
      </c>
    </row>
    <row r="5812" spans="1:9" x14ac:dyDescent="0.25">
      <c r="A5812" s="753"/>
      <c r="C5812" s="131" t="s">
        <v>235</v>
      </c>
      <c r="D5812" s="131">
        <v>16</v>
      </c>
      <c r="E5812" s="131" t="s">
        <v>235</v>
      </c>
      <c r="F5812" s="767">
        <v>0</v>
      </c>
      <c r="G5812" s="767">
        <v>-181349.96</v>
      </c>
      <c r="H5812" s="767">
        <v>-181349.96</v>
      </c>
      <c r="I5812" s="768" t="s">
        <v>2286</v>
      </c>
    </row>
    <row r="5813" spans="1:9" x14ac:dyDescent="0.25">
      <c r="A5813" s="753"/>
      <c r="C5813" s="131" t="s">
        <v>2287</v>
      </c>
      <c r="D5813" s="131">
        <v>16</v>
      </c>
      <c r="E5813" s="131" t="s">
        <v>2287</v>
      </c>
      <c r="F5813" s="767">
        <v>0</v>
      </c>
      <c r="G5813" s="767">
        <v>175112.67</v>
      </c>
      <c r="H5813" s="767">
        <v>175112.67</v>
      </c>
      <c r="I5813" s="768" t="s">
        <v>2288</v>
      </c>
    </row>
    <row r="5814" spans="1:9" x14ac:dyDescent="0.25">
      <c r="A5814" s="753"/>
      <c r="C5814" s="131" t="s">
        <v>364</v>
      </c>
      <c r="D5814" s="131">
        <v>16</v>
      </c>
      <c r="E5814" s="131" t="s">
        <v>364</v>
      </c>
      <c r="F5814" s="767">
        <v>-120423.5</v>
      </c>
      <c r="G5814" s="767">
        <v>-107635.36</v>
      </c>
      <c r="H5814" s="767">
        <v>-228058.86</v>
      </c>
      <c r="I5814" s="768" t="s">
        <v>2291</v>
      </c>
    </row>
    <row r="5815" spans="1:9" x14ac:dyDescent="0.25">
      <c r="A5815" s="753"/>
      <c r="C5815" s="131" t="s">
        <v>2292</v>
      </c>
      <c r="D5815" s="131">
        <v>16</v>
      </c>
      <c r="E5815" s="131" t="s">
        <v>2292</v>
      </c>
      <c r="F5815" s="767">
        <v>111575</v>
      </c>
      <c r="G5815" s="767">
        <v>100537.06</v>
      </c>
      <c r="H5815" s="767">
        <v>212112.06</v>
      </c>
      <c r="I5815" s="768" t="s">
        <v>2293</v>
      </c>
    </row>
    <row r="5816" spans="1:9" x14ac:dyDescent="0.25">
      <c r="A5816" s="753"/>
      <c r="C5816" s="131" t="s">
        <v>371</v>
      </c>
      <c r="D5816" s="131">
        <v>16</v>
      </c>
      <c r="E5816" s="131" t="s">
        <v>371</v>
      </c>
      <c r="F5816" s="767">
        <v>-106923.5</v>
      </c>
      <c r="G5816" s="767">
        <v>0</v>
      </c>
      <c r="H5816" s="767">
        <v>-106923.5</v>
      </c>
      <c r="I5816" s="768" t="s">
        <v>1836</v>
      </c>
    </row>
    <row r="5817" spans="1:9" x14ac:dyDescent="0.25">
      <c r="A5817" s="753"/>
      <c r="C5817" s="131" t="s">
        <v>1152</v>
      </c>
      <c r="D5817" s="131">
        <v>16</v>
      </c>
      <c r="E5817" s="131" t="s">
        <v>1152</v>
      </c>
      <c r="F5817" s="767">
        <v>102290.17</v>
      </c>
      <c r="G5817" s="767">
        <v>0</v>
      </c>
      <c r="H5817" s="767">
        <v>102290.17</v>
      </c>
      <c r="I5817" s="768" t="s">
        <v>1837</v>
      </c>
    </row>
    <row r="5818" spans="1:9" x14ac:dyDescent="0.25">
      <c r="A5818" s="753"/>
      <c r="C5818" s="131" t="s">
        <v>256</v>
      </c>
      <c r="D5818" s="131">
        <v>16</v>
      </c>
      <c r="E5818" s="131" t="s">
        <v>256</v>
      </c>
      <c r="F5818" s="767">
        <v>-121994.74</v>
      </c>
      <c r="G5818" s="767">
        <v>0</v>
      </c>
      <c r="H5818" s="767">
        <v>-121994.74</v>
      </c>
      <c r="I5818" s="768" t="s">
        <v>1856</v>
      </c>
    </row>
    <row r="5819" spans="1:9" x14ac:dyDescent="0.25">
      <c r="A5819" s="753"/>
      <c r="C5819" s="131" t="s">
        <v>1165</v>
      </c>
      <c r="D5819" s="131">
        <v>16</v>
      </c>
      <c r="E5819" s="131" t="s">
        <v>1165</v>
      </c>
      <c r="F5819" s="767">
        <v>116172.84</v>
      </c>
      <c r="G5819" s="767">
        <v>0</v>
      </c>
      <c r="H5819" s="767">
        <v>116172.84</v>
      </c>
      <c r="I5819" s="768" t="s">
        <v>1857</v>
      </c>
    </row>
    <row r="5820" spans="1:9" x14ac:dyDescent="0.25">
      <c r="A5820" s="753"/>
      <c r="C5820" s="131" t="s">
        <v>366</v>
      </c>
      <c r="D5820" s="131">
        <v>16</v>
      </c>
      <c r="E5820" s="131" t="s">
        <v>366</v>
      </c>
      <c r="F5820" s="767">
        <v>-133336.91</v>
      </c>
      <c r="G5820" s="767">
        <v>0</v>
      </c>
      <c r="H5820" s="767">
        <v>-133336.91</v>
      </c>
      <c r="I5820" s="768" t="s">
        <v>1859</v>
      </c>
    </row>
    <row r="5821" spans="1:9" x14ac:dyDescent="0.25">
      <c r="A5821" s="753"/>
      <c r="C5821" s="131" t="s">
        <v>1155</v>
      </c>
      <c r="D5821" s="131">
        <v>16</v>
      </c>
      <c r="E5821" s="131" t="s">
        <v>1155</v>
      </c>
      <c r="F5821" s="767">
        <v>124643.41</v>
      </c>
      <c r="G5821" s="767">
        <v>0</v>
      </c>
      <c r="H5821" s="767">
        <v>124643.41</v>
      </c>
      <c r="I5821" s="768" t="s">
        <v>1860</v>
      </c>
    </row>
    <row r="5822" spans="1:9" x14ac:dyDescent="0.25">
      <c r="A5822" s="753"/>
      <c r="C5822" s="131">
        <v>481</v>
      </c>
      <c r="D5822" s="131">
        <v>16</v>
      </c>
      <c r="E5822" s="131">
        <v>481</v>
      </c>
      <c r="F5822" s="767">
        <v>-237027.97</v>
      </c>
      <c r="G5822" s="767">
        <v>0</v>
      </c>
      <c r="H5822" s="767">
        <v>-237027.97</v>
      </c>
      <c r="I5822" s="768" t="s">
        <v>408</v>
      </c>
    </row>
    <row r="5823" spans="1:9" x14ac:dyDescent="0.25">
      <c r="A5823" s="753"/>
      <c r="C5823" s="131">
        <v>681</v>
      </c>
      <c r="D5823" s="131">
        <v>16</v>
      </c>
      <c r="E5823" s="131">
        <v>681</v>
      </c>
      <c r="F5823" s="767">
        <v>233811.43</v>
      </c>
      <c r="G5823" s="767">
        <v>0</v>
      </c>
      <c r="H5823" s="767">
        <v>233811.43</v>
      </c>
      <c r="I5823" s="768" t="s">
        <v>408</v>
      </c>
    </row>
    <row r="5824" spans="1:9" x14ac:dyDescent="0.25">
      <c r="A5824" s="753"/>
      <c r="C5824" s="131" t="s">
        <v>410</v>
      </c>
      <c r="D5824" s="131">
        <v>16</v>
      </c>
      <c r="E5824" s="131" t="s">
        <v>410</v>
      </c>
      <c r="F5824" s="767">
        <v>-246468.25</v>
      </c>
      <c r="G5824" s="767">
        <v>0</v>
      </c>
      <c r="H5824" s="767">
        <v>-246468.25</v>
      </c>
      <c r="I5824" s="768" t="s">
        <v>1767</v>
      </c>
    </row>
    <row r="5825" spans="1:9" x14ac:dyDescent="0.25">
      <c r="A5825" s="753"/>
      <c r="C5825" s="131" t="s">
        <v>1120</v>
      </c>
      <c r="D5825" s="131">
        <v>16</v>
      </c>
      <c r="E5825" s="131" t="s">
        <v>1120</v>
      </c>
      <c r="F5825" s="767">
        <v>235559.82</v>
      </c>
      <c r="G5825" s="767">
        <v>0</v>
      </c>
      <c r="H5825" s="767">
        <v>235559.82</v>
      </c>
      <c r="I5825" s="768" t="s">
        <v>1767</v>
      </c>
    </row>
    <row r="5826" spans="1:9" x14ac:dyDescent="0.25">
      <c r="A5826" s="753">
        <v>605528</v>
      </c>
      <c r="B5826" s="130">
        <v>5411</v>
      </c>
      <c r="E5826" s="131"/>
    </row>
    <row r="5827" spans="1:9" x14ac:dyDescent="0.25">
      <c r="A5827" s="753">
        <v>400104</v>
      </c>
      <c r="B5827" s="130">
        <v>186388</v>
      </c>
      <c r="E5827" s="131"/>
    </row>
    <row r="5828" spans="1:9" x14ac:dyDescent="0.25">
      <c r="A5828" s="753">
        <v>400106</v>
      </c>
      <c r="B5828" s="130">
        <v>1383737</v>
      </c>
      <c r="E5828" s="131"/>
    </row>
    <row r="5829" spans="1:9" x14ac:dyDescent="0.25">
      <c r="A5829" s="753">
        <v>400108</v>
      </c>
      <c r="B5829" s="130">
        <v>350668</v>
      </c>
      <c r="E5829" s="131"/>
    </row>
    <row r="5830" spans="1:9" x14ac:dyDescent="0.25">
      <c r="A5830" s="753">
        <v>400110</v>
      </c>
      <c r="B5830" s="130">
        <v>2716554</v>
      </c>
      <c r="E5830" s="131"/>
    </row>
    <row r="5831" spans="1:9" x14ac:dyDescent="0.25">
      <c r="A5831" s="753">
        <v>400112</v>
      </c>
      <c r="B5831" s="130">
        <v>6515</v>
      </c>
      <c r="E5831" s="131"/>
    </row>
    <row r="5832" spans="1:9" x14ac:dyDescent="0.25">
      <c r="A5832" s="753">
        <v>400114</v>
      </c>
      <c r="B5832" s="130">
        <v>24757</v>
      </c>
      <c r="E5832" s="131"/>
    </row>
    <row r="5833" spans="1:9" x14ac:dyDescent="0.25">
      <c r="A5833" s="753">
        <v>400116</v>
      </c>
      <c r="B5833" s="130">
        <v>0</v>
      </c>
      <c r="E5833" s="131"/>
    </row>
    <row r="5834" spans="1:9" x14ac:dyDescent="0.25">
      <c r="A5834" s="753">
        <v>400118</v>
      </c>
      <c r="B5834" s="130">
        <v>0</v>
      </c>
      <c r="E5834" s="131"/>
    </row>
    <row r="5835" spans="1:9" x14ac:dyDescent="0.25">
      <c r="A5835" s="753">
        <v>400120</v>
      </c>
      <c r="B5835" s="130">
        <v>0</v>
      </c>
      <c r="E5835" s="131"/>
    </row>
    <row r="5836" spans="1:9" x14ac:dyDescent="0.25">
      <c r="A5836" s="753">
        <v>400122</v>
      </c>
      <c r="B5836" s="130">
        <v>0</v>
      </c>
      <c r="E5836" s="131"/>
    </row>
    <row r="5837" spans="1:9" x14ac:dyDescent="0.25">
      <c r="A5837" s="753">
        <v>400204</v>
      </c>
      <c r="B5837" s="130">
        <v>128469</v>
      </c>
      <c r="E5837" s="131"/>
    </row>
    <row r="5838" spans="1:9" x14ac:dyDescent="0.25">
      <c r="A5838" s="753">
        <v>400206</v>
      </c>
      <c r="B5838" s="130">
        <v>894172</v>
      </c>
      <c r="E5838" s="131"/>
    </row>
    <row r="5839" spans="1:9" x14ac:dyDescent="0.25">
      <c r="A5839" s="753">
        <v>400208</v>
      </c>
      <c r="B5839" s="130">
        <v>115523</v>
      </c>
      <c r="E5839" s="131"/>
    </row>
    <row r="5840" spans="1:9" x14ac:dyDescent="0.25">
      <c r="A5840" s="753">
        <v>400210</v>
      </c>
      <c r="B5840" s="130">
        <v>846306</v>
      </c>
      <c r="E5840" s="131"/>
    </row>
    <row r="5841" spans="1:5" x14ac:dyDescent="0.25">
      <c r="A5841" s="753">
        <v>400212</v>
      </c>
      <c r="B5841" s="130">
        <v>689</v>
      </c>
      <c r="E5841" s="131"/>
    </row>
    <row r="5842" spans="1:5" x14ac:dyDescent="0.25">
      <c r="A5842" s="753">
        <v>400214</v>
      </c>
      <c r="B5842" s="130">
        <v>3473</v>
      </c>
      <c r="E5842" s="131"/>
    </row>
    <row r="5843" spans="1:5" x14ac:dyDescent="0.25">
      <c r="A5843" s="753">
        <v>400216</v>
      </c>
      <c r="B5843" s="130">
        <v>0</v>
      </c>
      <c r="E5843" s="131"/>
    </row>
    <row r="5844" spans="1:5" x14ac:dyDescent="0.25">
      <c r="A5844" s="753">
        <v>400218</v>
      </c>
      <c r="B5844" s="130">
        <v>0</v>
      </c>
      <c r="E5844" s="131"/>
    </row>
    <row r="5845" spans="1:5" x14ac:dyDescent="0.25">
      <c r="A5845" s="753">
        <v>400220</v>
      </c>
      <c r="B5845" s="130">
        <v>0</v>
      </c>
      <c r="E5845" s="131"/>
    </row>
    <row r="5846" spans="1:5" x14ac:dyDescent="0.25">
      <c r="A5846" s="753">
        <v>400222</v>
      </c>
      <c r="B5846" s="130">
        <v>0</v>
      </c>
      <c r="E5846" s="131"/>
    </row>
    <row r="5847" spans="1:5" x14ac:dyDescent="0.25">
      <c r="A5847" s="753">
        <v>405404</v>
      </c>
      <c r="B5847" s="130">
        <v>-10338</v>
      </c>
      <c r="E5847" s="131"/>
    </row>
    <row r="5848" spans="1:5" x14ac:dyDescent="0.25">
      <c r="A5848" s="753">
        <v>405406</v>
      </c>
      <c r="B5848" s="130">
        <v>-227727</v>
      </c>
      <c r="E5848" s="131"/>
    </row>
    <row r="5849" spans="1:5" x14ac:dyDescent="0.25">
      <c r="A5849" s="753">
        <v>405408</v>
      </c>
      <c r="B5849" s="130">
        <v>45310</v>
      </c>
      <c r="E5849" s="131"/>
    </row>
    <row r="5850" spans="1:5" x14ac:dyDescent="0.25">
      <c r="A5850" s="753">
        <v>405410</v>
      </c>
      <c r="B5850" s="130">
        <v>223074</v>
      </c>
      <c r="E5850" s="131"/>
    </row>
    <row r="5851" spans="1:5" x14ac:dyDescent="0.25">
      <c r="A5851" s="753">
        <v>405412</v>
      </c>
      <c r="B5851" s="130">
        <v>-3883</v>
      </c>
      <c r="E5851" s="131"/>
    </row>
    <row r="5852" spans="1:5" x14ac:dyDescent="0.25">
      <c r="A5852" s="753">
        <v>405414</v>
      </c>
      <c r="B5852" s="130">
        <v>-41576</v>
      </c>
      <c r="E5852" s="131"/>
    </row>
    <row r="5853" spans="1:5" x14ac:dyDescent="0.25">
      <c r="A5853" s="753">
        <v>405416</v>
      </c>
      <c r="B5853" s="130">
        <v>0</v>
      </c>
      <c r="E5853" s="131"/>
    </row>
    <row r="5854" spans="1:5" x14ac:dyDescent="0.25">
      <c r="A5854" s="753">
        <v>405418</v>
      </c>
      <c r="B5854" s="130">
        <v>0</v>
      </c>
      <c r="E5854" s="131"/>
    </row>
    <row r="5855" spans="1:5" x14ac:dyDescent="0.25">
      <c r="A5855" s="753">
        <v>405420</v>
      </c>
      <c r="B5855" s="130">
        <v>0</v>
      </c>
      <c r="E5855" s="131"/>
    </row>
    <row r="5856" spans="1:5" x14ac:dyDescent="0.25">
      <c r="A5856" s="753">
        <v>405422</v>
      </c>
      <c r="B5856" s="130">
        <v>0</v>
      </c>
      <c r="E5856" s="131"/>
    </row>
    <row r="5857" spans="1:5" x14ac:dyDescent="0.25">
      <c r="A5857" s="753">
        <v>300104</v>
      </c>
      <c r="B5857" s="130">
        <v>1963853</v>
      </c>
      <c r="E5857" s="131"/>
    </row>
    <row r="5858" spans="1:5" x14ac:dyDescent="0.25">
      <c r="A5858" s="753">
        <v>300106</v>
      </c>
      <c r="B5858" s="130">
        <v>18364238</v>
      </c>
      <c r="E5858" s="131"/>
    </row>
    <row r="5859" spans="1:5" x14ac:dyDescent="0.25">
      <c r="A5859" s="753">
        <v>300108</v>
      </c>
      <c r="B5859" s="130">
        <v>1535462</v>
      </c>
      <c r="E5859" s="131"/>
    </row>
    <row r="5860" spans="1:5" x14ac:dyDescent="0.25">
      <c r="A5860" s="753">
        <v>300110</v>
      </c>
      <c r="B5860" s="130">
        <v>15163998</v>
      </c>
      <c r="E5860" s="131"/>
    </row>
    <row r="5861" spans="1:5" x14ac:dyDescent="0.25">
      <c r="A5861" s="753">
        <v>300112</v>
      </c>
      <c r="B5861" s="130">
        <v>0</v>
      </c>
      <c r="E5861" s="131"/>
    </row>
    <row r="5862" spans="1:5" x14ac:dyDescent="0.25">
      <c r="A5862" s="753">
        <v>300114</v>
      </c>
      <c r="B5862" s="130">
        <v>0</v>
      </c>
      <c r="E5862" s="131"/>
    </row>
    <row r="5863" spans="1:5" x14ac:dyDescent="0.25">
      <c r="A5863" s="753">
        <v>300116</v>
      </c>
      <c r="B5863" s="130">
        <v>0</v>
      </c>
      <c r="E5863" s="131"/>
    </row>
    <row r="5864" spans="1:5" x14ac:dyDescent="0.25">
      <c r="A5864" s="753">
        <v>300118</v>
      </c>
      <c r="B5864" s="130">
        <v>0</v>
      </c>
      <c r="E5864" s="131"/>
    </row>
    <row r="5865" spans="1:5" x14ac:dyDescent="0.25">
      <c r="A5865" s="753">
        <v>300204</v>
      </c>
      <c r="B5865" s="130">
        <v>191395</v>
      </c>
      <c r="E5865" s="131"/>
    </row>
    <row r="5866" spans="1:5" x14ac:dyDescent="0.25">
      <c r="A5866" s="753">
        <v>300206</v>
      </c>
      <c r="B5866" s="130">
        <v>1718038</v>
      </c>
      <c r="E5866" s="131"/>
    </row>
    <row r="5867" spans="1:5" x14ac:dyDescent="0.25">
      <c r="A5867" s="753">
        <v>300208</v>
      </c>
      <c r="B5867" s="130">
        <v>80071</v>
      </c>
      <c r="E5867" s="131"/>
    </row>
    <row r="5868" spans="1:5" x14ac:dyDescent="0.25">
      <c r="A5868" s="753">
        <v>300210</v>
      </c>
      <c r="B5868" s="130">
        <v>786750</v>
      </c>
      <c r="E5868" s="131"/>
    </row>
    <row r="5869" spans="1:5" x14ac:dyDescent="0.25">
      <c r="A5869" s="753">
        <v>300212</v>
      </c>
      <c r="B5869" s="130">
        <v>0</v>
      </c>
      <c r="E5869" s="131"/>
    </row>
    <row r="5870" spans="1:5" x14ac:dyDescent="0.25">
      <c r="A5870" s="753">
        <v>300214</v>
      </c>
      <c r="B5870" s="130">
        <v>0</v>
      </c>
      <c r="E5870" s="131"/>
    </row>
    <row r="5871" spans="1:5" x14ac:dyDescent="0.25">
      <c r="A5871" s="753">
        <v>300216</v>
      </c>
      <c r="B5871" s="130">
        <v>0</v>
      </c>
      <c r="E5871" s="131"/>
    </row>
    <row r="5872" spans="1:5" x14ac:dyDescent="0.25">
      <c r="A5872" s="753">
        <v>300218</v>
      </c>
      <c r="B5872" s="130">
        <v>0</v>
      </c>
      <c r="E5872" s="131"/>
    </row>
    <row r="5873" spans="1:5" x14ac:dyDescent="0.25">
      <c r="A5873" s="753">
        <v>306004</v>
      </c>
      <c r="B5873" s="130">
        <v>-3756</v>
      </c>
      <c r="E5873" s="131"/>
    </row>
    <row r="5874" spans="1:5" x14ac:dyDescent="0.25">
      <c r="A5874" s="753">
        <v>306006</v>
      </c>
      <c r="B5874" s="130">
        <v>-193506</v>
      </c>
      <c r="E5874" s="131"/>
    </row>
    <row r="5875" spans="1:5" x14ac:dyDescent="0.25">
      <c r="A5875" s="753">
        <v>306008</v>
      </c>
      <c r="B5875" s="130">
        <v>11298</v>
      </c>
      <c r="E5875" s="131"/>
    </row>
    <row r="5876" spans="1:5" x14ac:dyDescent="0.25">
      <c r="A5876" s="753">
        <v>306010</v>
      </c>
      <c r="B5876" s="130">
        <v>58679</v>
      </c>
      <c r="E5876" s="131"/>
    </row>
    <row r="5877" spans="1:5" x14ac:dyDescent="0.25">
      <c r="A5877" s="753">
        <v>306012</v>
      </c>
      <c r="B5877" s="130">
        <v>0</v>
      </c>
      <c r="E5877" s="131"/>
    </row>
    <row r="5878" spans="1:5" x14ac:dyDescent="0.25">
      <c r="A5878" s="753">
        <v>306014</v>
      </c>
      <c r="B5878" s="130">
        <v>0</v>
      </c>
      <c r="E5878" s="131"/>
    </row>
    <row r="5879" spans="1:5" x14ac:dyDescent="0.25">
      <c r="A5879" s="753">
        <v>306016</v>
      </c>
      <c r="B5879" s="130">
        <v>0</v>
      </c>
      <c r="E5879" s="131"/>
    </row>
    <row r="5880" spans="1:5" x14ac:dyDescent="0.25">
      <c r="A5880" s="753">
        <v>306018</v>
      </c>
      <c r="B5880" s="130">
        <v>0</v>
      </c>
      <c r="E5880" s="131"/>
    </row>
    <row r="5881" spans="1:5" x14ac:dyDescent="0.25">
      <c r="A5881" s="753">
        <v>200114</v>
      </c>
      <c r="B5881" s="130">
        <v>4036371</v>
      </c>
      <c r="E5881" s="131"/>
    </row>
    <row r="5882" spans="1:5" x14ac:dyDescent="0.25">
      <c r="A5882" s="753">
        <v>200118</v>
      </c>
      <c r="B5882" s="130">
        <v>37628527</v>
      </c>
      <c r="E5882" s="131"/>
    </row>
    <row r="5883" spans="1:5" x14ac:dyDescent="0.25">
      <c r="A5883" s="753">
        <v>200124</v>
      </c>
      <c r="B5883" s="130">
        <v>0</v>
      </c>
      <c r="E5883" s="131"/>
    </row>
    <row r="5884" spans="1:5" x14ac:dyDescent="0.25">
      <c r="A5884" s="753">
        <v>200128</v>
      </c>
      <c r="B5884" s="130">
        <v>0</v>
      </c>
      <c r="E5884" s="131"/>
    </row>
    <row r="5885" spans="1:5" x14ac:dyDescent="0.25">
      <c r="A5885" s="753">
        <v>200214</v>
      </c>
      <c r="B5885" s="130">
        <v>515458</v>
      </c>
      <c r="E5885" s="131"/>
    </row>
    <row r="5886" spans="1:5" x14ac:dyDescent="0.25">
      <c r="A5886" s="753">
        <v>200216</v>
      </c>
      <c r="B5886" s="130">
        <v>128</v>
      </c>
      <c r="E5886" s="131"/>
    </row>
    <row r="5887" spans="1:5" x14ac:dyDescent="0.25">
      <c r="A5887" s="753">
        <v>200218</v>
      </c>
      <c r="B5887" s="130">
        <v>4245266</v>
      </c>
      <c r="E5887" s="131"/>
    </row>
    <row r="5888" spans="1:5" x14ac:dyDescent="0.25">
      <c r="A5888" s="753">
        <v>200220</v>
      </c>
      <c r="B5888" s="130">
        <v>113</v>
      </c>
      <c r="E5888" s="131"/>
    </row>
    <row r="5889" spans="1:5" x14ac:dyDescent="0.25">
      <c r="A5889" s="753">
        <v>200224</v>
      </c>
      <c r="B5889" s="130">
        <v>0</v>
      </c>
      <c r="E5889" s="131"/>
    </row>
    <row r="5890" spans="1:5" x14ac:dyDescent="0.25">
      <c r="A5890" s="753">
        <v>200226</v>
      </c>
      <c r="B5890" s="130">
        <v>0</v>
      </c>
      <c r="E5890" s="131"/>
    </row>
    <row r="5891" spans="1:5" x14ac:dyDescent="0.25">
      <c r="A5891" s="753">
        <v>200228</v>
      </c>
      <c r="B5891" s="130">
        <v>0</v>
      </c>
      <c r="E5891" s="131"/>
    </row>
    <row r="5892" spans="1:5" x14ac:dyDescent="0.25">
      <c r="A5892" s="753">
        <v>200230</v>
      </c>
      <c r="B5892" s="130">
        <v>0</v>
      </c>
      <c r="E5892" s="131"/>
    </row>
    <row r="5893" spans="1:5" x14ac:dyDescent="0.25">
      <c r="A5893" s="753">
        <v>200414</v>
      </c>
      <c r="B5893" s="130">
        <v>40088</v>
      </c>
      <c r="E5893" s="131"/>
    </row>
    <row r="5894" spans="1:5" x14ac:dyDescent="0.25">
      <c r="A5894" s="753">
        <v>200416</v>
      </c>
      <c r="B5894" s="130">
        <v>78</v>
      </c>
      <c r="E5894" s="131"/>
    </row>
    <row r="5895" spans="1:5" x14ac:dyDescent="0.25">
      <c r="A5895" s="753">
        <v>200418</v>
      </c>
      <c r="B5895" s="130">
        <v>370918</v>
      </c>
      <c r="E5895" s="131"/>
    </row>
    <row r="5896" spans="1:5" x14ac:dyDescent="0.25">
      <c r="A5896" s="753">
        <v>200420</v>
      </c>
      <c r="B5896" s="130">
        <v>87</v>
      </c>
      <c r="E5896" s="131"/>
    </row>
    <row r="5897" spans="1:5" x14ac:dyDescent="0.25">
      <c r="A5897" s="753">
        <v>200424</v>
      </c>
      <c r="B5897" s="130">
        <v>0</v>
      </c>
      <c r="E5897" s="131"/>
    </row>
    <row r="5898" spans="1:5" x14ac:dyDescent="0.25">
      <c r="A5898" s="753">
        <v>200426</v>
      </c>
      <c r="B5898" s="130">
        <v>0</v>
      </c>
      <c r="E5898" s="131"/>
    </row>
    <row r="5899" spans="1:5" x14ac:dyDescent="0.25">
      <c r="A5899" s="753">
        <v>200428</v>
      </c>
      <c r="B5899" s="130">
        <v>0</v>
      </c>
      <c r="E5899" s="131"/>
    </row>
    <row r="5900" spans="1:5" x14ac:dyDescent="0.25">
      <c r="A5900" s="753">
        <v>200430</v>
      </c>
      <c r="B5900" s="130">
        <v>0</v>
      </c>
      <c r="E5900" s="131"/>
    </row>
    <row r="5901" spans="1:5" x14ac:dyDescent="0.25">
      <c r="A5901" s="753">
        <v>200514</v>
      </c>
      <c r="B5901" s="130">
        <v>13482</v>
      </c>
      <c r="E5901" s="131"/>
    </row>
    <row r="5902" spans="1:5" x14ac:dyDescent="0.25">
      <c r="A5902" s="753">
        <v>200516</v>
      </c>
      <c r="B5902" s="130">
        <v>26</v>
      </c>
      <c r="E5902" s="131"/>
    </row>
    <row r="5903" spans="1:5" x14ac:dyDescent="0.25">
      <c r="A5903" s="753">
        <v>200518</v>
      </c>
      <c r="B5903" s="130">
        <v>201604</v>
      </c>
      <c r="E5903" s="131"/>
    </row>
    <row r="5904" spans="1:5" x14ac:dyDescent="0.25">
      <c r="A5904" s="753">
        <v>200520</v>
      </c>
      <c r="B5904" s="130">
        <v>47</v>
      </c>
      <c r="E5904" s="131"/>
    </row>
    <row r="5905" spans="1:5" x14ac:dyDescent="0.25">
      <c r="A5905" s="753">
        <v>200524</v>
      </c>
      <c r="B5905" s="130">
        <v>0</v>
      </c>
      <c r="E5905" s="131"/>
    </row>
    <row r="5906" spans="1:5" x14ac:dyDescent="0.25">
      <c r="A5906" s="753">
        <v>200526</v>
      </c>
      <c r="B5906" s="130">
        <v>0</v>
      </c>
      <c r="E5906" s="131"/>
    </row>
    <row r="5907" spans="1:5" x14ac:dyDescent="0.25">
      <c r="A5907" s="753">
        <v>200528</v>
      </c>
      <c r="B5907" s="130">
        <v>0</v>
      </c>
      <c r="E5907" s="131"/>
    </row>
    <row r="5908" spans="1:5" x14ac:dyDescent="0.25">
      <c r="A5908" s="753">
        <v>200530</v>
      </c>
      <c r="B5908" s="130">
        <v>0</v>
      </c>
      <c r="E5908" s="131"/>
    </row>
    <row r="5909" spans="1:5" x14ac:dyDescent="0.25">
      <c r="A5909" s="753">
        <v>200614</v>
      </c>
      <c r="B5909" s="130">
        <v>7843</v>
      </c>
      <c r="E5909" s="131"/>
    </row>
    <row r="5910" spans="1:5" x14ac:dyDescent="0.25">
      <c r="A5910" s="753">
        <v>200616</v>
      </c>
      <c r="B5910" s="130">
        <v>15</v>
      </c>
      <c r="E5910" s="131"/>
    </row>
    <row r="5911" spans="1:5" x14ac:dyDescent="0.25">
      <c r="A5911" s="753">
        <v>200618</v>
      </c>
      <c r="B5911" s="130">
        <v>73329</v>
      </c>
      <c r="E5911" s="131"/>
    </row>
    <row r="5912" spans="1:5" x14ac:dyDescent="0.25">
      <c r="A5912" s="753">
        <v>200620</v>
      </c>
      <c r="B5912" s="130">
        <v>17</v>
      </c>
      <c r="E5912" s="131"/>
    </row>
    <row r="5913" spans="1:5" x14ac:dyDescent="0.25">
      <c r="A5913" s="753">
        <v>200624</v>
      </c>
      <c r="B5913" s="130">
        <v>0</v>
      </c>
      <c r="E5913" s="131"/>
    </row>
    <row r="5914" spans="1:5" x14ac:dyDescent="0.25">
      <c r="A5914" s="753">
        <v>200626</v>
      </c>
      <c r="B5914" s="130">
        <v>0</v>
      </c>
      <c r="E5914" s="131"/>
    </row>
    <row r="5915" spans="1:5" x14ac:dyDescent="0.25">
      <c r="A5915" s="753">
        <v>200628</v>
      </c>
      <c r="B5915" s="130">
        <v>0</v>
      </c>
      <c r="E5915" s="131"/>
    </row>
    <row r="5916" spans="1:5" x14ac:dyDescent="0.25">
      <c r="A5916" s="753">
        <v>200630</v>
      </c>
      <c r="B5916" s="130">
        <v>0</v>
      </c>
      <c r="E5916" s="131"/>
    </row>
    <row r="5917" spans="1:5" x14ac:dyDescent="0.25">
      <c r="A5917" s="753">
        <v>200714</v>
      </c>
      <c r="B5917" s="130">
        <v>46963</v>
      </c>
      <c r="E5917" s="131"/>
    </row>
    <row r="5918" spans="1:5" x14ac:dyDescent="0.25">
      <c r="A5918" s="753">
        <v>200716</v>
      </c>
      <c r="B5918" s="130">
        <v>91</v>
      </c>
      <c r="E5918" s="131"/>
    </row>
    <row r="5919" spans="1:5" x14ac:dyDescent="0.25">
      <c r="A5919" s="753">
        <v>200718</v>
      </c>
      <c r="B5919" s="130">
        <v>329760</v>
      </c>
      <c r="E5919" s="131"/>
    </row>
    <row r="5920" spans="1:5" x14ac:dyDescent="0.25">
      <c r="A5920" s="753">
        <v>200720</v>
      </c>
      <c r="B5920" s="130">
        <v>78</v>
      </c>
      <c r="E5920" s="131"/>
    </row>
    <row r="5921" spans="1:5" x14ac:dyDescent="0.25">
      <c r="A5921" s="753">
        <v>200724</v>
      </c>
      <c r="B5921" s="130">
        <v>0</v>
      </c>
      <c r="E5921" s="131"/>
    </row>
    <row r="5922" spans="1:5" x14ac:dyDescent="0.25">
      <c r="A5922" s="753">
        <v>200726</v>
      </c>
      <c r="B5922" s="130">
        <v>0</v>
      </c>
      <c r="E5922" s="131"/>
    </row>
    <row r="5923" spans="1:5" x14ac:dyDescent="0.25">
      <c r="A5923" s="753">
        <v>200728</v>
      </c>
      <c r="B5923" s="130">
        <v>0</v>
      </c>
      <c r="E5923" s="131"/>
    </row>
    <row r="5924" spans="1:5" x14ac:dyDescent="0.25">
      <c r="A5924" s="753">
        <v>200730</v>
      </c>
      <c r="B5924" s="130">
        <v>0</v>
      </c>
      <c r="E5924" s="131"/>
    </row>
    <row r="5925" spans="1:5" x14ac:dyDescent="0.25">
      <c r="A5925" s="753">
        <v>200814</v>
      </c>
      <c r="B5925" s="130">
        <v>315</v>
      </c>
      <c r="E5925" s="131"/>
    </row>
    <row r="5926" spans="1:5" x14ac:dyDescent="0.25">
      <c r="A5926" s="753">
        <v>200816</v>
      </c>
      <c r="B5926" s="130">
        <v>1</v>
      </c>
      <c r="E5926" s="131"/>
    </row>
    <row r="5927" spans="1:5" x14ac:dyDescent="0.25">
      <c r="A5927" s="753">
        <v>200818</v>
      </c>
      <c r="B5927" s="130">
        <v>-3988</v>
      </c>
      <c r="E5927" s="131"/>
    </row>
    <row r="5928" spans="1:5" x14ac:dyDescent="0.25">
      <c r="A5928" s="753">
        <v>200820</v>
      </c>
      <c r="B5928" s="130">
        <v>-1</v>
      </c>
      <c r="E5928" s="131"/>
    </row>
    <row r="5929" spans="1:5" x14ac:dyDescent="0.25">
      <c r="A5929" s="753">
        <v>200824</v>
      </c>
      <c r="B5929" s="130">
        <v>0</v>
      </c>
      <c r="E5929" s="131"/>
    </row>
    <row r="5930" spans="1:5" x14ac:dyDescent="0.25">
      <c r="A5930" s="753">
        <v>200826</v>
      </c>
      <c r="B5930" s="130">
        <v>0</v>
      </c>
      <c r="E5930" s="131"/>
    </row>
    <row r="5931" spans="1:5" x14ac:dyDescent="0.25">
      <c r="A5931" s="753">
        <v>200828</v>
      </c>
      <c r="B5931" s="130">
        <v>0</v>
      </c>
      <c r="E5931" s="131"/>
    </row>
    <row r="5932" spans="1:5" x14ac:dyDescent="0.25">
      <c r="A5932" s="753">
        <v>200830</v>
      </c>
      <c r="B5932" s="130">
        <v>0</v>
      </c>
      <c r="E5932" s="131"/>
    </row>
    <row r="5933" spans="1:5" x14ac:dyDescent="0.25">
      <c r="A5933" s="753">
        <v>200914</v>
      </c>
      <c r="B5933" s="130">
        <v>3500</v>
      </c>
      <c r="E5933" s="131"/>
    </row>
    <row r="5934" spans="1:5" x14ac:dyDescent="0.25">
      <c r="A5934" s="753">
        <v>200916</v>
      </c>
      <c r="B5934" s="130">
        <v>7</v>
      </c>
      <c r="E5934" s="131"/>
    </row>
    <row r="5935" spans="1:5" x14ac:dyDescent="0.25">
      <c r="A5935" s="753">
        <v>200918</v>
      </c>
      <c r="B5935" s="130">
        <v>35100</v>
      </c>
      <c r="E5935" s="131"/>
    </row>
    <row r="5936" spans="1:5" x14ac:dyDescent="0.25">
      <c r="A5936" s="753">
        <v>200920</v>
      </c>
      <c r="B5936" s="130">
        <v>8</v>
      </c>
      <c r="E5936" s="131"/>
    </row>
    <row r="5937" spans="1:5" x14ac:dyDescent="0.25">
      <c r="A5937" s="753">
        <v>200924</v>
      </c>
      <c r="B5937" s="130">
        <v>0</v>
      </c>
      <c r="E5937" s="131"/>
    </row>
    <row r="5938" spans="1:5" x14ac:dyDescent="0.25">
      <c r="A5938" s="753">
        <v>200926</v>
      </c>
      <c r="B5938" s="130">
        <v>0</v>
      </c>
      <c r="E5938" s="131"/>
    </row>
    <row r="5939" spans="1:5" x14ac:dyDescent="0.25">
      <c r="A5939" s="753">
        <v>200928</v>
      </c>
      <c r="B5939" s="130">
        <v>0</v>
      </c>
      <c r="E5939" s="131"/>
    </row>
    <row r="5940" spans="1:5" x14ac:dyDescent="0.25">
      <c r="A5940" s="753">
        <v>200930</v>
      </c>
      <c r="B5940" s="130">
        <v>0</v>
      </c>
      <c r="E5940" s="131"/>
    </row>
    <row r="5941" spans="1:5" x14ac:dyDescent="0.25">
      <c r="A5941" s="753">
        <v>201014</v>
      </c>
      <c r="B5941" s="130">
        <v>19964</v>
      </c>
      <c r="E5941" s="131"/>
    </row>
    <row r="5942" spans="1:5" x14ac:dyDescent="0.25">
      <c r="A5942" s="753">
        <v>201016</v>
      </c>
      <c r="B5942" s="130">
        <v>39</v>
      </c>
      <c r="E5942" s="131"/>
    </row>
    <row r="5943" spans="1:5" x14ac:dyDescent="0.25">
      <c r="A5943" s="753">
        <v>201018</v>
      </c>
      <c r="B5943" s="130">
        <v>317239</v>
      </c>
      <c r="E5943" s="131"/>
    </row>
    <row r="5944" spans="1:5" x14ac:dyDescent="0.25">
      <c r="A5944" s="753">
        <v>201020</v>
      </c>
      <c r="B5944" s="130">
        <v>75</v>
      </c>
      <c r="E5944" s="131"/>
    </row>
    <row r="5945" spans="1:5" x14ac:dyDescent="0.25">
      <c r="A5945" s="753">
        <v>201024</v>
      </c>
      <c r="B5945" s="130">
        <v>0</v>
      </c>
      <c r="E5945" s="131"/>
    </row>
    <row r="5946" spans="1:5" x14ac:dyDescent="0.25">
      <c r="A5946" s="753">
        <v>201026</v>
      </c>
      <c r="B5946" s="130">
        <v>0</v>
      </c>
      <c r="E5946" s="131"/>
    </row>
    <row r="5947" spans="1:5" x14ac:dyDescent="0.25">
      <c r="A5947" s="753">
        <v>201028</v>
      </c>
      <c r="B5947" s="130">
        <v>0</v>
      </c>
      <c r="E5947" s="131"/>
    </row>
    <row r="5948" spans="1:5" x14ac:dyDescent="0.25">
      <c r="A5948" s="753">
        <v>201030</v>
      </c>
      <c r="B5948" s="130">
        <v>0</v>
      </c>
      <c r="E5948" s="131"/>
    </row>
    <row r="5949" spans="1:5" x14ac:dyDescent="0.25">
      <c r="A5949" s="753">
        <v>201114</v>
      </c>
      <c r="B5949" s="130">
        <v>0</v>
      </c>
      <c r="E5949" s="131"/>
    </row>
    <row r="5950" spans="1:5" x14ac:dyDescent="0.25">
      <c r="A5950" s="753">
        <v>201116</v>
      </c>
      <c r="B5950" s="130">
        <v>0</v>
      </c>
      <c r="E5950" s="131"/>
    </row>
    <row r="5951" spans="1:5" x14ac:dyDescent="0.25">
      <c r="A5951" s="753">
        <v>201118</v>
      </c>
      <c r="B5951" s="130">
        <v>0</v>
      </c>
      <c r="E5951" s="131"/>
    </row>
    <row r="5952" spans="1:5" x14ac:dyDescent="0.25">
      <c r="A5952" s="753">
        <v>201120</v>
      </c>
      <c r="B5952" s="130">
        <v>0</v>
      </c>
      <c r="E5952" s="131"/>
    </row>
    <row r="5953" spans="1:5" x14ac:dyDescent="0.25">
      <c r="A5953" s="753">
        <v>201124</v>
      </c>
      <c r="B5953" s="130">
        <v>0</v>
      </c>
      <c r="E5953" s="131"/>
    </row>
    <row r="5954" spans="1:5" x14ac:dyDescent="0.25">
      <c r="A5954" s="753">
        <v>201126</v>
      </c>
      <c r="B5954" s="130">
        <v>0</v>
      </c>
      <c r="E5954" s="131"/>
    </row>
    <row r="5955" spans="1:5" x14ac:dyDescent="0.25">
      <c r="A5955" s="753">
        <v>201128</v>
      </c>
      <c r="B5955" s="130">
        <v>0</v>
      </c>
      <c r="E5955" s="131"/>
    </row>
    <row r="5956" spans="1:5" x14ac:dyDescent="0.25">
      <c r="A5956" s="753">
        <v>201130</v>
      </c>
      <c r="B5956" s="130">
        <v>0</v>
      </c>
      <c r="E5956" s="131"/>
    </row>
    <row r="5957" spans="1:5" x14ac:dyDescent="0.25">
      <c r="A5957" s="753">
        <v>201214</v>
      </c>
      <c r="B5957" s="130">
        <v>125155</v>
      </c>
      <c r="E5957" s="131"/>
    </row>
    <row r="5958" spans="1:5" x14ac:dyDescent="0.25">
      <c r="A5958" s="753">
        <v>201216</v>
      </c>
      <c r="B5958" s="130">
        <v>243</v>
      </c>
      <c r="E5958" s="131"/>
    </row>
    <row r="5959" spans="1:5" x14ac:dyDescent="0.25">
      <c r="A5959" s="753">
        <v>201218</v>
      </c>
      <c r="B5959" s="130">
        <v>1253762</v>
      </c>
      <c r="E5959" s="131"/>
    </row>
    <row r="5960" spans="1:5" x14ac:dyDescent="0.25">
      <c r="A5960" s="753">
        <v>201220</v>
      </c>
      <c r="B5960" s="130">
        <v>295</v>
      </c>
      <c r="E5960" s="131"/>
    </row>
    <row r="5961" spans="1:5" x14ac:dyDescent="0.25">
      <c r="A5961" s="753">
        <v>201224</v>
      </c>
      <c r="B5961" s="130">
        <v>0</v>
      </c>
      <c r="E5961" s="131"/>
    </row>
    <row r="5962" spans="1:5" x14ac:dyDescent="0.25">
      <c r="A5962" s="753">
        <v>201226</v>
      </c>
      <c r="B5962" s="130">
        <v>0</v>
      </c>
      <c r="E5962" s="131"/>
    </row>
    <row r="5963" spans="1:5" x14ac:dyDescent="0.25">
      <c r="A5963" s="753">
        <v>201228</v>
      </c>
      <c r="B5963" s="130">
        <v>0</v>
      </c>
      <c r="E5963" s="131"/>
    </row>
    <row r="5964" spans="1:5" x14ac:dyDescent="0.25">
      <c r="A5964" s="753">
        <v>201230</v>
      </c>
      <c r="B5964" s="130">
        <v>0</v>
      </c>
      <c r="E5964" s="131"/>
    </row>
    <row r="5965" spans="1:5" x14ac:dyDescent="0.25">
      <c r="A5965" s="753">
        <v>201314</v>
      </c>
      <c r="B5965" s="130">
        <v>15230</v>
      </c>
      <c r="E5965" s="131"/>
    </row>
    <row r="5966" spans="1:5" x14ac:dyDescent="0.25">
      <c r="A5966" s="753">
        <v>201316</v>
      </c>
      <c r="B5966" s="130">
        <v>30</v>
      </c>
      <c r="E5966" s="131"/>
    </row>
    <row r="5967" spans="1:5" x14ac:dyDescent="0.25">
      <c r="A5967" s="753">
        <v>201318</v>
      </c>
      <c r="B5967" s="130">
        <v>130758</v>
      </c>
      <c r="E5967" s="131"/>
    </row>
    <row r="5968" spans="1:5" x14ac:dyDescent="0.25">
      <c r="A5968" s="753">
        <v>201320</v>
      </c>
      <c r="B5968" s="130">
        <v>31</v>
      </c>
      <c r="E5968" s="131"/>
    </row>
    <row r="5969" spans="1:5" x14ac:dyDescent="0.25">
      <c r="A5969" s="753">
        <v>201324</v>
      </c>
      <c r="B5969" s="130">
        <v>0</v>
      </c>
      <c r="E5969" s="131"/>
    </row>
    <row r="5970" spans="1:5" x14ac:dyDescent="0.25">
      <c r="A5970" s="753">
        <v>201326</v>
      </c>
      <c r="B5970" s="130">
        <v>0</v>
      </c>
      <c r="E5970" s="131"/>
    </row>
    <row r="5971" spans="1:5" x14ac:dyDescent="0.25">
      <c r="A5971" s="753">
        <v>201328</v>
      </c>
      <c r="B5971" s="130">
        <v>0</v>
      </c>
      <c r="E5971" s="131"/>
    </row>
    <row r="5972" spans="1:5" x14ac:dyDescent="0.25">
      <c r="A5972" s="753">
        <v>201330</v>
      </c>
      <c r="B5972" s="130">
        <v>0</v>
      </c>
      <c r="E5972" s="131"/>
    </row>
    <row r="5973" spans="1:5" x14ac:dyDescent="0.25">
      <c r="A5973" s="753">
        <v>201414</v>
      </c>
      <c r="B5973" s="130">
        <v>34446</v>
      </c>
      <c r="E5973" s="131"/>
    </row>
    <row r="5974" spans="1:5" x14ac:dyDescent="0.25">
      <c r="A5974" s="753">
        <v>201416</v>
      </c>
      <c r="B5974" s="130">
        <v>67</v>
      </c>
      <c r="E5974" s="131"/>
    </row>
    <row r="5975" spans="1:5" x14ac:dyDescent="0.25">
      <c r="A5975" s="753">
        <v>201418</v>
      </c>
      <c r="B5975" s="130">
        <v>282323</v>
      </c>
      <c r="E5975" s="131"/>
    </row>
    <row r="5976" spans="1:5" x14ac:dyDescent="0.25">
      <c r="A5976" s="753">
        <v>201420</v>
      </c>
      <c r="B5976" s="130">
        <v>67</v>
      </c>
      <c r="E5976" s="131"/>
    </row>
    <row r="5977" spans="1:5" x14ac:dyDescent="0.25">
      <c r="A5977" s="753">
        <v>201424</v>
      </c>
      <c r="B5977" s="130">
        <v>0</v>
      </c>
      <c r="E5977" s="131"/>
    </row>
    <row r="5978" spans="1:5" x14ac:dyDescent="0.25">
      <c r="A5978" s="753">
        <v>201426</v>
      </c>
      <c r="B5978" s="130">
        <v>0</v>
      </c>
      <c r="E5978" s="131"/>
    </row>
    <row r="5979" spans="1:5" x14ac:dyDescent="0.25">
      <c r="A5979" s="753">
        <v>201428</v>
      </c>
      <c r="B5979" s="130">
        <v>0</v>
      </c>
      <c r="E5979" s="131"/>
    </row>
    <row r="5980" spans="1:5" x14ac:dyDescent="0.25">
      <c r="A5980" s="753">
        <v>201430</v>
      </c>
      <c r="B5980" s="130">
        <v>0</v>
      </c>
      <c r="E5980" s="131"/>
    </row>
    <row r="5981" spans="1:5" x14ac:dyDescent="0.25">
      <c r="A5981" s="753">
        <v>201514</v>
      </c>
      <c r="B5981" s="130">
        <v>20814</v>
      </c>
      <c r="E5981" s="131"/>
    </row>
    <row r="5982" spans="1:5" x14ac:dyDescent="0.25">
      <c r="A5982" s="753">
        <v>201516</v>
      </c>
      <c r="B5982" s="130">
        <v>40</v>
      </c>
      <c r="E5982" s="131"/>
    </row>
    <row r="5983" spans="1:5" x14ac:dyDescent="0.25">
      <c r="A5983" s="753">
        <v>201518</v>
      </c>
      <c r="B5983" s="130">
        <v>190293</v>
      </c>
      <c r="E5983" s="131"/>
    </row>
    <row r="5984" spans="1:5" x14ac:dyDescent="0.25">
      <c r="A5984" s="753">
        <v>201520</v>
      </c>
      <c r="B5984" s="130">
        <v>45</v>
      </c>
      <c r="E5984" s="131"/>
    </row>
    <row r="5985" spans="1:5" x14ac:dyDescent="0.25">
      <c r="A5985" s="753">
        <v>201524</v>
      </c>
      <c r="B5985" s="130">
        <v>0</v>
      </c>
      <c r="E5985" s="131"/>
    </row>
    <row r="5986" spans="1:5" x14ac:dyDescent="0.25">
      <c r="A5986" s="753">
        <v>201526</v>
      </c>
      <c r="B5986" s="130">
        <v>0</v>
      </c>
      <c r="E5986" s="131"/>
    </row>
    <row r="5987" spans="1:5" x14ac:dyDescent="0.25">
      <c r="A5987" s="753">
        <v>201528</v>
      </c>
      <c r="B5987" s="130">
        <v>0</v>
      </c>
      <c r="E5987" s="131"/>
    </row>
    <row r="5988" spans="1:5" x14ac:dyDescent="0.25">
      <c r="A5988" s="753">
        <v>201530</v>
      </c>
      <c r="B5988" s="130">
        <v>0</v>
      </c>
      <c r="E5988" s="131"/>
    </row>
    <row r="5989" spans="1:5" x14ac:dyDescent="0.25">
      <c r="A5989" s="753">
        <v>201614</v>
      </c>
      <c r="B5989" s="130">
        <v>15814</v>
      </c>
      <c r="E5989" s="131"/>
    </row>
    <row r="5990" spans="1:5" x14ac:dyDescent="0.25">
      <c r="A5990" s="753">
        <v>201616</v>
      </c>
      <c r="B5990" s="130">
        <v>31</v>
      </c>
      <c r="E5990" s="131"/>
    </row>
    <row r="5991" spans="1:5" x14ac:dyDescent="0.25">
      <c r="A5991" s="753">
        <v>201618</v>
      </c>
      <c r="B5991" s="130">
        <v>113392</v>
      </c>
      <c r="E5991" s="131"/>
    </row>
    <row r="5992" spans="1:5" x14ac:dyDescent="0.25">
      <c r="A5992" s="753">
        <v>201620</v>
      </c>
      <c r="B5992" s="130">
        <v>27</v>
      </c>
      <c r="E5992" s="131"/>
    </row>
    <row r="5993" spans="1:5" x14ac:dyDescent="0.25">
      <c r="A5993" s="753">
        <v>201624</v>
      </c>
      <c r="B5993" s="130">
        <v>0</v>
      </c>
      <c r="E5993" s="131"/>
    </row>
    <row r="5994" spans="1:5" x14ac:dyDescent="0.25">
      <c r="A5994" s="753">
        <v>201626</v>
      </c>
      <c r="B5994" s="130">
        <v>0</v>
      </c>
      <c r="E5994" s="131"/>
    </row>
    <row r="5995" spans="1:5" x14ac:dyDescent="0.25">
      <c r="A5995" s="753">
        <v>201628</v>
      </c>
      <c r="B5995" s="130">
        <v>0</v>
      </c>
      <c r="E5995" s="131"/>
    </row>
    <row r="5996" spans="1:5" x14ac:dyDescent="0.25">
      <c r="A5996" s="753">
        <v>201630</v>
      </c>
      <c r="B5996" s="130">
        <v>0</v>
      </c>
      <c r="E5996" s="131"/>
    </row>
    <row r="5997" spans="1:5" x14ac:dyDescent="0.25">
      <c r="A5997" s="753">
        <v>201714</v>
      </c>
      <c r="B5997" s="130">
        <v>28009</v>
      </c>
      <c r="E5997" s="131"/>
    </row>
    <row r="5998" spans="1:5" x14ac:dyDescent="0.25">
      <c r="A5998" s="753">
        <v>201716</v>
      </c>
      <c r="B5998" s="130">
        <v>54</v>
      </c>
      <c r="E5998" s="131"/>
    </row>
    <row r="5999" spans="1:5" x14ac:dyDescent="0.25">
      <c r="A5999" s="753">
        <v>201718</v>
      </c>
      <c r="B5999" s="130">
        <v>209287</v>
      </c>
      <c r="E5999" s="131"/>
    </row>
    <row r="6000" spans="1:5" x14ac:dyDescent="0.25">
      <c r="A6000" s="753">
        <v>201720</v>
      </c>
      <c r="B6000" s="130">
        <v>49</v>
      </c>
      <c r="E6000" s="131"/>
    </row>
    <row r="6001" spans="1:5" x14ac:dyDescent="0.25">
      <c r="A6001" s="753">
        <v>201724</v>
      </c>
      <c r="B6001" s="130">
        <v>0</v>
      </c>
      <c r="E6001" s="131"/>
    </row>
    <row r="6002" spans="1:5" x14ac:dyDescent="0.25">
      <c r="A6002" s="753">
        <v>201726</v>
      </c>
      <c r="B6002" s="130">
        <v>0</v>
      </c>
      <c r="E6002" s="131"/>
    </row>
    <row r="6003" spans="1:5" x14ac:dyDescent="0.25">
      <c r="A6003" s="753">
        <v>201728</v>
      </c>
      <c r="B6003" s="130">
        <v>0</v>
      </c>
      <c r="E6003" s="131"/>
    </row>
    <row r="6004" spans="1:5" x14ac:dyDescent="0.25">
      <c r="A6004" s="753">
        <v>201730</v>
      </c>
      <c r="B6004" s="130">
        <v>0</v>
      </c>
      <c r="E6004" s="131"/>
    </row>
    <row r="6005" spans="1:5" x14ac:dyDescent="0.25">
      <c r="A6005" s="753">
        <v>201814</v>
      </c>
      <c r="B6005" s="130">
        <v>21042</v>
      </c>
      <c r="E6005" s="131"/>
    </row>
    <row r="6006" spans="1:5" x14ac:dyDescent="0.25">
      <c r="A6006" s="753">
        <v>201816</v>
      </c>
      <c r="B6006" s="130">
        <v>41</v>
      </c>
      <c r="E6006" s="131"/>
    </row>
    <row r="6007" spans="1:5" x14ac:dyDescent="0.25">
      <c r="A6007" s="753">
        <v>201818</v>
      </c>
      <c r="B6007" s="130">
        <v>214377</v>
      </c>
      <c r="E6007" s="131"/>
    </row>
    <row r="6008" spans="1:5" x14ac:dyDescent="0.25">
      <c r="A6008" s="753">
        <v>201820</v>
      </c>
      <c r="B6008" s="130">
        <v>50</v>
      </c>
      <c r="E6008" s="131"/>
    </row>
    <row r="6009" spans="1:5" x14ac:dyDescent="0.25">
      <c r="A6009" s="753">
        <v>201824</v>
      </c>
      <c r="B6009" s="130">
        <v>0</v>
      </c>
      <c r="E6009" s="131"/>
    </row>
    <row r="6010" spans="1:5" x14ac:dyDescent="0.25">
      <c r="A6010" s="753">
        <v>201826</v>
      </c>
      <c r="B6010" s="130">
        <v>0</v>
      </c>
      <c r="E6010" s="131"/>
    </row>
    <row r="6011" spans="1:5" x14ac:dyDescent="0.25">
      <c r="A6011" s="753">
        <v>201828</v>
      </c>
      <c r="B6011" s="130">
        <v>0</v>
      </c>
      <c r="E6011" s="131"/>
    </row>
    <row r="6012" spans="1:5" x14ac:dyDescent="0.25">
      <c r="A6012" s="753">
        <v>201830</v>
      </c>
      <c r="B6012" s="130">
        <v>0</v>
      </c>
      <c r="E6012" s="131"/>
    </row>
    <row r="6013" spans="1:5" x14ac:dyDescent="0.25">
      <c r="A6013" s="753">
        <v>201914</v>
      </c>
      <c r="B6013" s="130">
        <v>24885</v>
      </c>
      <c r="E6013" s="131"/>
    </row>
    <row r="6014" spans="1:5" x14ac:dyDescent="0.25">
      <c r="A6014" s="753">
        <v>201916</v>
      </c>
      <c r="B6014" s="130">
        <v>48</v>
      </c>
      <c r="E6014" s="131"/>
    </row>
    <row r="6015" spans="1:5" x14ac:dyDescent="0.25">
      <c r="A6015" s="753">
        <v>201918</v>
      </c>
      <c r="B6015" s="130">
        <v>255937</v>
      </c>
      <c r="E6015" s="131"/>
    </row>
    <row r="6016" spans="1:5" x14ac:dyDescent="0.25">
      <c r="A6016" s="753">
        <v>201920</v>
      </c>
      <c r="B6016" s="130">
        <v>60</v>
      </c>
      <c r="E6016" s="131"/>
    </row>
    <row r="6017" spans="1:5" x14ac:dyDescent="0.25">
      <c r="A6017" s="753">
        <v>201924</v>
      </c>
      <c r="B6017" s="130">
        <v>0</v>
      </c>
      <c r="E6017" s="131"/>
    </row>
    <row r="6018" spans="1:5" x14ac:dyDescent="0.25">
      <c r="A6018" s="753">
        <v>201926</v>
      </c>
      <c r="B6018" s="130">
        <v>0</v>
      </c>
      <c r="E6018" s="131"/>
    </row>
    <row r="6019" spans="1:5" x14ac:dyDescent="0.25">
      <c r="A6019" s="753">
        <v>201928</v>
      </c>
      <c r="B6019" s="130">
        <v>0</v>
      </c>
      <c r="E6019" s="131"/>
    </row>
    <row r="6020" spans="1:5" x14ac:dyDescent="0.25">
      <c r="A6020" s="753">
        <v>201930</v>
      </c>
      <c r="B6020" s="130">
        <v>0</v>
      </c>
      <c r="E6020" s="131"/>
    </row>
    <row r="6021" spans="1:5" x14ac:dyDescent="0.25">
      <c r="A6021" s="753">
        <v>202014</v>
      </c>
      <c r="B6021" s="130">
        <v>15061</v>
      </c>
      <c r="E6021" s="131"/>
    </row>
    <row r="6022" spans="1:5" x14ac:dyDescent="0.25">
      <c r="A6022" s="753">
        <v>202016</v>
      </c>
      <c r="B6022" s="130">
        <v>29</v>
      </c>
      <c r="E6022" s="131"/>
    </row>
    <row r="6023" spans="1:5" x14ac:dyDescent="0.25">
      <c r="A6023" s="753">
        <v>202018</v>
      </c>
      <c r="B6023" s="130">
        <v>128102</v>
      </c>
      <c r="E6023" s="131"/>
    </row>
    <row r="6024" spans="1:5" x14ac:dyDescent="0.25">
      <c r="A6024" s="753">
        <v>202020</v>
      </c>
      <c r="B6024" s="130">
        <v>30</v>
      </c>
      <c r="E6024" s="131"/>
    </row>
    <row r="6025" spans="1:5" x14ac:dyDescent="0.25">
      <c r="A6025" s="753">
        <v>202024</v>
      </c>
      <c r="B6025" s="130">
        <v>0</v>
      </c>
      <c r="E6025" s="131"/>
    </row>
    <row r="6026" spans="1:5" x14ac:dyDescent="0.25">
      <c r="A6026" s="753">
        <v>202026</v>
      </c>
      <c r="B6026" s="130">
        <v>0</v>
      </c>
      <c r="E6026" s="131"/>
    </row>
    <row r="6027" spans="1:5" x14ac:dyDescent="0.25">
      <c r="A6027" s="753">
        <v>202028</v>
      </c>
      <c r="B6027" s="130">
        <v>0</v>
      </c>
      <c r="E6027" s="131"/>
    </row>
    <row r="6028" spans="1:5" x14ac:dyDescent="0.25">
      <c r="A6028" s="753">
        <v>202030</v>
      </c>
      <c r="B6028" s="130">
        <v>0</v>
      </c>
      <c r="E6028" s="131"/>
    </row>
    <row r="6029" spans="1:5" x14ac:dyDescent="0.25">
      <c r="A6029" s="753">
        <v>202114</v>
      </c>
      <c r="B6029" s="130">
        <v>2118</v>
      </c>
      <c r="E6029" s="131"/>
    </row>
    <row r="6030" spans="1:5" x14ac:dyDescent="0.25">
      <c r="A6030" s="753">
        <v>202116</v>
      </c>
      <c r="B6030" s="130">
        <v>4</v>
      </c>
      <c r="E6030" s="131"/>
    </row>
    <row r="6031" spans="1:5" x14ac:dyDescent="0.25">
      <c r="A6031" s="753">
        <v>202118</v>
      </c>
      <c r="B6031" s="130">
        <v>26820</v>
      </c>
      <c r="E6031" s="131"/>
    </row>
    <row r="6032" spans="1:5" x14ac:dyDescent="0.25">
      <c r="A6032" s="753">
        <v>202120</v>
      </c>
      <c r="B6032" s="130">
        <v>6</v>
      </c>
      <c r="E6032" s="131"/>
    </row>
    <row r="6033" spans="1:5" x14ac:dyDescent="0.25">
      <c r="A6033" s="753">
        <v>202124</v>
      </c>
      <c r="B6033" s="130">
        <v>0</v>
      </c>
      <c r="E6033" s="131"/>
    </row>
    <row r="6034" spans="1:5" x14ac:dyDescent="0.25">
      <c r="A6034" s="753">
        <v>202126</v>
      </c>
      <c r="B6034" s="130">
        <v>0</v>
      </c>
      <c r="E6034" s="131"/>
    </row>
    <row r="6035" spans="1:5" x14ac:dyDescent="0.25">
      <c r="A6035" s="753">
        <v>202128</v>
      </c>
      <c r="B6035" s="130">
        <v>0</v>
      </c>
      <c r="E6035" s="131"/>
    </row>
    <row r="6036" spans="1:5" x14ac:dyDescent="0.25">
      <c r="A6036" s="753">
        <v>202130</v>
      </c>
      <c r="B6036" s="130">
        <v>0</v>
      </c>
      <c r="E6036" s="131"/>
    </row>
    <row r="6037" spans="1:5" x14ac:dyDescent="0.25">
      <c r="A6037" s="753">
        <v>202214</v>
      </c>
      <c r="B6037" s="130">
        <v>0</v>
      </c>
      <c r="E6037" s="131"/>
    </row>
    <row r="6038" spans="1:5" x14ac:dyDescent="0.25">
      <c r="A6038" s="753">
        <v>202216</v>
      </c>
      <c r="B6038" s="130">
        <v>0</v>
      </c>
      <c r="E6038" s="131"/>
    </row>
    <row r="6039" spans="1:5" x14ac:dyDescent="0.25">
      <c r="A6039" s="753">
        <v>202218</v>
      </c>
      <c r="B6039" s="130">
        <v>0</v>
      </c>
      <c r="E6039" s="131"/>
    </row>
    <row r="6040" spans="1:5" x14ac:dyDescent="0.25">
      <c r="A6040" s="753">
        <v>202220</v>
      </c>
      <c r="B6040" s="130">
        <v>0</v>
      </c>
      <c r="E6040" s="131"/>
    </row>
    <row r="6041" spans="1:5" x14ac:dyDescent="0.25">
      <c r="A6041" s="753">
        <v>202224</v>
      </c>
      <c r="B6041" s="130">
        <v>0</v>
      </c>
      <c r="E6041" s="131"/>
    </row>
    <row r="6042" spans="1:5" x14ac:dyDescent="0.25">
      <c r="A6042" s="753">
        <v>202226</v>
      </c>
      <c r="B6042" s="130">
        <v>0</v>
      </c>
      <c r="E6042" s="131"/>
    </row>
    <row r="6043" spans="1:5" x14ac:dyDescent="0.25">
      <c r="A6043" s="753">
        <v>202228</v>
      </c>
      <c r="B6043" s="130">
        <v>0</v>
      </c>
      <c r="E6043" s="131"/>
    </row>
    <row r="6044" spans="1:5" x14ac:dyDescent="0.25">
      <c r="A6044" s="753">
        <v>202230</v>
      </c>
      <c r="B6044" s="130">
        <v>0</v>
      </c>
      <c r="E6044" s="131"/>
    </row>
    <row r="6045" spans="1:5" x14ac:dyDescent="0.25">
      <c r="A6045" s="753">
        <v>202314</v>
      </c>
      <c r="B6045" s="130">
        <v>177419</v>
      </c>
      <c r="E6045" s="131"/>
    </row>
    <row r="6046" spans="1:5" x14ac:dyDescent="0.25">
      <c r="A6046" s="753">
        <v>202316</v>
      </c>
      <c r="B6046" s="130">
        <v>344</v>
      </c>
      <c r="E6046" s="131"/>
    </row>
    <row r="6047" spans="1:5" x14ac:dyDescent="0.25">
      <c r="A6047" s="753">
        <v>202318</v>
      </c>
      <c r="B6047" s="130">
        <v>1551289</v>
      </c>
      <c r="E6047" s="131"/>
    </row>
    <row r="6048" spans="1:5" x14ac:dyDescent="0.25">
      <c r="A6048" s="753">
        <v>202320</v>
      </c>
      <c r="B6048" s="130">
        <v>365</v>
      </c>
      <c r="E6048" s="131"/>
    </row>
    <row r="6049" spans="1:5" x14ac:dyDescent="0.25">
      <c r="A6049" s="753">
        <v>202324</v>
      </c>
      <c r="B6049" s="130">
        <v>0</v>
      </c>
      <c r="E6049" s="131"/>
    </row>
    <row r="6050" spans="1:5" x14ac:dyDescent="0.25">
      <c r="A6050" s="753">
        <v>202326</v>
      </c>
      <c r="B6050" s="130">
        <v>0</v>
      </c>
      <c r="E6050" s="131"/>
    </row>
    <row r="6051" spans="1:5" x14ac:dyDescent="0.25">
      <c r="A6051" s="753">
        <v>202328</v>
      </c>
      <c r="B6051" s="130">
        <v>0</v>
      </c>
      <c r="E6051" s="131"/>
    </row>
    <row r="6052" spans="1:5" x14ac:dyDescent="0.25">
      <c r="A6052" s="753">
        <v>202330</v>
      </c>
      <c r="B6052" s="130">
        <v>0</v>
      </c>
      <c r="E6052" s="131"/>
    </row>
    <row r="6053" spans="1:5" x14ac:dyDescent="0.25">
      <c r="A6053" s="753">
        <v>202514</v>
      </c>
      <c r="B6053" s="130">
        <v>740</v>
      </c>
      <c r="E6053" s="131"/>
    </row>
    <row r="6054" spans="1:5" x14ac:dyDescent="0.25">
      <c r="A6054" s="753">
        <v>202516</v>
      </c>
      <c r="B6054" s="130">
        <v>1</v>
      </c>
      <c r="E6054" s="131"/>
    </row>
    <row r="6055" spans="1:5" x14ac:dyDescent="0.25">
      <c r="A6055" s="753">
        <v>202518</v>
      </c>
      <c r="B6055" s="130">
        <v>11200</v>
      </c>
      <c r="E6055" s="131"/>
    </row>
    <row r="6056" spans="1:5" x14ac:dyDescent="0.25">
      <c r="A6056" s="753">
        <v>202520</v>
      </c>
      <c r="B6056" s="130">
        <v>3</v>
      </c>
      <c r="E6056" s="131"/>
    </row>
    <row r="6057" spans="1:5" x14ac:dyDescent="0.25">
      <c r="A6057" s="753">
        <v>202524</v>
      </c>
      <c r="B6057" s="130">
        <v>0</v>
      </c>
      <c r="E6057" s="131"/>
    </row>
    <row r="6058" spans="1:5" x14ac:dyDescent="0.25">
      <c r="A6058" s="753">
        <v>202526</v>
      </c>
      <c r="B6058" s="130">
        <v>0</v>
      </c>
      <c r="E6058" s="131"/>
    </row>
    <row r="6059" spans="1:5" x14ac:dyDescent="0.25">
      <c r="A6059" s="753">
        <v>202528</v>
      </c>
      <c r="B6059" s="130">
        <v>0</v>
      </c>
      <c r="E6059" s="131"/>
    </row>
    <row r="6060" spans="1:5" x14ac:dyDescent="0.25">
      <c r="A6060" s="753">
        <v>202530</v>
      </c>
      <c r="B6060" s="130">
        <v>0</v>
      </c>
      <c r="E6060" s="131"/>
    </row>
    <row r="6061" spans="1:5" x14ac:dyDescent="0.25">
      <c r="A6061" s="753">
        <v>202614</v>
      </c>
      <c r="B6061" s="130">
        <v>12532</v>
      </c>
      <c r="E6061" s="131"/>
    </row>
    <row r="6062" spans="1:5" x14ac:dyDescent="0.25">
      <c r="A6062" s="753">
        <v>202616</v>
      </c>
      <c r="B6062" s="130">
        <v>24</v>
      </c>
      <c r="E6062" s="131"/>
    </row>
    <row r="6063" spans="1:5" x14ac:dyDescent="0.25">
      <c r="A6063" s="753">
        <v>202618</v>
      </c>
      <c r="B6063" s="130">
        <v>109163</v>
      </c>
      <c r="E6063" s="131"/>
    </row>
    <row r="6064" spans="1:5" x14ac:dyDescent="0.25">
      <c r="A6064" s="753">
        <v>202620</v>
      </c>
      <c r="B6064" s="130">
        <v>26</v>
      </c>
      <c r="E6064" s="131"/>
    </row>
    <row r="6065" spans="1:5" x14ac:dyDescent="0.25">
      <c r="A6065" s="753">
        <v>202624</v>
      </c>
      <c r="B6065" s="130">
        <v>0</v>
      </c>
      <c r="E6065" s="131"/>
    </row>
    <row r="6066" spans="1:5" x14ac:dyDescent="0.25">
      <c r="A6066" s="753">
        <v>202626</v>
      </c>
      <c r="B6066" s="130">
        <v>0</v>
      </c>
      <c r="E6066" s="131"/>
    </row>
    <row r="6067" spans="1:5" x14ac:dyDescent="0.25">
      <c r="A6067" s="753">
        <v>202628</v>
      </c>
      <c r="B6067" s="130">
        <v>0</v>
      </c>
      <c r="E6067" s="131"/>
    </row>
    <row r="6068" spans="1:5" x14ac:dyDescent="0.25">
      <c r="A6068" s="753">
        <v>202630</v>
      </c>
      <c r="B6068" s="130">
        <v>0</v>
      </c>
      <c r="E6068" s="131"/>
    </row>
    <row r="6069" spans="1:5" x14ac:dyDescent="0.25">
      <c r="A6069" s="753">
        <v>202714</v>
      </c>
      <c r="B6069" s="130">
        <v>1856</v>
      </c>
      <c r="E6069" s="131"/>
    </row>
    <row r="6070" spans="1:5" x14ac:dyDescent="0.25">
      <c r="A6070" s="753">
        <v>202716</v>
      </c>
      <c r="B6070" s="130">
        <v>4</v>
      </c>
      <c r="E6070" s="131"/>
    </row>
    <row r="6071" spans="1:5" x14ac:dyDescent="0.25">
      <c r="A6071" s="753">
        <v>202718</v>
      </c>
      <c r="B6071" s="130">
        <v>14243</v>
      </c>
      <c r="E6071" s="131"/>
    </row>
    <row r="6072" spans="1:5" x14ac:dyDescent="0.25">
      <c r="A6072" s="753">
        <v>202720</v>
      </c>
      <c r="B6072" s="130">
        <v>3</v>
      </c>
      <c r="E6072" s="131"/>
    </row>
    <row r="6073" spans="1:5" x14ac:dyDescent="0.25">
      <c r="A6073" s="753">
        <v>202724</v>
      </c>
      <c r="B6073" s="130">
        <v>0</v>
      </c>
      <c r="E6073" s="131"/>
    </row>
    <row r="6074" spans="1:5" x14ac:dyDescent="0.25">
      <c r="A6074" s="753">
        <v>202726</v>
      </c>
      <c r="B6074" s="130">
        <v>0</v>
      </c>
      <c r="E6074" s="131"/>
    </row>
    <row r="6075" spans="1:5" x14ac:dyDescent="0.25">
      <c r="A6075" s="753">
        <v>202728</v>
      </c>
      <c r="B6075" s="130">
        <v>0</v>
      </c>
      <c r="E6075" s="131"/>
    </row>
    <row r="6076" spans="1:5" x14ac:dyDescent="0.25">
      <c r="A6076" s="753">
        <v>202730</v>
      </c>
      <c r="B6076" s="130">
        <v>0</v>
      </c>
      <c r="E6076" s="131"/>
    </row>
    <row r="6077" spans="1:5" x14ac:dyDescent="0.25">
      <c r="A6077" s="753">
        <v>202814</v>
      </c>
      <c r="B6077" s="130">
        <v>2684</v>
      </c>
      <c r="E6077" s="131"/>
    </row>
    <row r="6078" spans="1:5" x14ac:dyDescent="0.25">
      <c r="A6078" s="753">
        <v>202816</v>
      </c>
      <c r="B6078" s="130">
        <v>5</v>
      </c>
      <c r="E6078" s="131"/>
    </row>
    <row r="6079" spans="1:5" x14ac:dyDescent="0.25">
      <c r="A6079" s="753">
        <v>202818</v>
      </c>
      <c r="B6079" s="130">
        <v>11559</v>
      </c>
      <c r="E6079" s="131"/>
    </row>
    <row r="6080" spans="1:5" x14ac:dyDescent="0.25">
      <c r="A6080" s="753">
        <v>202820</v>
      </c>
      <c r="B6080" s="130">
        <v>3</v>
      </c>
      <c r="E6080" s="131"/>
    </row>
    <row r="6081" spans="1:5" x14ac:dyDescent="0.25">
      <c r="A6081" s="753">
        <v>202824</v>
      </c>
      <c r="B6081" s="130">
        <v>0</v>
      </c>
      <c r="E6081" s="131"/>
    </row>
    <row r="6082" spans="1:5" x14ac:dyDescent="0.25">
      <c r="A6082" s="753">
        <v>202826</v>
      </c>
      <c r="B6082" s="130">
        <v>0</v>
      </c>
      <c r="E6082" s="131"/>
    </row>
    <row r="6083" spans="1:5" x14ac:dyDescent="0.25">
      <c r="A6083" s="753">
        <v>202828</v>
      </c>
      <c r="B6083" s="130">
        <v>0</v>
      </c>
      <c r="E6083" s="131"/>
    </row>
    <row r="6084" spans="1:5" x14ac:dyDescent="0.25">
      <c r="A6084" s="753">
        <v>202830</v>
      </c>
      <c r="B6084" s="130">
        <v>0</v>
      </c>
      <c r="E6084" s="131"/>
    </row>
    <row r="6085" spans="1:5" x14ac:dyDescent="0.25">
      <c r="A6085" s="753">
        <v>202914</v>
      </c>
      <c r="B6085" s="130">
        <v>3266</v>
      </c>
      <c r="E6085" s="131"/>
    </row>
    <row r="6086" spans="1:5" x14ac:dyDescent="0.25">
      <c r="A6086" s="753">
        <v>202916</v>
      </c>
      <c r="B6086" s="130">
        <v>6</v>
      </c>
      <c r="E6086" s="131"/>
    </row>
    <row r="6087" spans="1:5" x14ac:dyDescent="0.25">
      <c r="A6087" s="753">
        <v>202918</v>
      </c>
      <c r="B6087" s="130">
        <v>11774</v>
      </c>
      <c r="E6087" s="131"/>
    </row>
    <row r="6088" spans="1:5" x14ac:dyDescent="0.25">
      <c r="A6088" s="753">
        <v>202920</v>
      </c>
      <c r="B6088" s="130">
        <v>3</v>
      </c>
      <c r="E6088" s="131"/>
    </row>
    <row r="6089" spans="1:5" x14ac:dyDescent="0.25">
      <c r="A6089" s="753">
        <v>202924</v>
      </c>
      <c r="B6089" s="130">
        <v>0</v>
      </c>
      <c r="E6089" s="131"/>
    </row>
    <row r="6090" spans="1:5" x14ac:dyDescent="0.25">
      <c r="A6090" s="753">
        <v>202926</v>
      </c>
      <c r="B6090" s="130">
        <v>0</v>
      </c>
      <c r="E6090" s="131"/>
    </row>
    <row r="6091" spans="1:5" x14ac:dyDescent="0.25">
      <c r="A6091" s="753">
        <v>202928</v>
      </c>
      <c r="B6091" s="130">
        <v>0</v>
      </c>
      <c r="E6091" s="131"/>
    </row>
    <row r="6092" spans="1:5" x14ac:dyDescent="0.25">
      <c r="A6092" s="753">
        <v>202930</v>
      </c>
      <c r="B6092" s="130">
        <v>0</v>
      </c>
      <c r="E6092" s="131"/>
    </row>
    <row r="6093" spans="1:5" x14ac:dyDescent="0.25">
      <c r="A6093" s="753">
        <v>203014</v>
      </c>
      <c r="B6093" s="130">
        <v>0</v>
      </c>
      <c r="E6093" s="131"/>
    </row>
    <row r="6094" spans="1:5" x14ac:dyDescent="0.25">
      <c r="A6094" s="753">
        <v>203016</v>
      </c>
      <c r="B6094" s="130">
        <v>0</v>
      </c>
      <c r="E6094" s="131"/>
    </row>
    <row r="6095" spans="1:5" x14ac:dyDescent="0.25">
      <c r="A6095" s="753">
        <v>203018</v>
      </c>
      <c r="B6095" s="130">
        <v>0</v>
      </c>
      <c r="E6095" s="131"/>
    </row>
    <row r="6096" spans="1:5" x14ac:dyDescent="0.25">
      <c r="A6096" s="753">
        <v>203020</v>
      </c>
      <c r="B6096" s="130">
        <v>0</v>
      </c>
      <c r="E6096" s="131"/>
    </row>
    <row r="6097" spans="1:5" x14ac:dyDescent="0.25">
      <c r="A6097" s="753">
        <v>203024</v>
      </c>
      <c r="B6097" s="130">
        <v>0</v>
      </c>
      <c r="E6097" s="131"/>
    </row>
    <row r="6098" spans="1:5" x14ac:dyDescent="0.25">
      <c r="A6098" s="753">
        <v>203026</v>
      </c>
      <c r="B6098" s="130">
        <v>0</v>
      </c>
      <c r="E6098" s="131"/>
    </row>
    <row r="6099" spans="1:5" x14ac:dyDescent="0.25">
      <c r="A6099" s="753">
        <v>203028</v>
      </c>
      <c r="B6099" s="130">
        <v>0</v>
      </c>
      <c r="E6099" s="131"/>
    </row>
    <row r="6100" spans="1:5" x14ac:dyDescent="0.25">
      <c r="A6100" s="753">
        <v>203030</v>
      </c>
      <c r="B6100" s="130">
        <v>0</v>
      </c>
      <c r="E6100" s="131"/>
    </row>
    <row r="6101" spans="1:5" x14ac:dyDescent="0.25">
      <c r="A6101" s="753">
        <v>203114</v>
      </c>
      <c r="B6101" s="130">
        <v>3586</v>
      </c>
      <c r="E6101" s="131"/>
    </row>
    <row r="6102" spans="1:5" x14ac:dyDescent="0.25">
      <c r="A6102" s="753">
        <v>203116</v>
      </c>
      <c r="B6102" s="130">
        <v>7</v>
      </c>
      <c r="E6102" s="131"/>
    </row>
    <row r="6103" spans="1:5" x14ac:dyDescent="0.25">
      <c r="A6103" s="753">
        <v>203118</v>
      </c>
      <c r="B6103" s="130">
        <v>48776</v>
      </c>
      <c r="E6103" s="131"/>
    </row>
    <row r="6104" spans="1:5" x14ac:dyDescent="0.25">
      <c r="A6104" s="753">
        <v>203120</v>
      </c>
      <c r="B6104" s="130">
        <v>11</v>
      </c>
      <c r="E6104" s="131"/>
    </row>
    <row r="6105" spans="1:5" x14ac:dyDescent="0.25">
      <c r="A6105" s="753">
        <v>203124</v>
      </c>
      <c r="B6105" s="130">
        <v>0</v>
      </c>
      <c r="E6105" s="131"/>
    </row>
    <row r="6106" spans="1:5" x14ac:dyDescent="0.25">
      <c r="A6106" s="753">
        <v>203126</v>
      </c>
      <c r="B6106" s="130">
        <v>0</v>
      </c>
      <c r="E6106" s="131"/>
    </row>
    <row r="6107" spans="1:5" x14ac:dyDescent="0.25">
      <c r="A6107" s="753">
        <v>203128</v>
      </c>
      <c r="B6107" s="130">
        <v>0</v>
      </c>
      <c r="E6107" s="131"/>
    </row>
    <row r="6108" spans="1:5" x14ac:dyDescent="0.25">
      <c r="A6108" s="753">
        <v>203130</v>
      </c>
      <c r="B6108" s="130">
        <v>0</v>
      </c>
      <c r="E6108" s="131"/>
    </row>
    <row r="6109" spans="1:5" x14ac:dyDescent="0.25">
      <c r="A6109" s="753">
        <v>203214</v>
      </c>
      <c r="B6109" s="130">
        <v>14958</v>
      </c>
      <c r="E6109" s="131"/>
    </row>
    <row r="6110" spans="1:5" x14ac:dyDescent="0.25">
      <c r="A6110" s="753">
        <v>203216</v>
      </c>
      <c r="B6110" s="130">
        <v>29</v>
      </c>
      <c r="E6110" s="131"/>
    </row>
    <row r="6111" spans="1:5" x14ac:dyDescent="0.25">
      <c r="A6111" s="753">
        <v>203218</v>
      </c>
      <c r="B6111" s="130">
        <v>135411</v>
      </c>
      <c r="E6111" s="131"/>
    </row>
    <row r="6112" spans="1:5" x14ac:dyDescent="0.25">
      <c r="A6112" s="753">
        <v>203220</v>
      </c>
      <c r="B6112" s="130">
        <v>32</v>
      </c>
      <c r="E6112" s="131"/>
    </row>
    <row r="6113" spans="1:5" x14ac:dyDescent="0.25">
      <c r="A6113" s="753">
        <v>203224</v>
      </c>
      <c r="B6113" s="130">
        <v>0</v>
      </c>
      <c r="E6113" s="131"/>
    </row>
    <row r="6114" spans="1:5" x14ac:dyDescent="0.25">
      <c r="A6114" s="753">
        <v>203226</v>
      </c>
      <c r="B6114" s="130">
        <v>0</v>
      </c>
      <c r="E6114" s="131"/>
    </row>
    <row r="6115" spans="1:5" x14ac:dyDescent="0.25">
      <c r="A6115" s="753">
        <v>203228</v>
      </c>
      <c r="B6115" s="130">
        <v>0</v>
      </c>
      <c r="E6115" s="131"/>
    </row>
    <row r="6116" spans="1:5" x14ac:dyDescent="0.25">
      <c r="A6116" s="753">
        <v>203230</v>
      </c>
      <c r="B6116" s="130">
        <v>0</v>
      </c>
      <c r="E6116" s="131"/>
    </row>
    <row r="6117" spans="1:5" x14ac:dyDescent="0.25">
      <c r="A6117" s="753">
        <v>203314</v>
      </c>
      <c r="B6117" s="130">
        <v>14120</v>
      </c>
      <c r="E6117" s="131"/>
    </row>
    <row r="6118" spans="1:5" x14ac:dyDescent="0.25">
      <c r="A6118" s="753">
        <v>203316</v>
      </c>
      <c r="B6118" s="130">
        <v>27</v>
      </c>
      <c r="E6118" s="131"/>
    </row>
    <row r="6119" spans="1:5" x14ac:dyDescent="0.25">
      <c r="A6119" s="753">
        <v>203318</v>
      </c>
      <c r="B6119" s="130">
        <v>116633</v>
      </c>
      <c r="E6119" s="131"/>
    </row>
    <row r="6120" spans="1:5" x14ac:dyDescent="0.25">
      <c r="A6120" s="753">
        <v>203320</v>
      </c>
      <c r="B6120" s="130">
        <v>27</v>
      </c>
      <c r="E6120" s="131"/>
    </row>
    <row r="6121" spans="1:5" x14ac:dyDescent="0.25">
      <c r="A6121" s="753">
        <v>203324</v>
      </c>
      <c r="B6121" s="130">
        <v>0</v>
      </c>
      <c r="E6121" s="131"/>
    </row>
    <row r="6122" spans="1:5" x14ac:dyDescent="0.25">
      <c r="A6122" s="753">
        <v>203326</v>
      </c>
      <c r="B6122" s="130">
        <v>0</v>
      </c>
      <c r="E6122" s="131"/>
    </row>
    <row r="6123" spans="1:5" x14ac:dyDescent="0.25">
      <c r="A6123" s="753">
        <v>203328</v>
      </c>
      <c r="B6123" s="130">
        <v>0</v>
      </c>
      <c r="E6123" s="131"/>
    </row>
    <row r="6124" spans="1:5" x14ac:dyDescent="0.25">
      <c r="A6124" s="753">
        <v>203330</v>
      </c>
      <c r="B6124" s="130">
        <v>0</v>
      </c>
      <c r="E6124" s="131"/>
    </row>
    <row r="6125" spans="1:5" x14ac:dyDescent="0.25">
      <c r="A6125" s="753">
        <v>203414</v>
      </c>
      <c r="B6125" s="130">
        <v>2102</v>
      </c>
      <c r="E6125" s="131"/>
    </row>
    <row r="6126" spans="1:5" x14ac:dyDescent="0.25">
      <c r="A6126" s="753">
        <v>203416</v>
      </c>
      <c r="B6126" s="130">
        <v>4</v>
      </c>
      <c r="E6126" s="131"/>
    </row>
    <row r="6127" spans="1:5" x14ac:dyDescent="0.25">
      <c r="A6127" s="753">
        <v>203418</v>
      </c>
      <c r="B6127" s="130">
        <v>23790</v>
      </c>
      <c r="E6127" s="131"/>
    </row>
    <row r="6128" spans="1:5" x14ac:dyDescent="0.25">
      <c r="A6128" s="753">
        <v>203420</v>
      </c>
      <c r="B6128" s="130">
        <v>6</v>
      </c>
      <c r="E6128" s="131"/>
    </row>
    <row r="6129" spans="1:5" x14ac:dyDescent="0.25">
      <c r="A6129" s="753">
        <v>203424</v>
      </c>
      <c r="B6129" s="130">
        <v>0</v>
      </c>
      <c r="E6129" s="131"/>
    </row>
    <row r="6130" spans="1:5" x14ac:dyDescent="0.25">
      <c r="A6130" s="753">
        <v>203426</v>
      </c>
      <c r="B6130" s="130">
        <v>0</v>
      </c>
      <c r="E6130" s="131"/>
    </row>
    <row r="6131" spans="1:5" x14ac:dyDescent="0.25">
      <c r="A6131" s="753">
        <v>203428</v>
      </c>
      <c r="B6131" s="130">
        <v>0</v>
      </c>
      <c r="E6131" s="131"/>
    </row>
    <row r="6132" spans="1:5" x14ac:dyDescent="0.25">
      <c r="A6132" s="753">
        <v>203430</v>
      </c>
      <c r="B6132" s="130">
        <v>0</v>
      </c>
      <c r="E6132" s="131"/>
    </row>
    <row r="6133" spans="1:5" x14ac:dyDescent="0.25">
      <c r="A6133" s="753">
        <v>203514</v>
      </c>
      <c r="B6133" s="130">
        <v>276</v>
      </c>
      <c r="E6133" s="131"/>
    </row>
    <row r="6134" spans="1:5" x14ac:dyDescent="0.25">
      <c r="A6134" s="753">
        <v>203516</v>
      </c>
      <c r="B6134" s="130">
        <v>1</v>
      </c>
      <c r="E6134" s="131"/>
    </row>
    <row r="6135" spans="1:5" x14ac:dyDescent="0.25">
      <c r="A6135" s="753">
        <v>203518</v>
      </c>
      <c r="B6135" s="130">
        <v>3549</v>
      </c>
      <c r="E6135" s="131"/>
    </row>
    <row r="6136" spans="1:5" x14ac:dyDescent="0.25">
      <c r="A6136" s="753">
        <v>203520</v>
      </c>
      <c r="B6136" s="130">
        <v>1</v>
      </c>
      <c r="E6136" s="131"/>
    </row>
    <row r="6137" spans="1:5" x14ac:dyDescent="0.25">
      <c r="A6137" s="753">
        <v>203524</v>
      </c>
      <c r="B6137" s="130">
        <v>0</v>
      </c>
      <c r="E6137" s="131"/>
    </row>
    <row r="6138" spans="1:5" x14ac:dyDescent="0.25">
      <c r="A6138" s="753">
        <v>203526</v>
      </c>
      <c r="B6138" s="130">
        <v>0</v>
      </c>
      <c r="E6138" s="131"/>
    </row>
    <row r="6139" spans="1:5" x14ac:dyDescent="0.25">
      <c r="A6139" s="753">
        <v>203528</v>
      </c>
      <c r="B6139" s="130">
        <v>0</v>
      </c>
      <c r="E6139" s="131"/>
    </row>
    <row r="6140" spans="1:5" x14ac:dyDescent="0.25">
      <c r="A6140" s="753">
        <v>203530</v>
      </c>
      <c r="B6140" s="130">
        <v>0</v>
      </c>
      <c r="E6140" s="131"/>
    </row>
    <row r="6141" spans="1:5" x14ac:dyDescent="0.25">
      <c r="A6141" s="753">
        <v>203614</v>
      </c>
      <c r="B6141" s="130">
        <v>6149</v>
      </c>
      <c r="E6141" s="131"/>
    </row>
    <row r="6142" spans="1:5" x14ac:dyDescent="0.25">
      <c r="A6142" s="753">
        <v>203616</v>
      </c>
      <c r="B6142" s="130">
        <v>12</v>
      </c>
      <c r="E6142" s="131"/>
    </row>
    <row r="6143" spans="1:5" x14ac:dyDescent="0.25">
      <c r="A6143" s="753">
        <v>203618</v>
      </c>
      <c r="B6143" s="130">
        <v>61497</v>
      </c>
      <c r="E6143" s="131"/>
    </row>
    <row r="6144" spans="1:5" x14ac:dyDescent="0.25">
      <c r="A6144" s="753">
        <v>203620</v>
      </c>
      <c r="B6144" s="130">
        <v>14</v>
      </c>
      <c r="E6144" s="131"/>
    </row>
    <row r="6145" spans="1:5" x14ac:dyDescent="0.25">
      <c r="A6145" s="753">
        <v>203624</v>
      </c>
      <c r="B6145" s="130">
        <v>0</v>
      </c>
      <c r="E6145" s="131"/>
    </row>
    <row r="6146" spans="1:5" x14ac:dyDescent="0.25">
      <c r="A6146" s="753">
        <v>203626</v>
      </c>
      <c r="B6146" s="130">
        <v>0</v>
      </c>
      <c r="E6146" s="131"/>
    </row>
    <row r="6147" spans="1:5" x14ac:dyDescent="0.25">
      <c r="A6147" s="753">
        <v>203628</v>
      </c>
      <c r="B6147" s="130">
        <v>0</v>
      </c>
      <c r="E6147" s="131"/>
    </row>
    <row r="6148" spans="1:5" x14ac:dyDescent="0.25">
      <c r="A6148" s="753">
        <v>203630</v>
      </c>
      <c r="B6148" s="130">
        <v>0</v>
      </c>
      <c r="E6148" s="131"/>
    </row>
    <row r="6149" spans="1:5" x14ac:dyDescent="0.25">
      <c r="A6149" s="753">
        <v>203714</v>
      </c>
      <c r="B6149" s="130">
        <v>465</v>
      </c>
      <c r="E6149" s="131"/>
    </row>
    <row r="6150" spans="1:5" x14ac:dyDescent="0.25">
      <c r="A6150" s="753">
        <v>203716</v>
      </c>
      <c r="B6150" s="130">
        <v>1</v>
      </c>
      <c r="E6150" s="131"/>
    </row>
    <row r="6151" spans="1:5" x14ac:dyDescent="0.25">
      <c r="A6151" s="753">
        <v>203718</v>
      </c>
      <c r="B6151" s="130">
        <v>5272</v>
      </c>
      <c r="E6151" s="131"/>
    </row>
    <row r="6152" spans="1:5" x14ac:dyDescent="0.25">
      <c r="A6152" s="753">
        <v>203720</v>
      </c>
      <c r="B6152" s="130">
        <v>1</v>
      </c>
      <c r="E6152" s="131"/>
    </row>
    <row r="6153" spans="1:5" x14ac:dyDescent="0.25">
      <c r="A6153" s="753">
        <v>203724</v>
      </c>
      <c r="B6153" s="130">
        <v>0</v>
      </c>
      <c r="E6153" s="131"/>
    </row>
    <row r="6154" spans="1:5" x14ac:dyDescent="0.25">
      <c r="A6154" s="753">
        <v>203726</v>
      </c>
      <c r="B6154" s="130">
        <v>0</v>
      </c>
      <c r="E6154" s="131"/>
    </row>
    <row r="6155" spans="1:5" x14ac:dyDescent="0.25">
      <c r="A6155" s="753">
        <v>203728</v>
      </c>
      <c r="B6155" s="130">
        <v>0</v>
      </c>
      <c r="E6155" s="131"/>
    </row>
    <row r="6156" spans="1:5" x14ac:dyDescent="0.25">
      <c r="A6156" s="753">
        <v>203730</v>
      </c>
      <c r="B6156" s="130">
        <v>0</v>
      </c>
      <c r="E6156" s="131"/>
    </row>
    <row r="6157" spans="1:5" x14ac:dyDescent="0.25">
      <c r="A6157" s="753">
        <v>203814</v>
      </c>
      <c r="B6157" s="130">
        <v>2975</v>
      </c>
      <c r="E6157" s="131"/>
    </row>
    <row r="6158" spans="1:5" x14ac:dyDescent="0.25">
      <c r="A6158" s="753">
        <v>203816</v>
      </c>
      <c r="B6158" s="130">
        <v>6</v>
      </c>
      <c r="E6158" s="131"/>
    </row>
    <row r="6159" spans="1:5" x14ac:dyDescent="0.25">
      <c r="A6159" s="753">
        <v>203818</v>
      </c>
      <c r="B6159" s="130">
        <v>14640</v>
      </c>
      <c r="E6159" s="131"/>
    </row>
    <row r="6160" spans="1:5" x14ac:dyDescent="0.25">
      <c r="A6160" s="753">
        <v>203820</v>
      </c>
      <c r="B6160" s="130">
        <v>3</v>
      </c>
      <c r="E6160" s="131"/>
    </row>
    <row r="6161" spans="1:5" x14ac:dyDescent="0.25">
      <c r="A6161" s="753">
        <v>203824</v>
      </c>
      <c r="B6161" s="130">
        <v>0</v>
      </c>
      <c r="E6161" s="131"/>
    </row>
    <row r="6162" spans="1:5" x14ac:dyDescent="0.25">
      <c r="A6162" s="753">
        <v>203826</v>
      </c>
      <c r="B6162" s="130">
        <v>0</v>
      </c>
      <c r="E6162" s="131"/>
    </row>
    <row r="6163" spans="1:5" x14ac:dyDescent="0.25">
      <c r="A6163" s="753">
        <v>203828</v>
      </c>
      <c r="B6163" s="130">
        <v>0</v>
      </c>
      <c r="E6163" s="131"/>
    </row>
    <row r="6164" spans="1:5" x14ac:dyDescent="0.25">
      <c r="A6164" s="753">
        <v>203830</v>
      </c>
      <c r="B6164" s="130">
        <v>0</v>
      </c>
      <c r="E6164" s="131"/>
    </row>
    <row r="6165" spans="1:5" x14ac:dyDescent="0.25">
      <c r="A6165" s="753">
        <v>203914</v>
      </c>
      <c r="B6165" s="130">
        <v>1134</v>
      </c>
      <c r="E6165" s="131"/>
    </row>
    <row r="6166" spans="1:5" x14ac:dyDescent="0.25">
      <c r="A6166" s="753">
        <v>203916</v>
      </c>
      <c r="B6166" s="130">
        <v>2</v>
      </c>
      <c r="E6166" s="131"/>
    </row>
    <row r="6167" spans="1:5" x14ac:dyDescent="0.25">
      <c r="A6167" s="753">
        <v>203918</v>
      </c>
      <c r="B6167" s="130">
        <v>13072</v>
      </c>
      <c r="E6167" s="131"/>
    </row>
    <row r="6168" spans="1:5" x14ac:dyDescent="0.25">
      <c r="A6168" s="753">
        <v>203920</v>
      </c>
      <c r="B6168" s="130">
        <v>3</v>
      </c>
      <c r="E6168" s="131"/>
    </row>
    <row r="6169" spans="1:5" x14ac:dyDescent="0.25">
      <c r="A6169" s="753">
        <v>203924</v>
      </c>
      <c r="B6169" s="130">
        <v>0</v>
      </c>
      <c r="E6169" s="131"/>
    </row>
    <row r="6170" spans="1:5" x14ac:dyDescent="0.25">
      <c r="A6170" s="753">
        <v>203926</v>
      </c>
      <c r="B6170" s="130">
        <v>0</v>
      </c>
      <c r="E6170" s="131"/>
    </row>
    <row r="6171" spans="1:5" x14ac:dyDescent="0.25">
      <c r="A6171" s="753">
        <v>203928</v>
      </c>
      <c r="B6171" s="130">
        <v>0</v>
      </c>
      <c r="E6171" s="131"/>
    </row>
    <row r="6172" spans="1:5" x14ac:dyDescent="0.25">
      <c r="A6172" s="753">
        <v>203930</v>
      </c>
      <c r="B6172" s="130">
        <v>0</v>
      </c>
      <c r="E6172" s="131"/>
    </row>
    <row r="6173" spans="1:5" x14ac:dyDescent="0.25">
      <c r="A6173" s="753">
        <v>204014</v>
      </c>
      <c r="B6173" s="130">
        <v>1779</v>
      </c>
      <c r="E6173" s="131"/>
    </row>
    <row r="6174" spans="1:5" x14ac:dyDescent="0.25">
      <c r="A6174" s="753">
        <v>204016</v>
      </c>
      <c r="B6174" s="130">
        <v>3</v>
      </c>
      <c r="E6174" s="131"/>
    </row>
    <row r="6175" spans="1:5" x14ac:dyDescent="0.25">
      <c r="A6175" s="753">
        <v>204018</v>
      </c>
      <c r="B6175" s="130">
        <v>9472</v>
      </c>
      <c r="E6175" s="131"/>
    </row>
    <row r="6176" spans="1:5" x14ac:dyDescent="0.25">
      <c r="A6176" s="753">
        <v>204020</v>
      </c>
      <c r="B6176" s="130">
        <v>2</v>
      </c>
      <c r="E6176" s="131"/>
    </row>
    <row r="6177" spans="1:5" x14ac:dyDescent="0.25">
      <c r="A6177" s="753">
        <v>204024</v>
      </c>
      <c r="B6177" s="130">
        <v>0</v>
      </c>
      <c r="E6177" s="131"/>
    </row>
    <row r="6178" spans="1:5" x14ac:dyDescent="0.25">
      <c r="A6178" s="753">
        <v>204026</v>
      </c>
      <c r="B6178" s="130">
        <v>0</v>
      </c>
      <c r="E6178" s="131"/>
    </row>
    <row r="6179" spans="1:5" x14ac:dyDescent="0.25">
      <c r="A6179" s="753">
        <v>204028</v>
      </c>
      <c r="B6179" s="130">
        <v>0</v>
      </c>
      <c r="E6179" s="131"/>
    </row>
    <row r="6180" spans="1:5" x14ac:dyDescent="0.25">
      <c r="A6180" s="753">
        <v>204030</v>
      </c>
      <c r="B6180" s="130">
        <v>0</v>
      </c>
      <c r="E6180" s="131"/>
    </row>
    <row r="6181" spans="1:5" x14ac:dyDescent="0.25">
      <c r="A6181" s="753">
        <v>204114</v>
      </c>
      <c r="B6181" s="130">
        <v>0</v>
      </c>
      <c r="E6181" s="131"/>
    </row>
    <row r="6182" spans="1:5" x14ac:dyDescent="0.25">
      <c r="A6182" s="753">
        <v>204116</v>
      </c>
      <c r="B6182" s="130">
        <v>0</v>
      </c>
      <c r="E6182" s="131"/>
    </row>
    <row r="6183" spans="1:5" x14ac:dyDescent="0.25">
      <c r="A6183" s="753">
        <v>204118</v>
      </c>
      <c r="B6183" s="130">
        <v>0</v>
      </c>
      <c r="E6183" s="131"/>
    </row>
    <row r="6184" spans="1:5" x14ac:dyDescent="0.25">
      <c r="A6184" s="753">
        <v>204120</v>
      </c>
      <c r="B6184" s="130">
        <v>0</v>
      </c>
      <c r="E6184" s="131"/>
    </row>
    <row r="6185" spans="1:5" x14ac:dyDescent="0.25">
      <c r="A6185" s="753">
        <v>204124</v>
      </c>
      <c r="B6185" s="130">
        <v>0</v>
      </c>
      <c r="E6185" s="131"/>
    </row>
    <row r="6186" spans="1:5" x14ac:dyDescent="0.25">
      <c r="A6186" s="753">
        <v>204126</v>
      </c>
      <c r="B6186" s="130">
        <v>0</v>
      </c>
      <c r="E6186" s="131"/>
    </row>
    <row r="6187" spans="1:5" x14ac:dyDescent="0.25">
      <c r="A6187" s="753">
        <v>204128</v>
      </c>
      <c r="B6187" s="130">
        <v>0</v>
      </c>
      <c r="E6187" s="131"/>
    </row>
    <row r="6188" spans="1:5" x14ac:dyDescent="0.25">
      <c r="A6188" s="753">
        <v>204130</v>
      </c>
      <c r="B6188" s="130">
        <v>0</v>
      </c>
      <c r="E6188" s="131"/>
    </row>
    <row r="6189" spans="1:5" x14ac:dyDescent="0.25">
      <c r="A6189" s="753">
        <v>204214</v>
      </c>
      <c r="B6189" s="130">
        <v>8555</v>
      </c>
      <c r="E6189" s="131"/>
    </row>
    <row r="6190" spans="1:5" x14ac:dyDescent="0.25">
      <c r="A6190" s="753">
        <v>204216</v>
      </c>
      <c r="B6190" s="130">
        <v>17</v>
      </c>
      <c r="E6190" s="131"/>
    </row>
    <row r="6191" spans="1:5" x14ac:dyDescent="0.25">
      <c r="A6191" s="753">
        <v>204218</v>
      </c>
      <c r="B6191" s="130">
        <v>61832</v>
      </c>
      <c r="E6191" s="131"/>
    </row>
    <row r="6192" spans="1:5" x14ac:dyDescent="0.25">
      <c r="A6192" s="753">
        <v>204220</v>
      </c>
      <c r="B6192" s="130">
        <v>15</v>
      </c>
      <c r="E6192" s="131"/>
    </row>
    <row r="6193" spans="1:5" x14ac:dyDescent="0.25">
      <c r="A6193" s="753">
        <v>204224</v>
      </c>
      <c r="B6193" s="130">
        <v>0</v>
      </c>
      <c r="E6193" s="131"/>
    </row>
    <row r="6194" spans="1:5" x14ac:dyDescent="0.25">
      <c r="A6194" s="753">
        <v>204226</v>
      </c>
      <c r="B6194" s="130">
        <v>0</v>
      </c>
      <c r="E6194" s="131"/>
    </row>
    <row r="6195" spans="1:5" x14ac:dyDescent="0.25">
      <c r="A6195" s="753">
        <v>204228</v>
      </c>
      <c r="B6195" s="130">
        <v>0</v>
      </c>
      <c r="E6195" s="131"/>
    </row>
    <row r="6196" spans="1:5" x14ac:dyDescent="0.25">
      <c r="A6196" s="753">
        <v>204230</v>
      </c>
      <c r="B6196" s="130">
        <v>0</v>
      </c>
      <c r="E6196" s="131"/>
    </row>
    <row r="6197" spans="1:5" x14ac:dyDescent="0.25">
      <c r="A6197" s="753">
        <v>204314</v>
      </c>
      <c r="B6197" s="130">
        <v>7426</v>
      </c>
      <c r="E6197" s="131"/>
    </row>
    <row r="6198" spans="1:5" x14ac:dyDescent="0.25">
      <c r="A6198" s="753">
        <v>204316</v>
      </c>
      <c r="B6198" s="130">
        <v>14</v>
      </c>
      <c r="E6198" s="131"/>
    </row>
    <row r="6199" spans="1:5" x14ac:dyDescent="0.25">
      <c r="A6199" s="753">
        <v>204318</v>
      </c>
      <c r="B6199" s="130">
        <v>57860</v>
      </c>
      <c r="E6199" s="131"/>
    </row>
    <row r="6200" spans="1:5" x14ac:dyDescent="0.25">
      <c r="A6200" s="753">
        <v>204320</v>
      </c>
      <c r="B6200" s="130">
        <v>14</v>
      </c>
      <c r="E6200" s="131"/>
    </row>
    <row r="6201" spans="1:5" x14ac:dyDescent="0.25">
      <c r="A6201" s="753">
        <v>204324</v>
      </c>
      <c r="B6201" s="130">
        <v>0</v>
      </c>
      <c r="E6201" s="131"/>
    </row>
    <row r="6202" spans="1:5" x14ac:dyDescent="0.25">
      <c r="A6202" s="753">
        <v>204326</v>
      </c>
      <c r="B6202" s="130">
        <v>0</v>
      </c>
      <c r="E6202" s="131"/>
    </row>
    <row r="6203" spans="1:5" x14ac:dyDescent="0.25">
      <c r="A6203" s="753">
        <v>204328</v>
      </c>
      <c r="B6203" s="130">
        <v>0</v>
      </c>
      <c r="E6203" s="131"/>
    </row>
    <row r="6204" spans="1:5" x14ac:dyDescent="0.25">
      <c r="A6204" s="753">
        <v>204330</v>
      </c>
      <c r="B6204" s="130">
        <v>0</v>
      </c>
      <c r="E6204" s="131"/>
    </row>
    <row r="6205" spans="1:5" x14ac:dyDescent="0.25">
      <c r="A6205" s="753">
        <v>204414</v>
      </c>
      <c r="B6205" s="130">
        <v>84603</v>
      </c>
      <c r="E6205" s="131"/>
    </row>
    <row r="6206" spans="1:5" x14ac:dyDescent="0.25">
      <c r="A6206" s="753">
        <v>204416</v>
      </c>
      <c r="B6206" s="130">
        <v>164</v>
      </c>
      <c r="E6206" s="131"/>
    </row>
    <row r="6207" spans="1:5" x14ac:dyDescent="0.25">
      <c r="A6207" s="753">
        <v>204418</v>
      </c>
      <c r="B6207" s="130">
        <v>709743</v>
      </c>
      <c r="E6207" s="131"/>
    </row>
    <row r="6208" spans="1:5" x14ac:dyDescent="0.25">
      <c r="A6208" s="753">
        <v>204420</v>
      </c>
      <c r="B6208" s="130">
        <v>167</v>
      </c>
      <c r="E6208" s="131"/>
    </row>
    <row r="6209" spans="1:5" x14ac:dyDescent="0.25">
      <c r="A6209" s="753">
        <v>204424</v>
      </c>
      <c r="B6209" s="130">
        <v>0</v>
      </c>
      <c r="E6209" s="131"/>
    </row>
    <row r="6210" spans="1:5" x14ac:dyDescent="0.25">
      <c r="A6210" s="753">
        <v>204426</v>
      </c>
      <c r="B6210" s="130">
        <v>0</v>
      </c>
      <c r="E6210" s="131"/>
    </row>
    <row r="6211" spans="1:5" x14ac:dyDescent="0.25">
      <c r="A6211" s="753">
        <v>204428</v>
      </c>
      <c r="B6211" s="130">
        <v>0</v>
      </c>
      <c r="E6211" s="131"/>
    </row>
    <row r="6212" spans="1:5" x14ac:dyDescent="0.25">
      <c r="A6212" s="753">
        <v>204430</v>
      </c>
      <c r="B6212" s="130">
        <v>0</v>
      </c>
      <c r="E6212" s="131"/>
    </row>
    <row r="6213" spans="1:5" x14ac:dyDescent="0.25">
      <c r="A6213" s="753">
        <v>204514</v>
      </c>
      <c r="B6213" s="130">
        <v>48750</v>
      </c>
      <c r="E6213" s="131"/>
    </row>
    <row r="6214" spans="1:5" x14ac:dyDescent="0.25">
      <c r="A6214" s="753">
        <v>204516</v>
      </c>
      <c r="B6214" s="130">
        <v>95</v>
      </c>
      <c r="E6214" s="131"/>
    </row>
    <row r="6215" spans="1:5" x14ac:dyDescent="0.25">
      <c r="A6215" s="753">
        <v>204518</v>
      </c>
      <c r="B6215" s="130">
        <v>487500</v>
      </c>
      <c r="E6215" s="131"/>
    </row>
    <row r="6216" spans="1:5" x14ac:dyDescent="0.25">
      <c r="A6216" s="753">
        <v>204520</v>
      </c>
      <c r="B6216" s="130">
        <v>115</v>
      </c>
      <c r="E6216" s="131"/>
    </row>
    <row r="6217" spans="1:5" x14ac:dyDescent="0.25">
      <c r="A6217" s="753">
        <v>204524</v>
      </c>
      <c r="B6217" s="130">
        <v>0</v>
      </c>
      <c r="E6217" s="131"/>
    </row>
    <row r="6218" spans="1:5" x14ac:dyDescent="0.25">
      <c r="A6218" s="753">
        <v>204526</v>
      </c>
      <c r="B6218" s="130">
        <v>0</v>
      </c>
      <c r="E6218" s="131"/>
    </row>
    <row r="6219" spans="1:5" x14ac:dyDescent="0.25">
      <c r="A6219" s="753">
        <v>204528</v>
      </c>
      <c r="B6219" s="130">
        <v>0</v>
      </c>
      <c r="E6219" s="131"/>
    </row>
    <row r="6220" spans="1:5" x14ac:dyDescent="0.25">
      <c r="A6220" s="753">
        <v>204530</v>
      </c>
      <c r="B6220" s="130">
        <v>0</v>
      </c>
      <c r="E6220" s="131"/>
    </row>
    <row r="6221" spans="1:5" x14ac:dyDescent="0.25">
      <c r="A6221" s="753">
        <v>204614</v>
      </c>
      <c r="B6221" s="130">
        <v>10443</v>
      </c>
      <c r="E6221" s="131"/>
    </row>
    <row r="6222" spans="1:5" x14ac:dyDescent="0.25">
      <c r="A6222" s="753">
        <v>204616</v>
      </c>
      <c r="B6222" s="130">
        <v>20</v>
      </c>
      <c r="E6222" s="131"/>
    </row>
    <row r="6223" spans="1:5" x14ac:dyDescent="0.25">
      <c r="A6223" s="753">
        <v>204618</v>
      </c>
      <c r="B6223" s="130">
        <v>104423</v>
      </c>
      <c r="E6223" s="131"/>
    </row>
    <row r="6224" spans="1:5" x14ac:dyDescent="0.25">
      <c r="A6224" s="753">
        <v>204620</v>
      </c>
      <c r="B6224" s="130">
        <v>25</v>
      </c>
      <c r="E6224" s="131"/>
    </row>
    <row r="6225" spans="1:5" x14ac:dyDescent="0.25">
      <c r="A6225" s="753">
        <v>204624</v>
      </c>
      <c r="B6225" s="130">
        <v>0</v>
      </c>
      <c r="E6225" s="131"/>
    </row>
    <row r="6226" spans="1:5" x14ac:dyDescent="0.25">
      <c r="A6226" s="753">
        <v>204626</v>
      </c>
      <c r="B6226" s="130">
        <v>0</v>
      </c>
      <c r="E6226" s="131"/>
    </row>
    <row r="6227" spans="1:5" x14ac:dyDescent="0.25">
      <c r="A6227" s="753">
        <v>204628</v>
      </c>
      <c r="B6227" s="130">
        <v>0</v>
      </c>
      <c r="E6227" s="131"/>
    </row>
    <row r="6228" spans="1:5" x14ac:dyDescent="0.25">
      <c r="A6228" s="753">
        <v>204630</v>
      </c>
      <c r="B6228" s="130">
        <v>0</v>
      </c>
      <c r="E6228" s="131"/>
    </row>
    <row r="6229" spans="1:5" x14ac:dyDescent="0.25">
      <c r="A6229" s="753">
        <v>204714</v>
      </c>
      <c r="B6229" s="130">
        <v>0</v>
      </c>
      <c r="E6229" s="131"/>
    </row>
    <row r="6230" spans="1:5" x14ac:dyDescent="0.25">
      <c r="A6230" s="753">
        <v>204716</v>
      </c>
      <c r="B6230" s="130">
        <v>0</v>
      </c>
      <c r="E6230" s="131"/>
    </row>
    <row r="6231" spans="1:5" x14ac:dyDescent="0.25">
      <c r="A6231" s="753">
        <v>204718</v>
      </c>
      <c r="B6231" s="130">
        <v>0</v>
      </c>
      <c r="E6231" s="131"/>
    </row>
    <row r="6232" spans="1:5" x14ac:dyDescent="0.25">
      <c r="A6232" s="753">
        <v>204720</v>
      </c>
      <c r="B6232" s="130">
        <v>0</v>
      </c>
      <c r="E6232" s="131"/>
    </row>
    <row r="6233" spans="1:5" x14ac:dyDescent="0.25">
      <c r="A6233" s="753">
        <v>204724</v>
      </c>
      <c r="B6233" s="130">
        <v>0</v>
      </c>
      <c r="E6233" s="131"/>
    </row>
    <row r="6234" spans="1:5" x14ac:dyDescent="0.25">
      <c r="A6234" s="753">
        <v>204726</v>
      </c>
      <c r="B6234" s="130">
        <v>0</v>
      </c>
      <c r="E6234" s="131"/>
    </row>
    <row r="6235" spans="1:5" x14ac:dyDescent="0.25">
      <c r="A6235" s="753">
        <v>204728</v>
      </c>
      <c r="B6235" s="130">
        <v>0</v>
      </c>
      <c r="E6235" s="131"/>
    </row>
    <row r="6236" spans="1:5" x14ac:dyDescent="0.25">
      <c r="A6236" s="753">
        <v>204730</v>
      </c>
      <c r="B6236" s="130">
        <v>0</v>
      </c>
      <c r="E6236" s="131"/>
    </row>
    <row r="6237" spans="1:5" x14ac:dyDescent="0.25">
      <c r="A6237" s="753">
        <v>204814</v>
      </c>
      <c r="B6237" s="130">
        <v>0</v>
      </c>
      <c r="E6237" s="131"/>
    </row>
    <row r="6238" spans="1:5" x14ac:dyDescent="0.25">
      <c r="A6238" s="753">
        <v>204816</v>
      </c>
      <c r="B6238" s="130">
        <v>0</v>
      </c>
      <c r="E6238" s="131"/>
    </row>
    <row r="6239" spans="1:5" x14ac:dyDescent="0.25">
      <c r="A6239" s="753">
        <v>204818</v>
      </c>
      <c r="B6239" s="130">
        <v>0</v>
      </c>
      <c r="E6239" s="131"/>
    </row>
    <row r="6240" spans="1:5" x14ac:dyDescent="0.25">
      <c r="A6240" s="753">
        <v>204820</v>
      </c>
      <c r="B6240" s="130">
        <v>0</v>
      </c>
      <c r="E6240" s="131"/>
    </row>
    <row r="6241" spans="1:5" x14ac:dyDescent="0.25">
      <c r="A6241" s="753">
        <v>204824</v>
      </c>
      <c r="B6241" s="130">
        <v>0</v>
      </c>
      <c r="E6241" s="131"/>
    </row>
    <row r="6242" spans="1:5" x14ac:dyDescent="0.25">
      <c r="A6242" s="753">
        <v>204826</v>
      </c>
      <c r="B6242" s="130">
        <v>0</v>
      </c>
      <c r="E6242" s="131"/>
    </row>
    <row r="6243" spans="1:5" x14ac:dyDescent="0.25">
      <c r="A6243" s="753">
        <v>204828</v>
      </c>
      <c r="B6243" s="130">
        <v>0</v>
      </c>
      <c r="E6243" s="131"/>
    </row>
    <row r="6244" spans="1:5" x14ac:dyDescent="0.25">
      <c r="A6244" s="753">
        <v>204830</v>
      </c>
      <c r="B6244" s="130">
        <v>0</v>
      </c>
      <c r="E6244" s="131"/>
    </row>
    <row r="6245" spans="1:5" x14ac:dyDescent="0.25">
      <c r="A6245" s="753">
        <v>204914</v>
      </c>
      <c r="B6245" s="130">
        <v>5397</v>
      </c>
      <c r="E6245" s="131"/>
    </row>
    <row r="6246" spans="1:5" x14ac:dyDescent="0.25">
      <c r="A6246" s="753">
        <v>204916</v>
      </c>
      <c r="B6246" s="130">
        <v>10</v>
      </c>
      <c r="E6246" s="131"/>
    </row>
    <row r="6247" spans="1:5" x14ac:dyDescent="0.25">
      <c r="A6247" s="753">
        <v>204918</v>
      </c>
      <c r="B6247" s="130">
        <v>55940</v>
      </c>
      <c r="E6247" s="131"/>
    </row>
    <row r="6248" spans="1:5" x14ac:dyDescent="0.25">
      <c r="A6248" s="753">
        <v>204920</v>
      </c>
      <c r="B6248" s="130">
        <v>13</v>
      </c>
      <c r="E6248" s="131"/>
    </row>
    <row r="6249" spans="1:5" x14ac:dyDescent="0.25">
      <c r="A6249" s="753">
        <v>204924</v>
      </c>
      <c r="B6249" s="130">
        <v>0</v>
      </c>
      <c r="E6249" s="131"/>
    </row>
    <row r="6250" spans="1:5" x14ac:dyDescent="0.25">
      <c r="A6250" s="753">
        <v>204926</v>
      </c>
      <c r="B6250" s="130">
        <v>0</v>
      </c>
      <c r="E6250" s="131"/>
    </row>
    <row r="6251" spans="1:5" x14ac:dyDescent="0.25">
      <c r="A6251" s="753">
        <v>204928</v>
      </c>
      <c r="B6251" s="130">
        <v>0</v>
      </c>
      <c r="E6251" s="131"/>
    </row>
    <row r="6252" spans="1:5" x14ac:dyDescent="0.25">
      <c r="A6252" s="753">
        <v>204930</v>
      </c>
      <c r="B6252" s="130">
        <v>0</v>
      </c>
      <c r="E6252" s="131"/>
    </row>
    <row r="6253" spans="1:5" x14ac:dyDescent="0.25">
      <c r="A6253" s="753">
        <v>205014</v>
      </c>
      <c r="B6253" s="130">
        <v>4241</v>
      </c>
      <c r="E6253" s="131"/>
    </row>
    <row r="6254" spans="1:5" x14ac:dyDescent="0.25">
      <c r="A6254" s="753">
        <v>205016</v>
      </c>
      <c r="B6254" s="130">
        <v>8</v>
      </c>
      <c r="E6254" s="131"/>
    </row>
    <row r="6255" spans="1:5" x14ac:dyDescent="0.25">
      <c r="A6255" s="753">
        <v>205018</v>
      </c>
      <c r="B6255" s="130">
        <v>42411</v>
      </c>
      <c r="E6255" s="131"/>
    </row>
    <row r="6256" spans="1:5" x14ac:dyDescent="0.25">
      <c r="A6256" s="753">
        <v>205020</v>
      </c>
      <c r="B6256" s="130">
        <v>10</v>
      </c>
      <c r="E6256" s="131"/>
    </row>
    <row r="6257" spans="1:5" x14ac:dyDescent="0.25">
      <c r="A6257" s="753">
        <v>205024</v>
      </c>
      <c r="B6257" s="130">
        <v>0</v>
      </c>
      <c r="E6257" s="131"/>
    </row>
    <row r="6258" spans="1:5" x14ac:dyDescent="0.25">
      <c r="A6258" s="753">
        <v>205026</v>
      </c>
      <c r="B6258" s="130">
        <v>0</v>
      </c>
      <c r="E6258" s="131"/>
    </row>
    <row r="6259" spans="1:5" x14ac:dyDescent="0.25">
      <c r="A6259" s="753">
        <v>205028</v>
      </c>
      <c r="B6259" s="130">
        <v>0</v>
      </c>
      <c r="E6259" s="131"/>
    </row>
    <row r="6260" spans="1:5" x14ac:dyDescent="0.25">
      <c r="A6260" s="753">
        <v>205030</v>
      </c>
      <c r="B6260" s="130">
        <v>0</v>
      </c>
      <c r="E6260" s="131"/>
    </row>
    <row r="6261" spans="1:5" x14ac:dyDescent="0.25">
      <c r="A6261" s="753">
        <v>205114</v>
      </c>
      <c r="B6261" s="130">
        <v>3953</v>
      </c>
      <c r="E6261" s="131"/>
    </row>
    <row r="6262" spans="1:5" x14ac:dyDescent="0.25">
      <c r="A6262" s="753">
        <v>205116</v>
      </c>
      <c r="B6262" s="130">
        <v>8</v>
      </c>
      <c r="E6262" s="131"/>
    </row>
    <row r="6263" spans="1:5" x14ac:dyDescent="0.25">
      <c r="A6263" s="753">
        <v>205118</v>
      </c>
      <c r="B6263" s="130">
        <v>47337</v>
      </c>
      <c r="E6263" s="131"/>
    </row>
    <row r="6264" spans="1:5" x14ac:dyDescent="0.25">
      <c r="A6264" s="753">
        <v>205120</v>
      </c>
      <c r="B6264" s="130">
        <v>11</v>
      </c>
      <c r="E6264" s="131"/>
    </row>
    <row r="6265" spans="1:5" x14ac:dyDescent="0.25">
      <c r="A6265" s="753">
        <v>205124</v>
      </c>
      <c r="B6265" s="130">
        <v>0</v>
      </c>
      <c r="E6265" s="131"/>
    </row>
    <row r="6266" spans="1:5" x14ac:dyDescent="0.25">
      <c r="A6266" s="753">
        <v>205126</v>
      </c>
      <c r="B6266" s="130">
        <v>0</v>
      </c>
      <c r="E6266" s="131"/>
    </row>
    <row r="6267" spans="1:5" x14ac:dyDescent="0.25">
      <c r="A6267" s="753">
        <v>205128</v>
      </c>
      <c r="B6267" s="130">
        <v>0</v>
      </c>
      <c r="E6267" s="131"/>
    </row>
    <row r="6268" spans="1:5" x14ac:dyDescent="0.25">
      <c r="A6268" s="753">
        <v>205130</v>
      </c>
      <c r="B6268" s="130">
        <v>0</v>
      </c>
      <c r="E6268" s="131"/>
    </row>
    <row r="6269" spans="1:5" x14ac:dyDescent="0.25">
      <c r="A6269" s="753">
        <v>205214</v>
      </c>
      <c r="B6269" s="130">
        <v>72784</v>
      </c>
      <c r="E6269" s="131"/>
    </row>
    <row r="6270" spans="1:5" x14ac:dyDescent="0.25">
      <c r="A6270" s="753">
        <v>205216</v>
      </c>
      <c r="B6270" s="130">
        <v>141</v>
      </c>
      <c r="E6270" s="131"/>
    </row>
    <row r="6271" spans="1:5" x14ac:dyDescent="0.25">
      <c r="A6271" s="753">
        <v>205218</v>
      </c>
      <c r="B6271" s="130">
        <v>737611</v>
      </c>
      <c r="E6271" s="131"/>
    </row>
    <row r="6272" spans="1:5" x14ac:dyDescent="0.25">
      <c r="A6272" s="753">
        <v>205220</v>
      </c>
      <c r="B6272" s="130">
        <v>174</v>
      </c>
      <c r="E6272" s="131"/>
    </row>
    <row r="6273" spans="1:5" x14ac:dyDescent="0.25">
      <c r="A6273" s="753">
        <v>205224</v>
      </c>
      <c r="B6273" s="130">
        <v>0</v>
      </c>
      <c r="E6273" s="131"/>
    </row>
    <row r="6274" spans="1:5" x14ac:dyDescent="0.25">
      <c r="A6274" s="753">
        <v>205226</v>
      </c>
      <c r="B6274" s="130">
        <v>0</v>
      </c>
      <c r="E6274" s="131"/>
    </row>
    <row r="6275" spans="1:5" x14ac:dyDescent="0.25">
      <c r="A6275" s="753">
        <v>205228</v>
      </c>
      <c r="B6275" s="130">
        <v>0</v>
      </c>
      <c r="E6275" s="131"/>
    </row>
    <row r="6276" spans="1:5" x14ac:dyDescent="0.25">
      <c r="A6276" s="753">
        <v>205230</v>
      </c>
      <c r="B6276" s="130">
        <v>0</v>
      </c>
      <c r="E6276" s="131"/>
    </row>
    <row r="6277" spans="1:5" x14ac:dyDescent="0.25">
      <c r="A6277" s="753">
        <v>205314</v>
      </c>
      <c r="B6277" s="130">
        <v>0</v>
      </c>
      <c r="E6277" s="131"/>
    </row>
    <row r="6278" spans="1:5" x14ac:dyDescent="0.25">
      <c r="A6278" s="753">
        <v>205316</v>
      </c>
      <c r="B6278" s="130">
        <v>0</v>
      </c>
      <c r="E6278" s="131"/>
    </row>
    <row r="6279" spans="1:5" x14ac:dyDescent="0.25">
      <c r="A6279" s="753">
        <v>205318</v>
      </c>
      <c r="B6279" s="130">
        <v>1281</v>
      </c>
      <c r="E6279" s="131"/>
    </row>
    <row r="6280" spans="1:5" x14ac:dyDescent="0.25">
      <c r="A6280" s="753">
        <v>205320</v>
      </c>
      <c r="B6280" s="130">
        <v>0</v>
      </c>
      <c r="E6280" s="131"/>
    </row>
    <row r="6281" spans="1:5" x14ac:dyDescent="0.25">
      <c r="A6281" s="753">
        <v>205324</v>
      </c>
      <c r="B6281" s="130">
        <v>0</v>
      </c>
      <c r="E6281" s="131"/>
    </row>
    <row r="6282" spans="1:5" x14ac:dyDescent="0.25">
      <c r="A6282" s="753">
        <v>205326</v>
      </c>
      <c r="B6282" s="130">
        <v>0</v>
      </c>
      <c r="E6282" s="131"/>
    </row>
    <row r="6283" spans="1:5" x14ac:dyDescent="0.25">
      <c r="A6283" s="753">
        <v>205328</v>
      </c>
      <c r="B6283" s="130">
        <v>0</v>
      </c>
      <c r="E6283" s="131"/>
    </row>
    <row r="6284" spans="1:5" x14ac:dyDescent="0.25">
      <c r="A6284" s="753">
        <v>205330</v>
      </c>
      <c r="B6284" s="130">
        <v>0</v>
      </c>
      <c r="E6284" s="131"/>
    </row>
    <row r="6285" spans="1:5" x14ac:dyDescent="0.25">
      <c r="A6285" s="753">
        <v>205414</v>
      </c>
      <c r="B6285" s="130">
        <v>2313</v>
      </c>
      <c r="E6285" s="131"/>
    </row>
    <row r="6286" spans="1:5" x14ac:dyDescent="0.25">
      <c r="A6286" s="753">
        <v>205416</v>
      </c>
      <c r="B6286" s="130">
        <v>4</v>
      </c>
      <c r="E6286" s="131"/>
    </row>
    <row r="6287" spans="1:5" x14ac:dyDescent="0.25">
      <c r="A6287" s="753">
        <v>205418</v>
      </c>
      <c r="B6287" s="130">
        <v>23975</v>
      </c>
      <c r="E6287" s="131"/>
    </row>
    <row r="6288" spans="1:5" x14ac:dyDescent="0.25">
      <c r="A6288" s="753">
        <v>205420</v>
      </c>
      <c r="B6288" s="130">
        <v>6</v>
      </c>
      <c r="E6288" s="131"/>
    </row>
    <row r="6289" spans="1:5" x14ac:dyDescent="0.25">
      <c r="A6289" s="753">
        <v>205424</v>
      </c>
      <c r="B6289" s="130">
        <v>0</v>
      </c>
      <c r="E6289" s="131"/>
    </row>
    <row r="6290" spans="1:5" x14ac:dyDescent="0.25">
      <c r="A6290" s="753">
        <v>205426</v>
      </c>
      <c r="B6290" s="130">
        <v>0</v>
      </c>
      <c r="E6290" s="131"/>
    </row>
    <row r="6291" spans="1:5" x14ac:dyDescent="0.25">
      <c r="A6291" s="753">
        <v>205428</v>
      </c>
      <c r="B6291" s="130">
        <v>0</v>
      </c>
      <c r="E6291" s="131"/>
    </row>
    <row r="6292" spans="1:5" x14ac:dyDescent="0.25">
      <c r="A6292" s="753">
        <v>205430</v>
      </c>
      <c r="B6292" s="130">
        <v>0</v>
      </c>
      <c r="E6292" s="131"/>
    </row>
    <row r="6293" spans="1:5" x14ac:dyDescent="0.25">
      <c r="A6293" s="753">
        <v>205514</v>
      </c>
      <c r="B6293" s="130">
        <v>0</v>
      </c>
      <c r="E6293" s="131"/>
    </row>
    <row r="6294" spans="1:5" x14ac:dyDescent="0.25">
      <c r="A6294" s="753">
        <v>205516</v>
      </c>
      <c r="B6294" s="130">
        <v>0</v>
      </c>
      <c r="E6294" s="131"/>
    </row>
    <row r="6295" spans="1:5" x14ac:dyDescent="0.25">
      <c r="A6295" s="753">
        <v>205518</v>
      </c>
      <c r="B6295" s="130">
        <v>3586</v>
      </c>
      <c r="E6295" s="131"/>
    </row>
    <row r="6296" spans="1:5" x14ac:dyDescent="0.25">
      <c r="A6296" s="753">
        <v>205520</v>
      </c>
      <c r="B6296" s="130">
        <v>1</v>
      </c>
      <c r="E6296" s="131"/>
    </row>
    <row r="6297" spans="1:5" x14ac:dyDescent="0.25">
      <c r="A6297" s="753">
        <v>205524</v>
      </c>
      <c r="B6297" s="130">
        <v>0</v>
      </c>
      <c r="E6297" s="131"/>
    </row>
    <row r="6298" spans="1:5" x14ac:dyDescent="0.25">
      <c r="A6298" s="753">
        <v>205526</v>
      </c>
      <c r="B6298" s="130">
        <v>0</v>
      </c>
      <c r="E6298" s="131"/>
    </row>
    <row r="6299" spans="1:5" x14ac:dyDescent="0.25">
      <c r="A6299" s="753">
        <v>205528</v>
      </c>
      <c r="B6299" s="130">
        <v>0</v>
      </c>
      <c r="E6299" s="131"/>
    </row>
    <row r="6300" spans="1:5" x14ac:dyDescent="0.25">
      <c r="A6300" s="753">
        <v>205530</v>
      </c>
      <c r="B6300" s="130">
        <v>0</v>
      </c>
      <c r="E6300" s="131"/>
    </row>
    <row r="6301" spans="1:5" x14ac:dyDescent="0.25">
      <c r="A6301" s="753">
        <v>205614</v>
      </c>
      <c r="B6301" s="130">
        <v>10145</v>
      </c>
      <c r="E6301" s="131"/>
    </row>
    <row r="6302" spans="1:5" x14ac:dyDescent="0.25">
      <c r="A6302" s="753">
        <v>205616</v>
      </c>
      <c r="B6302" s="130">
        <v>20</v>
      </c>
      <c r="E6302" s="131"/>
    </row>
    <row r="6303" spans="1:5" x14ac:dyDescent="0.25">
      <c r="A6303" s="753">
        <v>205618</v>
      </c>
      <c r="B6303" s="130">
        <v>101447</v>
      </c>
      <c r="E6303" s="131"/>
    </row>
    <row r="6304" spans="1:5" x14ac:dyDescent="0.25">
      <c r="A6304" s="753">
        <v>205620</v>
      </c>
      <c r="B6304" s="130">
        <v>24</v>
      </c>
      <c r="E6304" s="131"/>
    </row>
    <row r="6305" spans="1:5" x14ac:dyDescent="0.25">
      <c r="A6305" s="753">
        <v>205624</v>
      </c>
      <c r="B6305" s="130">
        <v>0</v>
      </c>
      <c r="E6305" s="131"/>
    </row>
    <row r="6306" spans="1:5" x14ac:dyDescent="0.25">
      <c r="A6306" s="753">
        <v>205626</v>
      </c>
      <c r="B6306" s="130">
        <v>0</v>
      </c>
      <c r="E6306" s="131"/>
    </row>
    <row r="6307" spans="1:5" x14ac:dyDescent="0.25">
      <c r="A6307" s="753">
        <v>205628</v>
      </c>
      <c r="B6307" s="130">
        <v>0</v>
      </c>
      <c r="E6307" s="131"/>
    </row>
    <row r="6308" spans="1:5" x14ac:dyDescent="0.25">
      <c r="A6308" s="753">
        <v>205630</v>
      </c>
      <c r="B6308" s="130">
        <v>0</v>
      </c>
      <c r="E6308" s="131"/>
    </row>
    <row r="6309" spans="1:5" x14ac:dyDescent="0.25">
      <c r="A6309" s="753">
        <v>205714</v>
      </c>
      <c r="B6309" s="130">
        <v>525</v>
      </c>
      <c r="E6309" s="131"/>
    </row>
    <row r="6310" spans="1:5" x14ac:dyDescent="0.25">
      <c r="A6310" s="753">
        <v>205716</v>
      </c>
      <c r="B6310" s="130">
        <v>1</v>
      </c>
      <c r="E6310" s="131"/>
    </row>
    <row r="6311" spans="1:5" x14ac:dyDescent="0.25">
      <c r="A6311" s="753">
        <v>205718</v>
      </c>
      <c r="B6311" s="130">
        <v>2052</v>
      </c>
      <c r="E6311" s="131"/>
    </row>
    <row r="6312" spans="1:5" x14ac:dyDescent="0.25">
      <c r="A6312" s="753">
        <v>205720</v>
      </c>
      <c r="B6312" s="130">
        <v>0</v>
      </c>
      <c r="E6312" s="131"/>
    </row>
    <row r="6313" spans="1:5" x14ac:dyDescent="0.25">
      <c r="A6313" s="753">
        <v>205724</v>
      </c>
      <c r="B6313" s="130">
        <v>0</v>
      </c>
      <c r="E6313" s="131"/>
    </row>
    <row r="6314" spans="1:5" x14ac:dyDescent="0.25">
      <c r="A6314" s="753">
        <v>205726</v>
      </c>
      <c r="B6314" s="130">
        <v>0</v>
      </c>
      <c r="E6314" s="131"/>
    </row>
    <row r="6315" spans="1:5" x14ac:dyDescent="0.25">
      <c r="A6315" s="753">
        <v>205728</v>
      </c>
      <c r="B6315" s="130">
        <v>0</v>
      </c>
      <c r="E6315" s="131"/>
    </row>
    <row r="6316" spans="1:5" x14ac:dyDescent="0.25">
      <c r="A6316" s="753">
        <v>205730</v>
      </c>
      <c r="B6316" s="130">
        <v>0</v>
      </c>
      <c r="E6316" s="131"/>
    </row>
    <row r="6317" spans="1:5" x14ac:dyDescent="0.25">
      <c r="A6317" s="753">
        <v>205814</v>
      </c>
      <c r="B6317" s="130">
        <v>85767</v>
      </c>
      <c r="E6317" s="131"/>
    </row>
    <row r="6318" spans="1:5" x14ac:dyDescent="0.25">
      <c r="A6318" s="753">
        <v>205816</v>
      </c>
      <c r="B6318" s="130">
        <v>166</v>
      </c>
      <c r="E6318" s="131"/>
    </row>
    <row r="6319" spans="1:5" x14ac:dyDescent="0.25">
      <c r="A6319" s="753">
        <v>205818</v>
      </c>
      <c r="B6319" s="130">
        <v>869952</v>
      </c>
      <c r="E6319" s="131"/>
    </row>
    <row r="6320" spans="1:5" x14ac:dyDescent="0.25">
      <c r="A6320" s="753">
        <v>205820</v>
      </c>
      <c r="B6320" s="130">
        <v>205</v>
      </c>
      <c r="E6320" s="131"/>
    </row>
    <row r="6321" spans="1:5" x14ac:dyDescent="0.25">
      <c r="A6321" s="753">
        <v>205824</v>
      </c>
      <c r="B6321" s="130">
        <v>0</v>
      </c>
      <c r="E6321" s="131"/>
    </row>
    <row r="6322" spans="1:5" x14ac:dyDescent="0.25">
      <c r="A6322" s="753">
        <v>205826</v>
      </c>
      <c r="B6322" s="130">
        <v>0</v>
      </c>
      <c r="E6322" s="131"/>
    </row>
    <row r="6323" spans="1:5" x14ac:dyDescent="0.25">
      <c r="A6323" s="753">
        <v>205828</v>
      </c>
      <c r="B6323" s="130">
        <v>0</v>
      </c>
      <c r="E6323" s="131"/>
    </row>
    <row r="6324" spans="1:5" x14ac:dyDescent="0.25">
      <c r="A6324" s="753">
        <v>205830</v>
      </c>
      <c r="B6324" s="130">
        <v>0</v>
      </c>
      <c r="E6324" s="131"/>
    </row>
    <row r="6325" spans="1:5" x14ac:dyDescent="0.25">
      <c r="A6325" s="753">
        <v>205914</v>
      </c>
      <c r="B6325" s="130">
        <v>347789</v>
      </c>
      <c r="E6325" s="131"/>
    </row>
    <row r="6326" spans="1:5" x14ac:dyDescent="0.25">
      <c r="A6326" s="753">
        <v>205916</v>
      </c>
      <c r="B6326" s="130">
        <v>675</v>
      </c>
      <c r="E6326" s="131"/>
    </row>
    <row r="6327" spans="1:5" x14ac:dyDescent="0.25">
      <c r="A6327" s="753">
        <v>205918</v>
      </c>
      <c r="B6327" s="130">
        <v>3130984</v>
      </c>
      <c r="E6327" s="131"/>
    </row>
    <row r="6328" spans="1:5" x14ac:dyDescent="0.25">
      <c r="A6328" s="753">
        <v>205920</v>
      </c>
      <c r="B6328" s="130">
        <v>738</v>
      </c>
      <c r="E6328" s="131"/>
    </row>
    <row r="6329" spans="1:5" x14ac:dyDescent="0.25">
      <c r="A6329" s="753">
        <v>205924</v>
      </c>
      <c r="B6329" s="130">
        <v>0</v>
      </c>
      <c r="E6329" s="131"/>
    </row>
    <row r="6330" spans="1:5" x14ac:dyDescent="0.25">
      <c r="A6330" s="753">
        <v>205926</v>
      </c>
      <c r="B6330" s="130">
        <v>0</v>
      </c>
      <c r="E6330" s="131"/>
    </row>
    <row r="6331" spans="1:5" x14ac:dyDescent="0.25">
      <c r="A6331" s="753">
        <v>205928</v>
      </c>
      <c r="B6331" s="130">
        <v>0</v>
      </c>
      <c r="E6331" s="131"/>
    </row>
    <row r="6332" spans="1:5" x14ac:dyDescent="0.25">
      <c r="A6332" s="753">
        <v>205930</v>
      </c>
      <c r="B6332" s="130">
        <v>0</v>
      </c>
      <c r="E6332" s="131"/>
    </row>
    <row r="6333" spans="1:5" x14ac:dyDescent="0.25">
      <c r="A6333" s="753">
        <v>206014</v>
      </c>
      <c r="B6333" s="130">
        <v>472944</v>
      </c>
      <c r="E6333" s="131"/>
    </row>
    <row r="6334" spans="1:5" x14ac:dyDescent="0.25">
      <c r="A6334" s="753">
        <v>206016</v>
      </c>
      <c r="B6334" s="130">
        <v>918</v>
      </c>
      <c r="E6334" s="131"/>
    </row>
    <row r="6335" spans="1:5" x14ac:dyDescent="0.25">
      <c r="A6335" s="753">
        <v>206018</v>
      </c>
      <c r="B6335" s="130">
        <v>4384746</v>
      </c>
      <c r="E6335" s="131"/>
    </row>
    <row r="6336" spans="1:5" x14ac:dyDescent="0.25">
      <c r="A6336" s="753">
        <v>206020</v>
      </c>
      <c r="B6336" s="130">
        <v>1033</v>
      </c>
      <c r="E6336" s="131"/>
    </row>
    <row r="6337" spans="1:5" x14ac:dyDescent="0.25">
      <c r="A6337" s="753">
        <v>206024</v>
      </c>
      <c r="B6337" s="130">
        <v>0</v>
      </c>
      <c r="E6337" s="131"/>
    </row>
    <row r="6338" spans="1:5" x14ac:dyDescent="0.25">
      <c r="A6338" s="753">
        <v>206026</v>
      </c>
      <c r="B6338" s="130">
        <v>0</v>
      </c>
      <c r="E6338" s="131"/>
    </row>
    <row r="6339" spans="1:5" x14ac:dyDescent="0.25">
      <c r="A6339" s="753">
        <v>206028</v>
      </c>
      <c r="B6339" s="130">
        <v>0</v>
      </c>
      <c r="E6339" s="131"/>
    </row>
    <row r="6340" spans="1:5" x14ac:dyDescent="0.25">
      <c r="A6340" s="753">
        <v>206030</v>
      </c>
      <c r="B6340" s="130">
        <v>0</v>
      </c>
      <c r="E6340" s="131"/>
    </row>
    <row r="6341" spans="1:5" x14ac:dyDescent="0.25">
      <c r="A6341" s="753">
        <v>206114</v>
      </c>
      <c r="B6341" s="130">
        <v>42514</v>
      </c>
      <c r="E6341" s="131"/>
    </row>
    <row r="6342" spans="1:5" x14ac:dyDescent="0.25">
      <c r="A6342" s="753">
        <v>206118</v>
      </c>
      <c r="B6342" s="130">
        <v>-139480</v>
      </c>
      <c r="E6342" s="131"/>
    </row>
    <row r="6343" spans="1:5" x14ac:dyDescent="0.25">
      <c r="A6343" s="753">
        <v>206124</v>
      </c>
      <c r="B6343" s="130">
        <v>0</v>
      </c>
      <c r="E6343" s="131"/>
    </row>
    <row r="6344" spans="1:5" x14ac:dyDescent="0.25">
      <c r="A6344" s="753">
        <v>206128</v>
      </c>
      <c r="B6344" s="130">
        <v>0</v>
      </c>
      <c r="E6344" s="131"/>
    </row>
    <row r="6345" spans="1:5" x14ac:dyDescent="0.25">
      <c r="A6345" s="753">
        <v>206224</v>
      </c>
      <c r="B6345" s="130">
        <v>0</v>
      </c>
      <c r="E6345" s="131"/>
    </row>
    <row r="6346" spans="1:5" x14ac:dyDescent="0.25">
      <c r="A6346" s="753">
        <v>206228</v>
      </c>
      <c r="B6346" s="130">
        <v>0</v>
      </c>
      <c r="E6346" s="131"/>
    </row>
    <row r="6347" spans="1:5" x14ac:dyDescent="0.25">
      <c r="A6347" s="753">
        <v>206424</v>
      </c>
      <c r="B6347" s="130">
        <v>0</v>
      </c>
      <c r="E6347" s="131"/>
    </row>
    <row r="6348" spans="1:5" x14ac:dyDescent="0.25">
      <c r="A6348" s="753">
        <v>206428</v>
      </c>
      <c r="B6348" s="130">
        <v>0</v>
      </c>
      <c r="E6348" s="131"/>
    </row>
    <row r="6349" spans="1:5" x14ac:dyDescent="0.25">
      <c r="A6349" s="753">
        <v>206514</v>
      </c>
      <c r="B6349" s="130">
        <v>0</v>
      </c>
      <c r="E6349" s="131"/>
    </row>
    <row r="6350" spans="1:5" x14ac:dyDescent="0.25">
      <c r="A6350" s="753">
        <v>206518</v>
      </c>
      <c r="B6350" s="130">
        <v>0</v>
      </c>
      <c r="E6350" s="131"/>
    </row>
    <row r="6351" spans="1:5" x14ac:dyDescent="0.25">
      <c r="A6351" s="753">
        <v>206524</v>
      </c>
      <c r="B6351" s="130">
        <v>0</v>
      </c>
      <c r="E6351" s="131"/>
    </row>
    <row r="6352" spans="1:5" x14ac:dyDescent="0.25">
      <c r="A6352" s="753">
        <v>206528</v>
      </c>
      <c r="B6352" s="130">
        <v>0</v>
      </c>
      <c r="E6352" s="131"/>
    </row>
    <row r="6353" spans="1:9" x14ac:dyDescent="0.25">
      <c r="A6353" s="753">
        <v>206824</v>
      </c>
      <c r="B6353" s="130">
        <v>0</v>
      </c>
      <c r="E6353" s="131"/>
    </row>
    <row r="6354" spans="1:9" x14ac:dyDescent="0.25">
      <c r="A6354" s="753">
        <v>206828</v>
      </c>
      <c r="B6354" s="130">
        <v>0</v>
      </c>
      <c r="E6354" s="131"/>
    </row>
    <row r="6355" spans="1:9" x14ac:dyDescent="0.25">
      <c r="A6355" s="753">
        <v>100806</v>
      </c>
      <c r="B6355" s="130">
        <v>19237</v>
      </c>
      <c r="C6355" s="131" t="s">
        <v>917</v>
      </c>
      <c r="D6355" s="131">
        <v>16</v>
      </c>
      <c r="E6355" s="131" t="s">
        <v>917</v>
      </c>
      <c r="F6355" s="767">
        <v>5711</v>
      </c>
      <c r="G6355" s="767">
        <v>16547</v>
      </c>
      <c r="H6355" s="767">
        <v>22258</v>
      </c>
      <c r="I6355" s="768" t="s">
        <v>1403</v>
      </c>
    </row>
    <row r="6356" spans="1:9" x14ac:dyDescent="0.25">
      <c r="A6356" s="753"/>
      <c r="C6356" s="131" t="s">
        <v>918</v>
      </c>
      <c r="D6356" s="131">
        <v>16</v>
      </c>
      <c r="E6356" s="131" t="s">
        <v>918</v>
      </c>
      <c r="F6356" s="767">
        <v>1447</v>
      </c>
      <c r="G6356" s="767">
        <v>2690</v>
      </c>
      <c r="H6356" s="767">
        <v>4137</v>
      </c>
      <c r="I6356" s="768" t="s">
        <v>1404</v>
      </c>
    </row>
    <row r="6357" spans="1:9" x14ac:dyDescent="0.25">
      <c r="A6357" s="753"/>
      <c r="C6357" s="131" t="s">
        <v>919</v>
      </c>
      <c r="D6357" s="131">
        <v>16</v>
      </c>
      <c r="E6357" s="131" t="s">
        <v>919</v>
      </c>
      <c r="F6357" s="767">
        <v>1447</v>
      </c>
      <c r="G6357" s="767">
        <v>0</v>
      </c>
      <c r="H6357" s="767">
        <v>1447</v>
      </c>
      <c r="I6357" s="768" t="s">
        <v>1405</v>
      </c>
    </row>
    <row r="6358" spans="1:9" x14ac:dyDescent="0.25">
      <c r="A6358" s="753"/>
      <c r="C6358" s="131" t="s">
        <v>920</v>
      </c>
      <c r="D6358" s="131">
        <v>16</v>
      </c>
      <c r="E6358" s="131" t="s">
        <v>920</v>
      </c>
      <c r="F6358" s="767">
        <v>3434</v>
      </c>
      <c r="G6358" s="767">
        <v>0</v>
      </c>
      <c r="H6358" s="767">
        <v>3434</v>
      </c>
      <c r="I6358" s="768" t="s">
        <v>1406</v>
      </c>
    </row>
    <row r="6359" spans="1:9" x14ac:dyDescent="0.25">
      <c r="A6359" s="753">
        <v>100906</v>
      </c>
      <c r="B6359" s="130">
        <v>32232</v>
      </c>
      <c r="C6359" s="131" t="s">
        <v>921</v>
      </c>
      <c r="D6359" s="131">
        <v>16</v>
      </c>
      <c r="E6359" s="131" t="s">
        <v>921</v>
      </c>
      <c r="F6359" s="767">
        <v>152917</v>
      </c>
      <c r="G6359" s="767">
        <v>9168</v>
      </c>
      <c r="H6359" s="767">
        <v>162085</v>
      </c>
      <c r="I6359" s="768" t="s">
        <v>1407</v>
      </c>
    </row>
    <row r="6360" spans="1:9" x14ac:dyDescent="0.25">
      <c r="A6360" s="753"/>
      <c r="C6360" s="131" t="s">
        <v>922</v>
      </c>
      <c r="D6360" s="131">
        <v>16</v>
      </c>
      <c r="E6360" s="131" t="s">
        <v>922</v>
      </c>
      <c r="F6360" s="767">
        <v>65801</v>
      </c>
      <c r="G6360" s="767">
        <v>10774</v>
      </c>
      <c r="H6360" s="767">
        <v>76575</v>
      </c>
      <c r="I6360" s="768" t="s">
        <v>1408</v>
      </c>
    </row>
    <row r="6361" spans="1:9" x14ac:dyDescent="0.25">
      <c r="A6361" s="753"/>
      <c r="C6361" s="131" t="s">
        <v>923</v>
      </c>
      <c r="D6361" s="131">
        <v>16</v>
      </c>
      <c r="E6361" s="131" t="s">
        <v>923</v>
      </c>
      <c r="F6361" s="767">
        <v>30732</v>
      </c>
      <c r="G6361" s="767">
        <v>530</v>
      </c>
      <c r="H6361" s="767">
        <v>31262</v>
      </c>
      <c r="I6361" s="768" t="s">
        <v>1409</v>
      </c>
    </row>
    <row r="6362" spans="1:9" x14ac:dyDescent="0.25">
      <c r="A6362" s="753"/>
      <c r="C6362" s="131" t="s">
        <v>924</v>
      </c>
      <c r="D6362" s="131">
        <v>16</v>
      </c>
      <c r="E6362" s="131" t="s">
        <v>924</v>
      </c>
      <c r="F6362" s="767">
        <v>60094</v>
      </c>
      <c r="G6362" s="767">
        <v>11760</v>
      </c>
      <c r="H6362" s="767">
        <v>71854</v>
      </c>
      <c r="I6362" s="768" t="s">
        <v>1410</v>
      </c>
    </row>
    <row r="6363" spans="1:9" x14ac:dyDescent="0.25">
      <c r="A6363" s="753">
        <v>104315</v>
      </c>
      <c r="B6363" s="130">
        <v>1275130</v>
      </c>
      <c r="E6363" s="131"/>
    </row>
    <row r="6364" spans="1:9" x14ac:dyDescent="0.25">
      <c r="A6364" s="753">
        <v>107318</v>
      </c>
      <c r="B6364" s="130">
        <v>383361</v>
      </c>
      <c r="E6364" s="131"/>
    </row>
    <row r="6365" spans="1:9" x14ac:dyDescent="0.25">
      <c r="A6365" s="753">
        <v>107618</v>
      </c>
      <c r="B6365" s="130">
        <v>8115940</v>
      </c>
      <c r="E6365" s="131"/>
    </row>
    <row r="6366" spans="1:9" x14ac:dyDescent="0.25">
      <c r="A6366" s="753">
        <v>107718</v>
      </c>
      <c r="B6366" s="130">
        <v>20403570</v>
      </c>
      <c r="E6366" s="131"/>
    </row>
    <row r="6367" spans="1:9" x14ac:dyDescent="0.25">
      <c r="A6367" s="753">
        <v>1000214</v>
      </c>
      <c r="B6367" s="130">
        <v>128113</v>
      </c>
      <c r="E6367" s="131"/>
    </row>
    <row r="6368" spans="1:9" x14ac:dyDescent="0.25">
      <c r="A6368" s="753">
        <v>1000314</v>
      </c>
      <c r="B6368" s="130">
        <v>300131</v>
      </c>
      <c r="E6368" s="131"/>
    </row>
    <row r="6369" spans="1:5" x14ac:dyDescent="0.25">
      <c r="A6369" s="753">
        <v>1000414</v>
      </c>
      <c r="B6369" s="130">
        <v>25891</v>
      </c>
      <c r="E6369" s="131"/>
    </row>
    <row r="6370" spans="1:5" x14ac:dyDescent="0.25">
      <c r="A6370" s="753">
        <v>1001208</v>
      </c>
      <c r="B6370" s="130">
        <v>543571</v>
      </c>
      <c r="E6370" s="131"/>
    </row>
    <row r="6371" spans="1:5" x14ac:dyDescent="0.25">
      <c r="A6371" s="753">
        <v>1001214</v>
      </c>
      <c r="B6371" s="130">
        <v>244681</v>
      </c>
      <c r="E6371" s="131"/>
    </row>
    <row r="6372" spans="1:5" x14ac:dyDescent="0.25">
      <c r="A6372" s="753">
        <v>1001216</v>
      </c>
      <c r="B6372" s="130">
        <v>450</v>
      </c>
      <c r="E6372" s="131"/>
    </row>
    <row r="6373" spans="1:5" x14ac:dyDescent="0.25">
      <c r="A6373" s="753">
        <v>1001218</v>
      </c>
      <c r="B6373" s="130">
        <v>4125048</v>
      </c>
      <c r="E6373" s="131"/>
    </row>
    <row r="6374" spans="1:5" x14ac:dyDescent="0.25">
      <c r="A6374" s="753">
        <v>1001220</v>
      </c>
      <c r="B6374" s="130">
        <v>1743951</v>
      </c>
      <c r="E6374" s="131"/>
    </row>
    <row r="6375" spans="1:5" x14ac:dyDescent="0.25">
      <c r="A6375" s="753">
        <v>1001222</v>
      </c>
      <c r="B6375" s="130">
        <v>423</v>
      </c>
      <c r="E6375" s="131"/>
    </row>
    <row r="6376" spans="1:5" x14ac:dyDescent="0.25">
      <c r="A6376" s="753">
        <v>1003804</v>
      </c>
      <c r="B6376" s="130">
        <v>113</v>
      </c>
      <c r="E6376" s="131"/>
    </row>
    <row r="6377" spans="1:5" x14ac:dyDescent="0.25">
      <c r="A6377" s="753">
        <v>1003822</v>
      </c>
      <c r="B6377" s="130">
        <v>8</v>
      </c>
      <c r="E6377" s="131"/>
    </row>
    <row r="6378" spans="1:5" x14ac:dyDescent="0.25">
      <c r="A6378" s="753">
        <v>1003904</v>
      </c>
      <c r="B6378" s="130">
        <v>117</v>
      </c>
      <c r="E6378" s="131"/>
    </row>
    <row r="6379" spans="1:5" x14ac:dyDescent="0.25">
      <c r="A6379" s="753">
        <v>1003922</v>
      </c>
      <c r="B6379" s="130">
        <v>13</v>
      </c>
      <c r="E6379" s="131"/>
    </row>
    <row r="6380" spans="1:5" x14ac:dyDescent="0.25">
      <c r="A6380" s="753">
        <v>1004021</v>
      </c>
      <c r="B6380" s="130">
        <v>56</v>
      </c>
      <c r="E6380" s="131"/>
    </row>
    <row r="6381" spans="1:5" x14ac:dyDescent="0.25">
      <c r="A6381" s="753">
        <v>1004102</v>
      </c>
      <c r="B6381" s="130">
        <v>488</v>
      </c>
      <c r="E6381" s="131"/>
    </row>
    <row r="6382" spans="1:5" x14ac:dyDescent="0.25">
      <c r="A6382" s="753">
        <v>1004118</v>
      </c>
      <c r="B6382" s="130">
        <v>46</v>
      </c>
      <c r="E6382" s="131"/>
    </row>
    <row r="6383" spans="1:5" x14ac:dyDescent="0.25">
      <c r="A6383" s="753">
        <v>1004202</v>
      </c>
      <c r="B6383" s="130">
        <v>403</v>
      </c>
      <c r="E6383" s="131"/>
    </row>
    <row r="6384" spans="1:5" x14ac:dyDescent="0.25">
      <c r="A6384" s="753">
        <v>1004302</v>
      </c>
      <c r="B6384" s="130">
        <v>103</v>
      </c>
      <c r="E6384" s="131"/>
    </row>
    <row r="6385" spans="1:9" x14ac:dyDescent="0.25">
      <c r="A6385" s="753">
        <v>1004317</v>
      </c>
      <c r="B6385" s="130">
        <v>515</v>
      </c>
      <c r="E6385" s="131"/>
    </row>
    <row r="6386" spans="1:9" x14ac:dyDescent="0.25">
      <c r="A6386" s="753">
        <v>1004522</v>
      </c>
      <c r="B6386" s="130">
        <v>0</v>
      </c>
      <c r="E6386" s="131"/>
    </row>
    <row r="6387" spans="1:9" x14ac:dyDescent="0.25">
      <c r="A6387" s="753">
        <v>1004604</v>
      </c>
      <c r="B6387" s="130">
        <v>0</v>
      </c>
      <c r="E6387" s="131"/>
    </row>
    <row r="6388" spans="1:9" x14ac:dyDescent="0.25">
      <c r="A6388" s="753">
        <v>1004622</v>
      </c>
      <c r="B6388" s="130">
        <v>0</v>
      </c>
      <c r="E6388" s="131"/>
    </row>
    <row r="6389" spans="1:9" x14ac:dyDescent="0.25">
      <c r="A6389" s="753">
        <v>1004704</v>
      </c>
      <c r="B6389" s="130">
        <v>0</v>
      </c>
      <c r="E6389" s="131"/>
    </row>
    <row r="6390" spans="1:9" x14ac:dyDescent="0.25">
      <c r="A6390" s="753">
        <v>1004721</v>
      </c>
      <c r="B6390" s="130">
        <v>0</v>
      </c>
      <c r="E6390" s="131"/>
    </row>
    <row r="6391" spans="1:9" x14ac:dyDescent="0.25">
      <c r="A6391" s="753">
        <v>1004802</v>
      </c>
      <c r="B6391" s="130">
        <v>0</v>
      </c>
      <c r="E6391" s="131"/>
    </row>
    <row r="6392" spans="1:9" x14ac:dyDescent="0.25">
      <c r="A6392" s="753">
        <v>1004818</v>
      </c>
      <c r="B6392" s="130">
        <v>0</v>
      </c>
      <c r="E6392" s="131"/>
    </row>
    <row r="6393" spans="1:9" x14ac:dyDescent="0.25">
      <c r="A6393" s="753">
        <v>1004902</v>
      </c>
      <c r="B6393" s="130">
        <v>0</v>
      </c>
      <c r="E6393" s="131"/>
    </row>
    <row r="6394" spans="1:9" x14ac:dyDescent="0.25">
      <c r="A6394" s="753">
        <v>1005002</v>
      </c>
      <c r="B6394" s="130">
        <v>0</v>
      </c>
      <c r="E6394" s="131"/>
    </row>
    <row r="6395" spans="1:9" x14ac:dyDescent="0.25">
      <c r="A6395" s="753">
        <v>1005017</v>
      </c>
      <c r="B6395" s="130">
        <v>0</v>
      </c>
      <c r="E6395" s="131"/>
    </row>
    <row r="6396" spans="1:9" x14ac:dyDescent="0.25">
      <c r="A6396" s="753">
        <v>701912</v>
      </c>
      <c r="B6396" s="130">
        <v>23</v>
      </c>
      <c r="E6396" s="131"/>
    </row>
    <row r="6397" spans="1:9" x14ac:dyDescent="0.25">
      <c r="A6397" s="753">
        <v>701914</v>
      </c>
      <c r="B6397" s="130">
        <v>1817305</v>
      </c>
      <c r="E6397" s="131"/>
    </row>
    <row r="6398" spans="1:9" x14ac:dyDescent="0.25">
      <c r="A6398" s="753">
        <v>701916</v>
      </c>
      <c r="B6398" s="130">
        <v>112203</v>
      </c>
      <c r="C6398" s="131" t="s">
        <v>233</v>
      </c>
      <c r="D6398" s="131">
        <v>16</v>
      </c>
      <c r="E6398" s="131" t="s">
        <v>233</v>
      </c>
      <c r="F6398" s="767">
        <v>-49508.31</v>
      </c>
      <c r="G6398" s="767">
        <v>0</v>
      </c>
      <c r="H6398" s="767">
        <v>-49508.31</v>
      </c>
      <c r="I6398" s="768" t="s">
        <v>1824</v>
      </c>
    </row>
    <row r="6399" spans="1:9" x14ac:dyDescent="0.25">
      <c r="A6399" s="753"/>
      <c r="C6399" s="131" t="s">
        <v>1135</v>
      </c>
      <c r="D6399" s="131">
        <v>16</v>
      </c>
      <c r="E6399" s="131" t="s">
        <v>1135</v>
      </c>
      <c r="F6399" s="767">
        <v>44968.42</v>
      </c>
      <c r="G6399" s="767">
        <v>0</v>
      </c>
      <c r="H6399" s="767">
        <v>44968.42</v>
      </c>
      <c r="I6399" s="768" t="s">
        <v>1825</v>
      </c>
    </row>
    <row r="6400" spans="1:9" x14ac:dyDescent="0.25">
      <c r="A6400" s="753"/>
      <c r="C6400" s="131" t="s">
        <v>234</v>
      </c>
      <c r="D6400" s="131">
        <v>16</v>
      </c>
      <c r="E6400" s="131" t="s">
        <v>234</v>
      </c>
      <c r="F6400" s="767">
        <v>-66243.350000000006</v>
      </c>
      <c r="G6400" s="767">
        <v>0</v>
      </c>
      <c r="H6400" s="767">
        <v>-66243.350000000006</v>
      </c>
      <c r="I6400" s="768" t="s">
        <v>1827</v>
      </c>
    </row>
    <row r="6401" spans="1:9" x14ac:dyDescent="0.25">
      <c r="A6401" s="753"/>
      <c r="C6401" s="131" t="s">
        <v>1138</v>
      </c>
      <c r="D6401" s="131">
        <v>16</v>
      </c>
      <c r="E6401" s="131" t="s">
        <v>1138</v>
      </c>
      <c r="F6401" s="767">
        <v>64976.959999999999</v>
      </c>
      <c r="G6401" s="767">
        <v>0</v>
      </c>
      <c r="H6401" s="767">
        <v>64976.959999999999</v>
      </c>
      <c r="I6401" s="768" t="s">
        <v>1828</v>
      </c>
    </row>
    <row r="6402" spans="1:9" x14ac:dyDescent="0.25">
      <c r="A6402" s="753"/>
      <c r="C6402" s="131" t="s">
        <v>385</v>
      </c>
      <c r="D6402" s="131">
        <v>16</v>
      </c>
      <c r="E6402" s="131" t="s">
        <v>385</v>
      </c>
      <c r="F6402" s="767">
        <v>-88209.5</v>
      </c>
      <c r="G6402" s="767">
        <v>0</v>
      </c>
      <c r="H6402" s="767">
        <v>-88209.5</v>
      </c>
      <c r="I6402" s="768" t="s">
        <v>2283</v>
      </c>
    </row>
    <row r="6403" spans="1:9" x14ac:dyDescent="0.25">
      <c r="A6403" s="753"/>
      <c r="C6403" s="131" t="s">
        <v>1136</v>
      </c>
      <c r="D6403" s="131">
        <v>16</v>
      </c>
      <c r="E6403" s="131" t="s">
        <v>1136</v>
      </c>
      <c r="F6403" s="767">
        <v>84914.34</v>
      </c>
      <c r="G6403" s="767">
        <v>0</v>
      </c>
      <c r="H6403" s="767">
        <v>84914.34</v>
      </c>
      <c r="I6403" s="768" t="s">
        <v>1829</v>
      </c>
    </row>
    <row r="6404" spans="1:9" x14ac:dyDescent="0.25">
      <c r="A6404" s="753"/>
      <c r="C6404" s="131" t="s">
        <v>100</v>
      </c>
      <c r="D6404" s="131">
        <v>16</v>
      </c>
      <c r="E6404" s="131" t="s">
        <v>100</v>
      </c>
      <c r="F6404" s="767">
        <v>-63527.8</v>
      </c>
      <c r="G6404" s="767">
        <v>0</v>
      </c>
      <c r="H6404" s="767">
        <v>-63527.8</v>
      </c>
      <c r="I6404" s="768" t="s">
        <v>1831</v>
      </c>
    </row>
    <row r="6405" spans="1:9" x14ac:dyDescent="0.25">
      <c r="A6405" s="753"/>
      <c r="C6405" s="131" t="s">
        <v>1142</v>
      </c>
      <c r="D6405" s="131">
        <v>16</v>
      </c>
      <c r="E6405" s="131" t="s">
        <v>1142</v>
      </c>
      <c r="F6405" s="767">
        <v>62923.61</v>
      </c>
      <c r="G6405" s="767">
        <v>0</v>
      </c>
      <c r="H6405" s="767">
        <v>62923.61</v>
      </c>
      <c r="I6405" s="768" t="s">
        <v>1832</v>
      </c>
    </row>
    <row r="6406" spans="1:9" x14ac:dyDescent="0.25">
      <c r="A6406" s="753"/>
      <c r="C6406" s="131" t="s">
        <v>255</v>
      </c>
      <c r="D6406" s="131">
        <v>16</v>
      </c>
      <c r="E6406" s="131" t="s">
        <v>255</v>
      </c>
      <c r="F6406" s="767">
        <v>-295643.12</v>
      </c>
      <c r="G6406" s="767">
        <v>0</v>
      </c>
      <c r="H6406" s="767">
        <v>-295643.12</v>
      </c>
      <c r="I6406" s="768" t="s">
        <v>1833</v>
      </c>
    </row>
    <row r="6407" spans="1:9" x14ac:dyDescent="0.25">
      <c r="A6407" s="753"/>
      <c r="C6407" s="131" t="s">
        <v>1145</v>
      </c>
      <c r="D6407" s="131">
        <v>16</v>
      </c>
      <c r="E6407" s="131" t="s">
        <v>1145</v>
      </c>
      <c r="F6407" s="767">
        <v>278307.76</v>
      </c>
      <c r="G6407" s="767">
        <v>0</v>
      </c>
      <c r="H6407" s="767">
        <v>278307.76</v>
      </c>
      <c r="I6407" s="768" t="s">
        <v>1833</v>
      </c>
    </row>
    <row r="6408" spans="1:9" x14ac:dyDescent="0.25">
      <c r="A6408" s="753"/>
      <c r="C6408" s="131" t="s">
        <v>101</v>
      </c>
      <c r="D6408" s="131">
        <v>16</v>
      </c>
      <c r="E6408" s="131" t="s">
        <v>101</v>
      </c>
      <c r="F6408" s="767">
        <v>-80066.53</v>
      </c>
      <c r="G6408" s="767">
        <v>0</v>
      </c>
      <c r="H6408" s="767">
        <v>-80066.53</v>
      </c>
      <c r="I6408" s="768" t="s">
        <v>1834</v>
      </c>
    </row>
    <row r="6409" spans="1:9" x14ac:dyDescent="0.25">
      <c r="A6409" s="753"/>
      <c r="C6409" s="131" t="s">
        <v>1147</v>
      </c>
      <c r="D6409" s="131">
        <v>16</v>
      </c>
      <c r="E6409" s="131" t="s">
        <v>1147</v>
      </c>
      <c r="F6409" s="767">
        <v>76375.27</v>
      </c>
      <c r="G6409" s="767">
        <v>0</v>
      </c>
      <c r="H6409" s="767">
        <v>76375.27</v>
      </c>
      <c r="I6409" s="768" t="s">
        <v>1834</v>
      </c>
    </row>
    <row r="6410" spans="1:9" x14ac:dyDescent="0.25">
      <c r="A6410" s="753"/>
      <c r="C6410" s="131" t="s">
        <v>235</v>
      </c>
      <c r="D6410" s="131">
        <v>16</v>
      </c>
      <c r="E6410" s="131" t="s">
        <v>235</v>
      </c>
      <c r="F6410" s="767">
        <v>0</v>
      </c>
      <c r="G6410" s="767">
        <v>-181349.96</v>
      </c>
      <c r="H6410" s="767">
        <v>-181349.96</v>
      </c>
      <c r="I6410" s="768" t="s">
        <v>2286</v>
      </c>
    </row>
    <row r="6411" spans="1:9" x14ac:dyDescent="0.25">
      <c r="A6411" s="753"/>
      <c r="C6411" s="131" t="s">
        <v>2287</v>
      </c>
      <c r="D6411" s="131">
        <v>16</v>
      </c>
      <c r="E6411" s="131" t="s">
        <v>2287</v>
      </c>
      <c r="F6411" s="767">
        <v>0</v>
      </c>
      <c r="G6411" s="767">
        <v>175112.67</v>
      </c>
      <c r="H6411" s="767">
        <v>175112.67</v>
      </c>
      <c r="I6411" s="768" t="s">
        <v>2288</v>
      </c>
    </row>
    <row r="6412" spans="1:9" x14ac:dyDescent="0.25">
      <c r="A6412" s="753"/>
      <c r="C6412" s="131" t="s">
        <v>364</v>
      </c>
      <c r="D6412" s="131">
        <v>16</v>
      </c>
      <c r="E6412" s="131" t="s">
        <v>364</v>
      </c>
      <c r="F6412" s="767">
        <v>-120423.5</v>
      </c>
      <c r="G6412" s="767">
        <v>-107635.36</v>
      </c>
      <c r="H6412" s="767">
        <v>-228058.86</v>
      </c>
      <c r="I6412" s="768" t="s">
        <v>2291</v>
      </c>
    </row>
    <row r="6413" spans="1:9" x14ac:dyDescent="0.25">
      <c r="A6413" s="753"/>
      <c r="C6413" s="131" t="s">
        <v>2292</v>
      </c>
      <c r="D6413" s="131">
        <v>16</v>
      </c>
      <c r="E6413" s="131" t="s">
        <v>2292</v>
      </c>
      <c r="F6413" s="767">
        <v>111575</v>
      </c>
      <c r="G6413" s="767">
        <v>100537.06</v>
      </c>
      <c r="H6413" s="767">
        <v>212112.06</v>
      </c>
      <c r="I6413" s="768" t="s">
        <v>2293</v>
      </c>
    </row>
    <row r="6414" spans="1:9" x14ac:dyDescent="0.25">
      <c r="A6414" s="753"/>
      <c r="C6414" s="131" t="s">
        <v>371</v>
      </c>
      <c r="D6414" s="131">
        <v>16</v>
      </c>
      <c r="E6414" s="131" t="s">
        <v>371</v>
      </c>
      <c r="F6414" s="767">
        <v>-106923.5</v>
      </c>
      <c r="G6414" s="767">
        <v>0</v>
      </c>
      <c r="H6414" s="767">
        <v>-106923.5</v>
      </c>
      <c r="I6414" s="768" t="s">
        <v>1836</v>
      </c>
    </row>
    <row r="6415" spans="1:9" x14ac:dyDescent="0.25">
      <c r="A6415" s="753"/>
      <c r="C6415" s="131" t="s">
        <v>1152</v>
      </c>
      <c r="D6415" s="131">
        <v>16</v>
      </c>
      <c r="E6415" s="131" t="s">
        <v>1152</v>
      </c>
      <c r="F6415" s="767">
        <v>102290.17</v>
      </c>
      <c r="G6415" s="767">
        <v>0</v>
      </c>
      <c r="H6415" s="767">
        <v>102290.17</v>
      </c>
      <c r="I6415" s="768" t="s">
        <v>1837</v>
      </c>
    </row>
    <row r="6416" spans="1:9" x14ac:dyDescent="0.25">
      <c r="A6416" s="753"/>
      <c r="C6416" s="131" t="s">
        <v>0</v>
      </c>
      <c r="D6416" s="131">
        <v>16</v>
      </c>
      <c r="E6416" s="131" t="s">
        <v>0</v>
      </c>
      <c r="F6416" s="767">
        <v>-90273.5</v>
      </c>
      <c r="G6416" s="767">
        <v>0</v>
      </c>
      <c r="H6416" s="767">
        <v>-90273.5</v>
      </c>
      <c r="I6416" s="768" t="s">
        <v>1839</v>
      </c>
    </row>
    <row r="6417" spans="1:9" x14ac:dyDescent="0.25">
      <c r="A6417" s="753"/>
      <c r="C6417" s="131" t="s">
        <v>1117</v>
      </c>
      <c r="D6417" s="131">
        <v>16</v>
      </c>
      <c r="E6417" s="131" t="s">
        <v>1117</v>
      </c>
      <c r="F6417" s="767">
        <v>82763.5</v>
      </c>
      <c r="G6417" s="767">
        <v>0</v>
      </c>
      <c r="H6417" s="767">
        <v>82763.5</v>
      </c>
      <c r="I6417" s="768" t="s">
        <v>1840</v>
      </c>
    </row>
    <row r="6418" spans="1:9" x14ac:dyDescent="0.25">
      <c r="A6418" s="753"/>
      <c r="C6418" s="131" t="s">
        <v>388</v>
      </c>
      <c r="D6418" s="131">
        <v>16</v>
      </c>
      <c r="E6418" s="131" t="s">
        <v>388</v>
      </c>
      <c r="F6418" s="767">
        <v>-488096.67</v>
      </c>
      <c r="G6418" s="767">
        <v>-138273.37</v>
      </c>
      <c r="H6418" s="767">
        <v>-626370.04</v>
      </c>
      <c r="I6418" s="768" t="s">
        <v>1842</v>
      </c>
    </row>
    <row r="6419" spans="1:9" x14ac:dyDescent="0.25">
      <c r="A6419" s="753"/>
      <c r="C6419" s="131" t="s">
        <v>1157</v>
      </c>
      <c r="D6419" s="131">
        <v>16</v>
      </c>
      <c r="E6419" s="131" t="s">
        <v>1157</v>
      </c>
      <c r="F6419" s="767">
        <v>453839.9</v>
      </c>
      <c r="G6419" s="767">
        <v>126082.57</v>
      </c>
      <c r="H6419" s="767">
        <v>579922.47</v>
      </c>
      <c r="I6419" s="768" t="s">
        <v>1843</v>
      </c>
    </row>
    <row r="6420" spans="1:9" x14ac:dyDescent="0.25">
      <c r="A6420" s="753"/>
      <c r="C6420" s="131" t="s">
        <v>372</v>
      </c>
      <c r="D6420" s="131">
        <v>16</v>
      </c>
      <c r="E6420" s="131" t="s">
        <v>372</v>
      </c>
      <c r="F6420" s="767">
        <v>-1072320</v>
      </c>
      <c r="G6420" s="767">
        <v>-324698.42</v>
      </c>
      <c r="H6420" s="767">
        <v>-1397018.42</v>
      </c>
      <c r="I6420" s="768" t="s">
        <v>1845</v>
      </c>
    </row>
    <row r="6421" spans="1:9" x14ac:dyDescent="0.25">
      <c r="A6421" s="753"/>
      <c r="C6421" s="131" t="s">
        <v>1159</v>
      </c>
      <c r="D6421" s="131">
        <v>16</v>
      </c>
      <c r="E6421" s="131" t="s">
        <v>1159</v>
      </c>
      <c r="F6421" s="767">
        <v>1004366.9</v>
      </c>
      <c r="G6421" s="767">
        <v>299603.12</v>
      </c>
      <c r="H6421" s="767">
        <v>1303970.02</v>
      </c>
      <c r="I6421" s="768" t="s">
        <v>1846</v>
      </c>
    </row>
    <row r="6422" spans="1:9" x14ac:dyDescent="0.25">
      <c r="A6422" s="753"/>
      <c r="C6422" s="131" t="s">
        <v>389</v>
      </c>
      <c r="D6422" s="131">
        <v>16</v>
      </c>
      <c r="E6422" s="131" t="s">
        <v>389</v>
      </c>
      <c r="F6422" s="767">
        <v>-160941.5</v>
      </c>
      <c r="G6422" s="767">
        <v>0</v>
      </c>
      <c r="H6422" s="767">
        <v>-160941.5</v>
      </c>
      <c r="I6422" s="768" t="s">
        <v>2296</v>
      </c>
    </row>
    <row r="6423" spans="1:9" x14ac:dyDescent="0.25">
      <c r="A6423" s="753"/>
      <c r="C6423" s="131" t="s">
        <v>2297</v>
      </c>
      <c r="D6423" s="131">
        <v>16</v>
      </c>
      <c r="E6423" s="131" t="s">
        <v>2297</v>
      </c>
      <c r="F6423" s="767">
        <v>156088.57999999999</v>
      </c>
      <c r="G6423" s="767">
        <v>0</v>
      </c>
      <c r="H6423" s="767">
        <v>156088.57999999999</v>
      </c>
      <c r="I6423" s="768" t="s">
        <v>2298</v>
      </c>
    </row>
    <row r="6424" spans="1:9" x14ac:dyDescent="0.25">
      <c r="A6424" s="753"/>
      <c r="C6424" s="131" t="s">
        <v>373</v>
      </c>
      <c r="D6424" s="131">
        <v>16</v>
      </c>
      <c r="E6424" s="131" t="s">
        <v>373</v>
      </c>
      <c r="F6424" s="767">
        <v>-345515.77</v>
      </c>
      <c r="G6424" s="767">
        <v>0</v>
      </c>
      <c r="H6424" s="767">
        <v>-345515.77</v>
      </c>
      <c r="I6424" s="768" t="s">
        <v>2301</v>
      </c>
    </row>
    <row r="6425" spans="1:9" x14ac:dyDescent="0.25">
      <c r="A6425" s="753"/>
      <c r="C6425" s="131" t="s">
        <v>2302</v>
      </c>
      <c r="D6425" s="131">
        <v>16</v>
      </c>
      <c r="E6425" s="131" t="s">
        <v>2302</v>
      </c>
      <c r="F6425" s="767">
        <v>339379.44</v>
      </c>
      <c r="G6425" s="767">
        <v>0</v>
      </c>
      <c r="H6425" s="767">
        <v>339379.44</v>
      </c>
      <c r="I6425" s="768" t="s">
        <v>2303</v>
      </c>
    </row>
    <row r="6426" spans="1:9" x14ac:dyDescent="0.25">
      <c r="A6426" s="753"/>
      <c r="C6426" s="131" t="s">
        <v>365</v>
      </c>
      <c r="D6426" s="131">
        <v>16</v>
      </c>
      <c r="E6426" s="131" t="s">
        <v>365</v>
      </c>
      <c r="F6426" s="767">
        <v>-242245.5</v>
      </c>
      <c r="G6426" s="767">
        <v>0</v>
      </c>
      <c r="H6426" s="767">
        <v>-242245.5</v>
      </c>
      <c r="I6426" s="768" t="s">
        <v>1850</v>
      </c>
    </row>
    <row r="6427" spans="1:9" x14ac:dyDescent="0.25">
      <c r="A6427" s="753"/>
      <c r="C6427" s="131" t="s">
        <v>365</v>
      </c>
      <c r="D6427" s="131">
        <v>16</v>
      </c>
      <c r="E6427" s="131" t="s">
        <v>1139</v>
      </c>
      <c r="F6427" s="767">
        <v>-72260.61</v>
      </c>
      <c r="G6427" s="767">
        <v>0</v>
      </c>
      <c r="H6427" s="767">
        <v>-72260.61</v>
      </c>
      <c r="I6427" s="768" t="s">
        <v>1851</v>
      </c>
    </row>
    <row r="6428" spans="1:9" x14ac:dyDescent="0.25">
      <c r="A6428" s="753"/>
      <c r="C6428" s="131" t="s">
        <v>1161</v>
      </c>
      <c r="D6428" s="131">
        <v>16</v>
      </c>
      <c r="E6428" s="131" t="s">
        <v>1161</v>
      </c>
      <c r="F6428" s="767">
        <v>225357.57</v>
      </c>
      <c r="G6428" s="767">
        <v>0</v>
      </c>
      <c r="H6428" s="767">
        <v>225357.57</v>
      </c>
      <c r="I6428" s="768" t="s">
        <v>1852</v>
      </c>
    </row>
    <row r="6429" spans="1:9" x14ac:dyDescent="0.25">
      <c r="A6429" s="753"/>
      <c r="C6429" s="131" t="s">
        <v>1161</v>
      </c>
      <c r="D6429" s="131">
        <v>16</v>
      </c>
      <c r="E6429" s="131" t="s">
        <v>1140</v>
      </c>
      <c r="F6429" s="767">
        <v>65199.61</v>
      </c>
      <c r="G6429" s="767">
        <v>0</v>
      </c>
      <c r="H6429" s="767">
        <v>65199.61</v>
      </c>
      <c r="I6429" s="768" t="s">
        <v>1853</v>
      </c>
    </row>
    <row r="6430" spans="1:9" x14ac:dyDescent="0.25">
      <c r="A6430" s="753"/>
      <c r="C6430" s="131" t="s">
        <v>416</v>
      </c>
      <c r="D6430" s="131">
        <v>16</v>
      </c>
      <c r="E6430" s="131" t="s">
        <v>416</v>
      </c>
      <c r="F6430" s="767">
        <v>-97623.5</v>
      </c>
      <c r="G6430" s="767">
        <v>0</v>
      </c>
      <c r="H6430" s="767">
        <v>-97623.5</v>
      </c>
      <c r="I6430" s="768" t="s">
        <v>1854</v>
      </c>
    </row>
    <row r="6431" spans="1:9" x14ac:dyDescent="0.25">
      <c r="A6431" s="753"/>
      <c r="C6431" s="131" t="s">
        <v>1163</v>
      </c>
      <c r="D6431" s="131">
        <v>16</v>
      </c>
      <c r="E6431" s="131" t="s">
        <v>1163</v>
      </c>
      <c r="F6431" s="767">
        <v>90757.33</v>
      </c>
      <c r="G6431" s="767">
        <v>0</v>
      </c>
      <c r="H6431" s="767">
        <v>90757.33</v>
      </c>
      <c r="I6431" s="768" t="s">
        <v>1854</v>
      </c>
    </row>
    <row r="6432" spans="1:9" x14ac:dyDescent="0.25">
      <c r="A6432" s="753"/>
      <c r="C6432" s="131" t="s">
        <v>256</v>
      </c>
      <c r="D6432" s="131">
        <v>16</v>
      </c>
      <c r="E6432" s="131" t="s">
        <v>256</v>
      </c>
      <c r="F6432" s="767">
        <v>-121994.74</v>
      </c>
      <c r="G6432" s="767">
        <v>0</v>
      </c>
      <c r="H6432" s="767">
        <v>-121994.74</v>
      </c>
      <c r="I6432" s="768" t="s">
        <v>1856</v>
      </c>
    </row>
    <row r="6433" spans="1:9" x14ac:dyDescent="0.25">
      <c r="A6433" s="753"/>
      <c r="C6433" s="131" t="s">
        <v>1165</v>
      </c>
      <c r="D6433" s="131">
        <v>16</v>
      </c>
      <c r="E6433" s="131" t="s">
        <v>1165</v>
      </c>
      <c r="F6433" s="767">
        <v>116172.84</v>
      </c>
      <c r="G6433" s="767">
        <v>0</v>
      </c>
      <c r="H6433" s="767">
        <v>116172.84</v>
      </c>
      <c r="I6433" s="768" t="s">
        <v>1857</v>
      </c>
    </row>
    <row r="6434" spans="1:9" x14ac:dyDescent="0.25">
      <c r="A6434" s="753"/>
      <c r="C6434" s="131" t="s">
        <v>366</v>
      </c>
      <c r="D6434" s="131">
        <v>16</v>
      </c>
      <c r="E6434" s="131" t="s">
        <v>366</v>
      </c>
      <c r="F6434" s="767">
        <v>-133336.91</v>
      </c>
      <c r="G6434" s="767">
        <v>0</v>
      </c>
      <c r="H6434" s="767">
        <v>-133336.91</v>
      </c>
      <c r="I6434" s="768" t="s">
        <v>1859</v>
      </c>
    </row>
    <row r="6435" spans="1:9" x14ac:dyDescent="0.25">
      <c r="A6435" s="753"/>
      <c r="C6435" s="131" t="s">
        <v>1155</v>
      </c>
      <c r="D6435" s="131">
        <v>16</v>
      </c>
      <c r="E6435" s="131" t="s">
        <v>1155</v>
      </c>
      <c r="F6435" s="767">
        <v>124643.41</v>
      </c>
      <c r="G6435" s="767">
        <v>0</v>
      </c>
      <c r="H6435" s="767">
        <v>124643.41</v>
      </c>
      <c r="I6435" s="768" t="s">
        <v>1860</v>
      </c>
    </row>
    <row r="6436" spans="1:9" x14ac:dyDescent="0.25">
      <c r="A6436" s="753"/>
      <c r="C6436" s="131" t="s">
        <v>391</v>
      </c>
      <c r="D6436" s="131">
        <v>16</v>
      </c>
      <c r="E6436" s="131" t="s">
        <v>391</v>
      </c>
      <c r="F6436" s="767">
        <v>-227978.65</v>
      </c>
      <c r="G6436" s="767">
        <v>0</v>
      </c>
      <c r="H6436" s="767">
        <v>-227978.65</v>
      </c>
      <c r="I6436" s="768" t="s">
        <v>1862</v>
      </c>
    </row>
    <row r="6437" spans="1:9" x14ac:dyDescent="0.25">
      <c r="A6437" s="753"/>
      <c r="C6437" s="131" t="s">
        <v>1168</v>
      </c>
      <c r="D6437" s="131">
        <v>16</v>
      </c>
      <c r="E6437" s="131" t="s">
        <v>1168</v>
      </c>
      <c r="F6437" s="767">
        <v>216450.03</v>
      </c>
      <c r="G6437" s="767">
        <v>0</v>
      </c>
      <c r="H6437" s="767">
        <v>216450.03</v>
      </c>
      <c r="I6437" s="768" t="s">
        <v>1863</v>
      </c>
    </row>
    <row r="6438" spans="1:9" x14ac:dyDescent="0.25">
      <c r="A6438" s="753"/>
      <c r="C6438" s="131">
        <v>415</v>
      </c>
      <c r="D6438" s="131">
        <v>16</v>
      </c>
      <c r="E6438" s="131">
        <v>415</v>
      </c>
      <c r="F6438" s="767">
        <v>0</v>
      </c>
      <c r="G6438" s="767">
        <v>-140922.95000000001</v>
      </c>
      <c r="H6438" s="767">
        <v>-140922.95000000001</v>
      </c>
      <c r="I6438" s="768" t="s">
        <v>2306</v>
      </c>
    </row>
    <row r="6439" spans="1:9" x14ac:dyDescent="0.25">
      <c r="A6439" s="753"/>
      <c r="C6439" s="131">
        <v>615</v>
      </c>
      <c r="D6439" s="131">
        <v>16</v>
      </c>
      <c r="E6439" s="131">
        <v>615</v>
      </c>
      <c r="F6439" s="767">
        <v>0</v>
      </c>
      <c r="G6439" s="767">
        <v>135011.85</v>
      </c>
      <c r="H6439" s="767">
        <v>135011.85</v>
      </c>
      <c r="I6439" s="768" t="s">
        <v>2307</v>
      </c>
    </row>
    <row r="6440" spans="1:9" x14ac:dyDescent="0.25">
      <c r="A6440" s="753"/>
      <c r="C6440" s="131" t="s">
        <v>394</v>
      </c>
      <c r="D6440" s="131">
        <v>16</v>
      </c>
      <c r="E6440" s="131" t="s">
        <v>394</v>
      </c>
      <c r="F6440" s="767">
        <v>-118545.13</v>
      </c>
      <c r="G6440" s="767">
        <v>0</v>
      </c>
      <c r="H6440" s="767">
        <v>-118545.13</v>
      </c>
      <c r="I6440" s="768" t="s">
        <v>1865</v>
      </c>
    </row>
    <row r="6441" spans="1:9" x14ac:dyDescent="0.25">
      <c r="A6441" s="753"/>
      <c r="C6441" s="131" t="s">
        <v>1122</v>
      </c>
      <c r="D6441" s="131">
        <v>16</v>
      </c>
      <c r="E6441" s="131" t="s">
        <v>1122</v>
      </c>
      <c r="F6441" s="767">
        <v>118545.13</v>
      </c>
      <c r="G6441" s="767">
        <v>0</v>
      </c>
      <c r="H6441" s="767">
        <v>118545.13</v>
      </c>
      <c r="I6441" s="768" t="s">
        <v>1866</v>
      </c>
    </row>
    <row r="6442" spans="1:9" x14ac:dyDescent="0.25">
      <c r="A6442" s="753"/>
      <c r="C6442" s="131" t="s">
        <v>292</v>
      </c>
      <c r="D6442" s="131">
        <v>16</v>
      </c>
      <c r="E6442" s="131" t="s">
        <v>1080</v>
      </c>
      <c r="F6442" s="767">
        <v>-128273.5</v>
      </c>
      <c r="G6442" s="767">
        <v>0</v>
      </c>
      <c r="H6442" s="767">
        <v>-128273.5</v>
      </c>
      <c r="I6442" s="768" t="s">
        <v>1868</v>
      </c>
    </row>
    <row r="6443" spans="1:9" x14ac:dyDescent="0.25">
      <c r="A6443" s="753"/>
      <c r="C6443" s="131" t="s">
        <v>1174</v>
      </c>
      <c r="D6443" s="131">
        <v>16</v>
      </c>
      <c r="E6443" s="131" t="s">
        <v>1081</v>
      </c>
      <c r="F6443" s="767">
        <v>115038.03</v>
      </c>
      <c r="G6443" s="767">
        <v>0</v>
      </c>
      <c r="H6443" s="767">
        <v>115038.03</v>
      </c>
      <c r="I6443" s="768" t="s">
        <v>1869</v>
      </c>
    </row>
    <row r="6444" spans="1:9" x14ac:dyDescent="0.25">
      <c r="A6444" s="753"/>
      <c r="C6444" s="131" t="s">
        <v>297</v>
      </c>
      <c r="D6444" s="131">
        <v>16</v>
      </c>
      <c r="E6444" s="131" t="s">
        <v>297</v>
      </c>
      <c r="F6444" s="767">
        <v>-156342</v>
      </c>
      <c r="G6444" s="767">
        <v>0</v>
      </c>
      <c r="H6444" s="767">
        <v>-156342</v>
      </c>
      <c r="I6444" s="768" t="s">
        <v>1871</v>
      </c>
    </row>
    <row r="6445" spans="1:9" x14ac:dyDescent="0.25">
      <c r="A6445" s="753"/>
      <c r="C6445" s="131" t="s">
        <v>1083</v>
      </c>
      <c r="D6445" s="131">
        <v>16</v>
      </c>
      <c r="E6445" s="131" t="s">
        <v>1083</v>
      </c>
      <c r="F6445" s="767">
        <v>147709.57999999999</v>
      </c>
      <c r="G6445" s="767">
        <v>0</v>
      </c>
      <c r="H6445" s="767">
        <v>147709.57999999999</v>
      </c>
      <c r="I6445" s="768" t="s">
        <v>1872</v>
      </c>
    </row>
    <row r="6446" spans="1:9" x14ac:dyDescent="0.25">
      <c r="A6446" s="753"/>
      <c r="C6446" s="131" t="s">
        <v>299</v>
      </c>
      <c r="D6446" s="131">
        <v>16</v>
      </c>
      <c r="E6446" s="131" t="s">
        <v>299</v>
      </c>
      <c r="F6446" s="767">
        <v>-363200</v>
      </c>
      <c r="G6446" s="767">
        <v>0</v>
      </c>
      <c r="H6446" s="767">
        <v>-363200</v>
      </c>
      <c r="I6446" s="768" t="s">
        <v>1874</v>
      </c>
    </row>
    <row r="6447" spans="1:9" x14ac:dyDescent="0.25">
      <c r="A6447" s="753"/>
      <c r="C6447" s="131" t="s">
        <v>1180</v>
      </c>
      <c r="D6447" s="131">
        <v>16</v>
      </c>
      <c r="E6447" s="131" t="s">
        <v>1180</v>
      </c>
      <c r="F6447" s="767">
        <v>343503.43</v>
      </c>
      <c r="G6447" s="767">
        <v>0</v>
      </c>
      <c r="H6447" s="767">
        <v>343503.43</v>
      </c>
      <c r="I6447" s="768" t="s">
        <v>1875</v>
      </c>
    </row>
    <row r="6448" spans="1:9" x14ac:dyDescent="0.25">
      <c r="A6448" s="753"/>
      <c r="C6448" s="131">
        <v>416</v>
      </c>
      <c r="D6448" s="131">
        <v>16</v>
      </c>
      <c r="E6448" s="131">
        <v>416</v>
      </c>
      <c r="F6448" s="767">
        <v>-1003631.7</v>
      </c>
      <c r="G6448" s="767">
        <v>-238444</v>
      </c>
      <c r="H6448" s="767">
        <v>-1242075.7</v>
      </c>
      <c r="I6448" s="768" t="s">
        <v>1720</v>
      </c>
    </row>
    <row r="6449" spans="1:9" x14ac:dyDescent="0.25">
      <c r="A6449" s="753"/>
      <c r="C6449" s="131">
        <v>616</v>
      </c>
      <c r="D6449" s="131">
        <v>16</v>
      </c>
      <c r="E6449" s="131">
        <v>616</v>
      </c>
      <c r="F6449" s="767">
        <v>941860.05</v>
      </c>
      <c r="G6449" s="767">
        <v>224614.34</v>
      </c>
      <c r="H6449" s="767">
        <v>1166474.3899999999</v>
      </c>
      <c r="I6449" s="768" t="s">
        <v>1721</v>
      </c>
    </row>
    <row r="6450" spans="1:9" x14ac:dyDescent="0.25">
      <c r="A6450" s="753"/>
      <c r="C6450" s="131" t="s">
        <v>400</v>
      </c>
      <c r="D6450" s="131">
        <v>16</v>
      </c>
      <c r="E6450" s="131" t="s">
        <v>400</v>
      </c>
      <c r="F6450" s="767">
        <v>-139749.68</v>
      </c>
      <c r="G6450" s="767">
        <v>-74470.399999999994</v>
      </c>
      <c r="H6450" s="767">
        <v>-214220.08</v>
      </c>
      <c r="I6450" s="768" t="s">
        <v>1723</v>
      </c>
    </row>
    <row r="6451" spans="1:9" x14ac:dyDescent="0.25">
      <c r="A6451" s="753"/>
      <c r="C6451" s="131" t="s">
        <v>1100</v>
      </c>
      <c r="D6451" s="131">
        <v>16</v>
      </c>
      <c r="E6451" s="131" t="s">
        <v>1100</v>
      </c>
      <c r="F6451" s="767">
        <v>131422.87</v>
      </c>
      <c r="G6451" s="767">
        <v>69814.75</v>
      </c>
      <c r="H6451" s="767">
        <v>201237.62</v>
      </c>
      <c r="I6451" s="768" t="s">
        <v>1724</v>
      </c>
    </row>
    <row r="6452" spans="1:9" x14ac:dyDescent="0.25">
      <c r="A6452" s="753"/>
      <c r="C6452" s="131">
        <v>409</v>
      </c>
      <c r="D6452" s="131">
        <v>16</v>
      </c>
      <c r="E6452" s="131">
        <v>409</v>
      </c>
      <c r="F6452" s="767">
        <v>-363098.13</v>
      </c>
      <c r="G6452" s="767">
        <v>-188223.59</v>
      </c>
      <c r="H6452" s="767">
        <v>-551321.72</v>
      </c>
      <c r="I6452" s="768" t="s">
        <v>1725</v>
      </c>
    </row>
    <row r="6453" spans="1:9" x14ac:dyDescent="0.25">
      <c r="A6453" s="753"/>
      <c r="C6453" s="131">
        <v>609</v>
      </c>
      <c r="D6453" s="131">
        <v>16</v>
      </c>
      <c r="E6453" s="131">
        <v>609</v>
      </c>
      <c r="F6453" s="767">
        <v>341003.75</v>
      </c>
      <c r="G6453" s="767">
        <v>179636.18</v>
      </c>
      <c r="H6453" s="767">
        <v>520639.93</v>
      </c>
      <c r="I6453" s="768" t="s">
        <v>1725</v>
      </c>
    </row>
    <row r="6454" spans="1:9" x14ac:dyDescent="0.25">
      <c r="A6454" s="753"/>
      <c r="C6454" s="131" t="s">
        <v>1102</v>
      </c>
      <c r="D6454" s="131">
        <v>16</v>
      </c>
      <c r="E6454" s="131" t="s">
        <v>1102</v>
      </c>
      <c r="F6454" s="767">
        <v>-90100.5</v>
      </c>
      <c r="G6454" s="767">
        <v>-79723.5</v>
      </c>
      <c r="H6454" s="767">
        <v>-169824</v>
      </c>
      <c r="I6454" s="768" t="s">
        <v>1726</v>
      </c>
    </row>
    <row r="6455" spans="1:9" x14ac:dyDescent="0.25">
      <c r="A6455" s="753"/>
      <c r="C6455" s="131" t="s">
        <v>1103</v>
      </c>
      <c r="D6455" s="131">
        <v>16</v>
      </c>
      <c r="E6455" s="131" t="s">
        <v>1103</v>
      </c>
      <c r="F6455" s="767">
        <v>84965.15</v>
      </c>
      <c r="G6455" s="767">
        <v>74349.23</v>
      </c>
      <c r="H6455" s="767">
        <v>159314.38</v>
      </c>
      <c r="I6455" s="768" t="s">
        <v>1726</v>
      </c>
    </row>
    <row r="6456" spans="1:9" x14ac:dyDescent="0.25">
      <c r="A6456" s="753"/>
      <c r="C6456" s="131" t="s">
        <v>104</v>
      </c>
      <c r="D6456" s="131">
        <v>16</v>
      </c>
      <c r="E6456" s="131" t="s">
        <v>104</v>
      </c>
      <c r="F6456" s="767">
        <v>-1584890.7</v>
      </c>
      <c r="G6456" s="767">
        <v>0</v>
      </c>
      <c r="H6456" s="767">
        <v>-1584890.7</v>
      </c>
      <c r="I6456" s="768" t="s">
        <v>1728</v>
      </c>
    </row>
    <row r="6457" spans="1:9" x14ac:dyDescent="0.25">
      <c r="A6457" s="753"/>
      <c r="C6457" s="131" t="s">
        <v>1106</v>
      </c>
      <c r="D6457" s="131">
        <v>16</v>
      </c>
      <c r="E6457" s="131" t="s">
        <v>1106</v>
      </c>
      <c r="F6457" s="767">
        <v>1486270.54</v>
      </c>
      <c r="G6457" s="767">
        <v>0</v>
      </c>
      <c r="H6457" s="767">
        <v>1486270.54</v>
      </c>
      <c r="I6457" s="768" t="s">
        <v>1729</v>
      </c>
    </row>
    <row r="6458" spans="1:9" x14ac:dyDescent="0.25">
      <c r="A6458" s="753"/>
      <c r="C6458" s="131" t="s">
        <v>282</v>
      </c>
      <c r="D6458" s="131">
        <v>16</v>
      </c>
      <c r="E6458" s="131" t="s">
        <v>282</v>
      </c>
      <c r="F6458" s="767">
        <v>-355284</v>
      </c>
      <c r="G6458" s="767">
        <v>0</v>
      </c>
      <c r="H6458" s="767">
        <v>-355284</v>
      </c>
      <c r="I6458" s="768" t="s">
        <v>1731</v>
      </c>
    </row>
    <row r="6459" spans="1:9" x14ac:dyDescent="0.25">
      <c r="A6459" s="753"/>
      <c r="C6459" s="131" t="s">
        <v>1107</v>
      </c>
      <c r="D6459" s="131">
        <v>16</v>
      </c>
      <c r="E6459" s="131" t="s">
        <v>1107</v>
      </c>
      <c r="F6459" s="767">
        <v>333495.65000000002</v>
      </c>
      <c r="G6459" s="767">
        <v>0</v>
      </c>
      <c r="H6459" s="767">
        <v>333495.65000000002</v>
      </c>
      <c r="I6459" s="768" t="s">
        <v>1732</v>
      </c>
    </row>
    <row r="6460" spans="1:9" x14ac:dyDescent="0.25">
      <c r="A6460" s="753"/>
      <c r="C6460" s="131" t="s">
        <v>340</v>
      </c>
      <c r="D6460" s="131">
        <v>16</v>
      </c>
      <c r="E6460" s="131" t="s">
        <v>340</v>
      </c>
      <c r="F6460" s="767">
        <v>-482797.12</v>
      </c>
      <c r="G6460" s="767">
        <v>-236789.98</v>
      </c>
      <c r="H6460" s="767">
        <v>-719587.1</v>
      </c>
      <c r="I6460" s="768" t="s">
        <v>1734</v>
      </c>
    </row>
    <row r="6461" spans="1:9" x14ac:dyDescent="0.25">
      <c r="A6461" s="753"/>
      <c r="C6461" s="131" t="s">
        <v>1108</v>
      </c>
      <c r="D6461" s="131">
        <v>16</v>
      </c>
      <c r="E6461" s="131" t="s">
        <v>1108</v>
      </c>
      <c r="F6461" s="767">
        <v>453323.44</v>
      </c>
      <c r="G6461" s="767">
        <v>217365.05</v>
      </c>
      <c r="H6461" s="767">
        <v>670688.49</v>
      </c>
      <c r="I6461" s="768" t="s">
        <v>1735</v>
      </c>
    </row>
    <row r="6462" spans="1:9" x14ac:dyDescent="0.25">
      <c r="A6462" s="753"/>
      <c r="C6462" s="131" t="s">
        <v>301</v>
      </c>
      <c r="D6462" s="131">
        <v>16</v>
      </c>
      <c r="E6462" s="131" t="s">
        <v>301</v>
      </c>
      <c r="F6462" s="767">
        <v>-109302.93</v>
      </c>
      <c r="G6462" s="767">
        <v>0</v>
      </c>
      <c r="H6462" s="767">
        <v>-109302.93</v>
      </c>
      <c r="I6462" s="768" t="s">
        <v>2272</v>
      </c>
    </row>
    <row r="6463" spans="1:9" x14ac:dyDescent="0.25">
      <c r="A6463" s="753"/>
      <c r="C6463" s="131" t="s">
        <v>2273</v>
      </c>
      <c r="D6463" s="131">
        <v>16</v>
      </c>
      <c r="E6463" s="131" t="s">
        <v>2273</v>
      </c>
      <c r="F6463" s="767">
        <v>109633.12</v>
      </c>
      <c r="G6463" s="767">
        <v>0</v>
      </c>
      <c r="H6463" s="767">
        <v>109633.12</v>
      </c>
      <c r="I6463" s="768" t="s">
        <v>2274</v>
      </c>
    </row>
    <row r="6464" spans="1:9" x14ac:dyDescent="0.25">
      <c r="A6464" s="753"/>
      <c r="C6464" s="131" t="s">
        <v>237</v>
      </c>
      <c r="D6464" s="131">
        <v>16</v>
      </c>
      <c r="E6464" s="131" t="s">
        <v>237</v>
      </c>
      <c r="F6464" s="767">
        <v>-222837.66</v>
      </c>
      <c r="G6464" s="767">
        <v>0</v>
      </c>
      <c r="H6464" s="767">
        <v>-222837.66</v>
      </c>
      <c r="I6464" s="768" t="s">
        <v>1737</v>
      </c>
    </row>
    <row r="6465" spans="1:9" x14ac:dyDescent="0.25">
      <c r="A6465" s="753"/>
      <c r="C6465" s="131" t="s">
        <v>1094</v>
      </c>
      <c r="D6465" s="131">
        <v>16</v>
      </c>
      <c r="E6465" s="131" t="s">
        <v>1094</v>
      </c>
      <c r="F6465" s="767">
        <v>208571.21</v>
      </c>
      <c r="G6465" s="767">
        <v>0</v>
      </c>
      <c r="H6465" s="767">
        <v>208571.21</v>
      </c>
      <c r="I6465" s="768" t="s">
        <v>1738</v>
      </c>
    </row>
    <row r="6466" spans="1:9" x14ac:dyDescent="0.25">
      <c r="A6466" s="753"/>
      <c r="C6466" s="131" t="s">
        <v>258</v>
      </c>
      <c r="D6466" s="131">
        <v>16</v>
      </c>
      <c r="E6466" s="131" t="s">
        <v>258</v>
      </c>
      <c r="F6466" s="767">
        <v>-180770</v>
      </c>
      <c r="G6466" s="767">
        <v>0</v>
      </c>
      <c r="H6466" s="767">
        <v>-180770</v>
      </c>
      <c r="I6466" s="768" t="s">
        <v>1741</v>
      </c>
    </row>
    <row r="6467" spans="1:9" x14ac:dyDescent="0.25">
      <c r="A6467" s="753"/>
      <c r="C6467" s="131" t="s">
        <v>1742</v>
      </c>
      <c r="D6467" s="131">
        <v>16</v>
      </c>
      <c r="E6467" s="131" t="s">
        <v>1742</v>
      </c>
      <c r="F6467" s="767">
        <v>168281.09</v>
      </c>
      <c r="G6467" s="767">
        <v>0</v>
      </c>
      <c r="H6467" s="767">
        <v>168281.09</v>
      </c>
      <c r="I6467" s="768" t="s">
        <v>1743</v>
      </c>
    </row>
    <row r="6468" spans="1:9" x14ac:dyDescent="0.25">
      <c r="A6468" s="753"/>
      <c r="C6468" s="131" t="s">
        <v>105</v>
      </c>
      <c r="D6468" s="131">
        <v>16</v>
      </c>
      <c r="E6468" s="131" t="s">
        <v>105</v>
      </c>
      <c r="F6468" s="767">
        <v>-751239.23</v>
      </c>
      <c r="G6468" s="767">
        <v>-106773.5</v>
      </c>
      <c r="H6468" s="767">
        <v>-858012.73</v>
      </c>
      <c r="I6468" s="768" t="s">
        <v>1745</v>
      </c>
    </row>
    <row r="6469" spans="1:9" x14ac:dyDescent="0.25">
      <c r="A6469" s="753"/>
      <c r="C6469" s="131" t="s">
        <v>1110</v>
      </c>
      <c r="D6469" s="131">
        <v>16</v>
      </c>
      <c r="E6469" s="131" t="s">
        <v>1110</v>
      </c>
      <c r="F6469" s="767">
        <v>714996.42</v>
      </c>
      <c r="G6469" s="767">
        <v>102975</v>
      </c>
      <c r="H6469" s="767">
        <v>817971.42</v>
      </c>
      <c r="I6469" s="768" t="s">
        <v>1746</v>
      </c>
    </row>
    <row r="6470" spans="1:9" x14ac:dyDescent="0.25">
      <c r="A6470" s="753"/>
      <c r="C6470" s="131" t="s">
        <v>401</v>
      </c>
      <c r="D6470" s="131">
        <v>16</v>
      </c>
      <c r="E6470" s="131" t="s">
        <v>401</v>
      </c>
      <c r="F6470" s="767">
        <v>-976653.2</v>
      </c>
      <c r="G6470" s="767">
        <v>0</v>
      </c>
      <c r="H6470" s="767">
        <v>-976653.2</v>
      </c>
      <c r="I6470" s="768" t="s">
        <v>1748</v>
      </c>
    </row>
    <row r="6471" spans="1:9" x14ac:dyDescent="0.25">
      <c r="A6471" s="753"/>
      <c r="C6471" s="131" t="s">
        <v>1112</v>
      </c>
      <c r="D6471" s="131">
        <v>16</v>
      </c>
      <c r="E6471" s="131" t="s">
        <v>1112</v>
      </c>
      <c r="F6471" s="767">
        <v>912448.95</v>
      </c>
      <c r="G6471" s="767">
        <v>0</v>
      </c>
      <c r="H6471" s="767">
        <v>912448.95</v>
      </c>
      <c r="I6471" s="768" t="s">
        <v>1749</v>
      </c>
    </row>
    <row r="6472" spans="1:9" x14ac:dyDescent="0.25">
      <c r="A6472" s="753"/>
      <c r="C6472" s="131">
        <v>447</v>
      </c>
      <c r="D6472" s="131">
        <v>16</v>
      </c>
      <c r="E6472" s="131">
        <v>447</v>
      </c>
      <c r="F6472" s="767">
        <v>-151506.5</v>
      </c>
      <c r="G6472" s="767">
        <v>0</v>
      </c>
      <c r="H6472" s="767">
        <v>-151506.5</v>
      </c>
      <c r="I6472" s="768" t="s">
        <v>1751</v>
      </c>
    </row>
    <row r="6473" spans="1:9" x14ac:dyDescent="0.25">
      <c r="A6473" s="753"/>
      <c r="C6473" s="131">
        <v>647</v>
      </c>
      <c r="D6473" s="131">
        <v>16</v>
      </c>
      <c r="E6473" s="131">
        <v>647</v>
      </c>
      <c r="F6473" s="767">
        <v>145006.09</v>
      </c>
      <c r="G6473" s="767">
        <v>0</v>
      </c>
      <c r="H6473" s="767">
        <v>145006.09</v>
      </c>
      <c r="I6473" s="768" t="s">
        <v>1752</v>
      </c>
    </row>
    <row r="6474" spans="1:9" x14ac:dyDescent="0.25">
      <c r="A6474" s="753"/>
      <c r="C6474" s="131" t="s">
        <v>106</v>
      </c>
      <c r="D6474" s="131">
        <v>16</v>
      </c>
      <c r="E6474" s="131" t="s">
        <v>106</v>
      </c>
      <c r="F6474" s="767">
        <v>-227426</v>
      </c>
      <c r="G6474" s="767">
        <v>0</v>
      </c>
      <c r="H6474" s="767">
        <v>-227426</v>
      </c>
      <c r="I6474" s="768" t="s">
        <v>1754</v>
      </c>
    </row>
    <row r="6475" spans="1:9" x14ac:dyDescent="0.25">
      <c r="A6475" s="753"/>
      <c r="C6475" s="131" t="s">
        <v>1143</v>
      </c>
      <c r="D6475" s="131">
        <v>16</v>
      </c>
      <c r="E6475" s="131" t="s">
        <v>1143</v>
      </c>
      <c r="F6475" s="767">
        <v>214312.85</v>
      </c>
      <c r="G6475" s="767">
        <v>0</v>
      </c>
      <c r="H6475" s="767">
        <v>214312.85</v>
      </c>
      <c r="I6475" s="768" t="s">
        <v>1755</v>
      </c>
    </row>
    <row r="6476" spans="1:9" x14ac:dyDescent="0.25">
      <c r="A6476" s="753"/>
      <c r="C6476" s="131" t="s">
        <v>405</v>
      </c>
      <c r="D6476" s="131">
        <v>16</v>
      </c>
      <c r="E6476" s="131" t="s">
        <v>405</v>
      </c>
      <c r="F6476" s="767">
        <v>-235967</v>
      </c>
      <c r="G6476" s="767">
        <v>0</v>
      </c>
      <c r="H6476" s="767">
        <v>-235967</v>
      </c>
      <c r="I6476" s="768" t="s">
        <v>1757</v>
      </c>
    </row>
    <row r="6477" spans="1:9" x14ac:dyDescent="0.25">
      <c r="A6477" s="753"/>
      <c r="C6477" s="131" t="s">
        <v>1116</v>
      </c>
      <c r="D6477" s="131">
        <v>16</v>
      </c>
      <c r="E6477" s="131" t="s">
        <v>1116</v>
      </c>
      <c r="F6477" s="767">
        <v>220347.51999999999</v>
      </c>
      <c r="G6477" s="767">
        <v>0</v>
      </c>
      <c r="H6477" s="767">
        <v>220347.51999999999</v>
      </c>
      <c r="I6477" s="768" t="s">
        <v>1758</v>
      </c>
    </row>
    <row r="6478" spans="1:9" x14ac:dyDescent="0.25">
      <c r="A6478" s="753"/>
      <c r="C6478" s="131">
        <v>480</v>
      </c>
      <c r="D6478" s="131">
        <v>16</v>
      </c>
      <c r="E6478" s="131">
        <v>480</v>
      </c>
      <c r="F6478" s="767">
        <v>-273292.68</v>
      </c>
      <c r="G6478" s="767">
        <v>0</v>
      </c>
      <c r="H6478" s="767">
        <v>-273292.68</v>
      </c>
      <c r="I6478" s="768" t="s">
        <v>1760</v>
      </c>
    </row>
    <row r="6479" spans="1:9" x14ac:dyDescent="0.25">
      <c r="A6479" s="753"/>
      <c r="C6479" s="131">
        <v>680</v>
      </c>
      <c r="D6479" s="131">
        <v>16</v>
      </c>
      <c r="E6479" s="131">
        <v>680</v>
      </c>
      <c r="F6479" s="767">
        <v>269709.11</v>
      </c>
      <c r="G6479" s="767">
        <v>0</v>
      </c>
      <c r="H6479" s="767">
        <v>269709.11</v>
      </c>
      <c r="I6479" s="768" t="s">
        <v>1761</v>
      </c>
    </row>
    <row r="6480" spans="1:9" x14ac:dyDescent="0.25">
      <c r="A6480" s="753"/>
      <c r="C6480" s="131" t="s">
        <v>406</v>
      </c>
      <c r="D6480" s="131">
        <v>16</v>
      </c>
      <c r="E6480" s="131" t="s">
        <v>406</v>
      </c>
      <c r="F6480" s="767">
        <v>-309378.09999999998</v>
      </c>
      <c r="G6480" s="767">
        <v>0</v>
      </c>
      <c r="H6480" s="767">
        <v>-309378.09999999998</v>
      </c>
      <c r="I6480" s="768" t="s">
        <v>1764</v>
      </c>
    </row>
    <row r="6481" spans="1:9" x14ac:dyDescent="0.25">
      <c r="A6481" s="753"/>
      <c r="C6481" s="131" t="s">
        <v>1119</v>
      </c>
      <c r="D6481" s="131">
        <v>16</v>
      </c>
      <c r="E6481" s="131" t="s">
        <v>1119</v>
      </c>
      <c r="F6481" s="767">
        <v>291459.78000000003</v>
      </c>
      <c r="G6481" s="767">
        <v>0</v>
      </c>
      <c r="H6481" s="767">
        <v>291459.78000000003</v>
      </c>
      <c r="I6481" s="768" t="s">
        <v>1765</v>
      </c>
    </row>
    <row r="6482" spans="1:9" x14ac:dyDescent="0.25">
      <c r="A6482" s="753"/>
      <c r="C6482" s="131">
        <v>481</v>
      </c>
      <c r="D6482" s="131">
        <v>16</v>
      </c>
      <c r="E6482" s="131">
        <v>481</v>
      </c>
      <c r="F6482" s="767">
        <v>-237027.97</v>
      </c>
      <c r="G6482" s="767">
        <v>0</v>
      </c>
      <c r="H6482" s="767">
        <v>-237027.97</v>
      </c>
      <c r="I6482" s="768" t="s">
        <v>408</v>
      </c>
    </row>
    <row r="6483" spans="1:9" x14ac:dyDescent="0.25">
      <c r="A6483" s="753"/>
      <c r="C6483" s="131">
        <v>681</v>
      </c>
      <c r="D6483" s="131">
        <v>16</v>
      </c>
      <c r="E6483" s="131">
        <v>681</v>
      </c>
      <c r="F6483" s="767">
        <v>233811.43</v>
      </c>
      <c r="G6483" s="767">
        <v>0</v>
      </c>
      <c r="H6483" s="767">
        <v>233811.43</v>
      </c>
      <c r="I6483" s="768" t="s">
        <v>408</v>
      </c>
    </row>
    <row r="6484" spans="1:9" x14ac:dyDescent="0.25">
      <c r="A6484" s="753"/>
      <c r="C6484" s="131" t="s">
        <v>410</v>
      </c>
      <c r="D6484" s="131">
        <v>16</v>
      </c>
      <c r="E6484" s="131" t="s">
        <v>410</v>
      </c>
      <c r="F6484" s="767">
        <v>-246468.25</v>
      </c>
      <c r="G6484" s="767">
        <v>0</v>
      </c>
      <c r="H6484" s="767">
        <v>-246468.25</v>
      </c>
      <c r="I6484" s="768" t="s">
        <v>1767</v>
      </c>
    </row>
    <row r="6485" spans="1:9" x14ac:dyDescent="0.25">
      <c r="A6485" s="753"/>
      <c r="C6485" s="131" t="s">
        <v>1120</v>
      </c>
      <c r="D6485" s="131">
        <v>16</v>
      </c>
      <c r="E6485" s="131" t="s">
        <v>1120</v>
      </c>
      <c r="F6485" s="767">
        <v>235559.82</v>
      </c>
      <c r="G6485" s="767">
        <v>0</v>
      </c>
      <c r="H6485" s="767">
        <v>235559.82</v>
      </c>
      <c r="I6485" s="768" t="s">
        <v>1767</v>
      </c>
    </row>
    <row r="6486" spans="1:9" x14ac:dyDescent="0.25">
      <c r="A6486" s="753"/>
      <c r="C6486" s="131" t="s">
        <v>376</v>
      </c>
      <c r="D6486" s="131">
        <v>16</v>
      </c>
      <c r="E6486" s="131" t="s">
        <v>376</v>
      </c>
      <c r="F6486" s="767">
        <v>-98510.95</v>
      </c>
      <c r="G6486" s="767">
        <v>0</v>
      </c>
      <c r="H6486" s="767">
        <v>-98510.95</v>
      </c>
      <c r="I6486" s="768" t="s">
        <v>2278</v>
      </c>
    </row>
    <row r="6487" spans="1:9" x14ac:dyDescent="0.25">
      <c r="A6487" s="753"/>
      <c r="C6487" s="131" t="s">
        <v>2279</v>
      </c>
      <c r="D6487" s="131">
        <v>16</v>
      </c>
      <c r="E6487" s="131" t="s">
        <v>2279</v>
      </c>
      <c r="F6487" s="767">
        <v>97615</v>
      </c>
      <c r="G6487" s="767">
        <v>0</v>
      </c>
      <c r="H6487" s="767">
        <v>97615</v>
      </c>
      <c r="I6487" s="768" t="s">
        <v>2280</v>
      </c>
    </row>
    <row r="6488" spans="1:9" x14ac:dyDescent="0.25">
      <c r="A6488" s="753"/>
      <c r="C6488" s="131" t="s">
        <v>378</v>
      </c>
      <c r="D6488" s="131">
        <v>16</v>
      </c>
      <c r="E6488" s="131" t="s">
        <v>378</v>
      </c>
      <c r="F6488" s="767">
        <v>-323316.75</v>
      </c>
      <c r="G6488" s="767">
        <v>0</v>
      </c>
      <c r="H6488" s="767">
        <v>-323316.75</v>
      </c>
      <c r="I6488" s="768" t="s">
        <v>1769</v>
      </c>
    </row>
    <row r="6489" spans="1:9" x14ac:dyDescent="0.25">
      <c r="A6489" s="753"/>
      <c r="C6489" s="131" t="s">
        <v>1121</v>
      </c>
      <c r="D6489" s="131">
        <v>16</v>
      </c>
      <c r="E6489" s="131" t="s">
        <v>1121</v>
      </c>
      <c r="F6489" s="767">
        <v>316233.65000000002</v>
      </c>
      <c r="G6489" s="767">
        <v>0</v>
      </c>
      <c r="H6489" s="767">
        <v>316233.65000000002</v>
      </c>
      <c r="I6489" s="768" t="s">
        <v>1770</v>
      </c>
    </row>
    <row r="6490" spans="1:9" x14ac:dyDescent="0.25">
      <c r="A6490" s="753">
        <v>701918</v>
      </c>
      <c r="B6490" s="130">
        <v>4878</v>
      </c>
      <c r="E6490" s="131"/>
    </row>
    <row r="6491" spans="1:9" x14ac:dyDescent="0.25">
      <c r="A6491" s="753">
        <v>701922</v>
      </c>
      <c r="B6491" s="130">
        <v>174</v>
      </c>
      <c r="E6491" s="131"/>
    </row>
    <row r="6492" spans="1:9" x14ac:dyDescent="0.25">
      <c r="A6492" s="753">
        <v>701924</v>
      </c>
      <c r="B6492" s="130">
        <v>14870053</v>
      </c>
      <c r="E6492" s="131"/>
    </row>
    <row r="6493" spans="1:9" x14ac:dyDescent="0.25">
      <c r="A6493" s="753">
        <v>701926</v>
      </c>
      <c r="B6493" s="130">
        <v>828478</v>
      </c>
      <c r="C6493" s="131">
        <v>416</v>
      </c>
      <c r="D6493" s="131">
        <v>16</v>
      </c>
      <c r="E6493" s="131">
        <v>416</v>
      </c>
      <c r="F6493" s="767">
        <v>-1003631.7</v>
      </c>
      <c r="G6493" s="767">
        <v>-238444</v>
      </c>
      <c r="H6493" s="767">
        <v>-1242075.7</v>
      </c>
      <c r="I6493" s="768" t="s">
        <v>1720</v>
      </c>
    </row>
    <row r="6494" spans="1:9" x14ac:dyDescent="0.25">
      <c r="A6494" s="753"/>
      <c r="C6494" s="131">
        <v>616</v>
      </c>
      <c r="D6494" s="131">
        <v>16</v>
      </c>
      <c r="E6494" s="131">
        <v>616</v>
      </c>
      <c r="F6494" s="767">
        <v>941860.05</v>
      </c>
      <c r="G6494" s="767">
        <v>224614.34</v>
      </c>
      <c r="H6494" s="767">
        <v>1166474.3899999999</v>
      </c>
      <c r="I6494" s="768" t="s">
        <v>1721</v>
      </c>
    </row>
    <row r="6495" spans="1:9" x14ac:dyDescent="0.25">
      <c r="A6495" s="753"/>
      <c r="C6495" s="131" t="s">
        <v>400</v>
      </c>
      <c r="D6495" s="131">
        <v>16</v>
      </c>
      <c r="E6495" s="131" t="s">
        <v>400</v>
      </c>
      <c r="F6495" s="767">
        <v>-139749.68</v>
      </c>
      <c r="G6495" s="767">
        <v>-74470.399999999994</v>
      </c>
      <c r="H6495" s="767">
        <v>-214220.08</v>
      </c>
      <c r="I6495" s="768" t="s">
        <v>1723</v>
      </c>
    </row>
    <row r="6496" spans="1:9" x14ac:dyDescent="0.25">
      <c r="A6496" s="753"/>
      <c r="C6496" s="131" t="s">
        <v>1100</v>
      </c>
      <c r="D6496" s="131">
        <v>16</v>
      </c>
      <c r="E6496" s="131" t="s">
        <v>1100</v>
      </c>
      <c r="F6496" s="767">
        <v>131422.87</v>
      </c>
      <c r="G6496" s="767">
        <v>69814.75</v>
      </c>
      <c r="H6496" s="767">
        <v>201237.62</v>
      </c>
      <c r="I6496" s="768" t="s">
        <v>1724</v>
      </c>
    </row>
    <row r="6497" spans="1:9" x14ac:dyDescent="0.25">
      <c r="A6497" s="753"/>
      <c r="C6497" s="131" t="s">
        <v>104</v>
      </c>
      <c r="D6497" s="131">
        <v>16</v>
      </c>
      <c r="E6497" s="131" t="s">
        <v>104</v>
      </c>
      <c r="F6497" s="767">
        <v>-1584890.7</v>
      </c>
      <c r="G6497" s="767">
        <v>0</v>
      </c>
      <c r="H6497" s="767">
        <v>-1584890.7</v>
      </c>
      <c r="I6497" s="768" t="s">
        <v>1728</v>
      </c>
    </row>
    <row r="6498" spans="1:9" x14ac:dyDescent="0.25">
      <c r="A6498" s="753"/>
      <c r="C6498" s="131" t="s">
        <v>1106</v>
      </c>
      <c r="D6498" s="131">
        <v>16</v>
      </c>
      <c r="E6498" s="131" t="s">
        <v>1106</v>
      </c>
      <c r="F6498" s="767">
        <v>1486270.54</v>
      </c>
      <c r="G6498" s="767">
        <v>0</v>
      </c>
      <c r="H6498" s="767">
        <v>1486270.54</v>
      </c>
      <c r="I6498" s="768" t="s">
        <v>1729</v>
      </c>
    </row>
    <row r="6499" spans="1:9" x14ac:dyDescent="0.25">
      <c r="A6499" s="753"/>
      <c r="C6499" s="131" t="s">
        <v>282</v>
      </c>
      <c r="D6499" s="131">
        <v>16</v>
      </c>
      <c r="E6499" s="131" t="s">
        <v>282</v>
      </c>
      <c r="F6499" s="767">
        <v>-355284</v>
      </c>
      <c r="G6499" s="767">
        <v>0</v>
      </c>
      <c r="H6499" s="767">
        <v>-355284</v>
      </c>
      <c r="I6499" s="768" t="s">
        <v>1731</v>
      </c>
    </row>
    <row r="6500" spans="1:9" x14ac:dyDescent="0.25">
      <c r="A6500" s="753"/>
      <c r="C6500" s="131" t="s">
        <v>1107</v>
      </c>
      <c r="D6500" s="131">
        <v>16</v>
      </c>
      <c r="E6500" s="131" t="s">
        <v>1107</v>
      </c>
      <c r="F6500" s="767">
        <v>333495.65000000002</v>
      </c>
      <c r="G6500" s="767">
        <v>0</v>
      </c>
      <c r="H6500" s="767">
        <v>333495.65000000002</v>
      </c>
      <c r="I6500" s="768" t="s">
        <v>1732</v>
      </c>
    </row>
    <row r="6501" spans="1:9" x14ac:dyDescent="0.25">
      <c r="A6501" s="753"/>
      <c r="C6501" s="131" t="s">
        <v>340</v>
      </c>
      <c r="D6501" s="131">
        <v>16</v>
      </c>
      <c r="E6501" s="131" t="s">
        <v>340</v>
      </c>
      <c r="F6501" s="767">
        <v>-482797.12</v>
      </c>
      <c r="G6501" s="767">
        <v>-236789.98</v>
      </c>
      <c r="H6501" s="767">
        <v>-719587.1</v>
      </c>
      <c r="I6501" s="768" t="s">
        <v>1734</v>
      </c>
    </row>
    <row r="6502" spans="1:9" x14ac:dyDescent="0.25">
      <c r="A6502" s="753"/>
      <c r="C6502" s="131" t="s">
        <v>1108</v>
      </c>
      <c r="D6502" s="131">
        <v>16</v>
      </c>
      <c r="E6502" s="131" t="s">
        <v>1108</v>
      </c>
      <c r="F6502" s="767">
        <v>453323.44</v>
      </c>
      <c r="G6502" s="767">
        <v>217365.05</v>
      </c>
      <c r="H6502" s="767">
        <v>670688.49</v>
      </c>
      <c r="I6502" s="768" t="s">
        <v>1735</v>
      </c>
    </row>
    <row r="6503" spans="1:9" x14ac:dyDescent="0.25">
      <c r="A6503" s="753"/>
      <c r="C6503" s="131" t="s">
        <v>301</v>
      </c>
      <c r="D6503" s="131">
        <v>16</v>
      </c>
      <c r="E6503" s="131" t="s">
        <v>301</v>
      </c>
      <c r="F6503" s="767">
        <v>-109302.93</v>
      </c>
      <c r="G6503" s="767">
        <v>0</v>
      </c>
      <c r="H6503" s="767">
        <v>-109302.93</v>
      </c>
      <c r="I6503" s="768" t="s">
        <v>2272</v>
      </c>
    </row>
    <row r="6504" spans="1:9" x14ac:dyDescent="0.25">
      <c r="A6504" s="753"/>
      <c r="C6504" s="131" t="s">
        <v>2273</v>
      </c>
      <c r="D6504" s="131">
        <v>16</v>
      </c>
      <c r="E6504" s="131" t="s">
        <v>2273</v>
      </c>
      <c r="F6504" s="767">
        <v>109633.12</v>
      </c>
      <c r="G6504" s="767">
        <v>0</v>
      </c>
      <c r="H6504" s="767">
        <v>109633.12</v>
      </c>
      <c r="I6504" s="768" t="s">
        <v>2274</v>
      </c>
    </row>
    <row r="6505" spans="1:9" x14ac:dyDescent="0.25">
      <c r="A6505" s="753"/>
      <c r="C6505" s="131" t="s">
        <v>237</v>
      </c>
      <c r="D6505" s="131">
        <v>16</v>
      </c>
      <c r="E6505" s="131" t="s">
        <v>237</v>
      </c>
      <c r="F6505" s="767">
        <v>-222837.66</v>
      </c>
      <c r="G6505" s="767">
        <v>0</v>
      </c>
      <c r="H6505" s="767">
        <v>-222837.66</v>
      </c>
      <c r="I6505" s="768" t="s">
        <v>1737</v>
      </c>
    </row>
    <row r="6506" spans="1:9" x14ac:dyDescent="0.25">
      <c r="A6506" s="753"/>
      <c r="C6506" s="131" t="s">
        <v>1094</v>
      </c>
      <c r="D6506" s="131">
        <v>16</v>
      </c>
      <c r="E6506" s="131" t="s">
        <v>1094</v>
      </c>
      <c r="F6506" s="767">
        <v>208571.21</v>
      </c>
      <c r="G6506" s="767">
        <v>0</v>
      </c>
      <c r="H6506" s="767">
        <v>208571.21</v>
      </c>
      <c r="I6506" s="768" t="s">
        <v>1738</v>
      </c>
    </row>
    <row r="6507" spans="1:9" x14ac:dyDescent="0.25">
      <c r="A6507" s="753"/>
      <c r="C6507" s="131" t="s">
        <v>258</v>
      </c>
      <c r="D6507" s="131">
        <v>16</v>
      </c>
      <c r="E6507" s="131" t="s">
        <v>258</v>
      </c>
      <c r="F6507" s="767">
        <v>-180770</v>
      </c>
      <c r="G6507" s="767">
        <v>0</v>
      </c>
      <c r="H6507" s="767">
        <v>-180770</v>
      </c>
      <c r="I6507" s="768" t="s">
        <v>1741</v>
      </c>
    </row>
    <row r="6508" spans="1:9" x14ac:dyDescent="0.25">
      <c r="A6508" s="753"/>
      <c r="C6508" s="131" t="s">
        <v>1742</v>
      </c>
      <c r="D6508" s="131">
        <v>16</v>
      </c>
      <c r="E6508" s="131" t="s">
        <v>1742</v>
      </c>
      <c r="F6508" s="767">
        <v>168281.09</v>
      </c>
      <c r="G6508" s="767">
        <v>0</v>
      </c>
      <c r="H6508" s="767">
        <v>168281.09</v>
      </c>
      <c r="I6508" s="768" t="s">
        <v>1743</v>
      </c>
    </row>
    <row r="6509" spans="1:9" x14ac:dyDescent="0.25">
      <c r="A6509" s="753"/>
      <c r="C6509" s="131" t="s">
        <v>105</v>
      </c>
      <c r="D6509" s="131">
        <v>16</v>
      </c>
      <c r="E6509" s="131" t="s">
        <v>105</v>
      </c>
      <c r="F6509" s="767">
        <v>-751239.23</v>
      </c>
      <c r="G6509" s="767">
        <v>-106773.5</v>
      </c>
      <c r="H6509" s="767">
        <v>-858012.73</v>
      </c>
      <c r="I6509" s="768" t="s">
        <v>1745</v>
      </c>
    </row>
    <row r="6510" spans="1:9" x14ac:dyDescent="0.25">
      <c r="A6510" s="753"/>
      <c r="C6510" s="131" t="s">
        <v>1110</v>
      </c>
      <c r="D6510" s="131">
        <v>16</v>
      </c>
      <c r="E6510" s="131" t="s">
        <v>1110</v>
      </c>
      <c r="F6510" s="767">
        <v>714996.42</v>
      </c>
      <c r="G6510" s="767">
        <v>102975</v>
      </c>
      <c r="H6510" s="767">
        <v>817971.42</v>
      </c>
      <c r="I6510" s="768" t="s">
        <v>1746</v>
      </c>
    </row>
    <row r="6511" spans="1:9" x14ac:dyDescent="0.25">
      <c r="A6511" s="753"/>
      <c r="C6511" s="131" t="s">
        <v>401</v>
      </c>
      <c r="D6511" s="131">
        <v>16</v>
      </c>
      <c r="E6511" s="131" t="s">
        <v>401</v>
      </c>
      <c r="F6511" s="767">
        <v>-976653.2</v>
      </c>
      <c r="G6511" s="767">
        <v>0</v>
      </c>
      <c r="H6511" s="767">
        <v>-976653.2</v>
      </c>
      <c r="I6511" s="768" t="s">
        <v>1748</v>
      </c>
    </row>
    <row r="6512" spans="1:9" x14ac:dyDescent="0.25">
      <c r="A6512" s="753"/>
      <c r="C6512" s="131" t="s">
        <v>1112</v>
      </c>
      <c r="D6512" s="131">
        <v>16</v>
      </c>
      <c r="E6512" s="131" t="s">
        <v>1112</v>
      </c>
      <c r="F6512" s="767">
        <v>912448.95</v>
      </c>
      <c r="G6512" s="767">
        <v>0</v>
      </c>
      <c r="H6512" s="767">
        <v>912448.95</v>
      </c>
      <c r="I6512" s="768" t="s">
        <v>1749</v>
      </c>
    </row>
    <row r="6513" spans="1:9" x14ac:dyDescent="0.25">
      <c r="A6513" s="753"/>
      <c r="C6513" s="131">
        <v>447</v>
      </c>
      <c r="D6513" s="131">
        <v>16</v>
      </c>
      <c r="E6513" s="131">
        <v>447</v>
      </c>
      <c r="F6513" s="767">
        <v>-151506.5</v>
      </c>
      <c r="G6513" s="767">
        <v>0</v>
      </c>
      <c r="H6513" s="767">
        <v>-151506.5</v>
      </c>
      <c r="I6513" s="768" t="s">
        <v>1751</v>
      </c>
    </row>
    <row r="6514" spans="1:9" x14ac:dyDescent="0.25">
      <c r="A6514" s="753"/>
      <c r="C6514" s="131">
        <v>647</v>
      </c>
      <c r="D6514" s="131">
        <v>16</v>
      </c>
      <c r="E6514" s="131">
        <v>647</v>
      </c>
      <c r="F6514" s="767">
        <v>145006.09</v>
      </c>
      <c r="G6514" s="767">
        <v>0</v>
      </c>
      <c r="H6514" s="767">
        <v>145006.09</v>
      </c>
      <c r="I6514" s="768" t="s">
        <v>1752</v>
      </c>
    </row>
    <row r="6515" spans="1:9" x14ac:dyDescent="0.25">
      <c r="A6515" s="753"/>
      <c r="C6515" s="131" t="s">
        <v>106</v>
      </c>
      <c r="D6515" s="131">
        <v>16</v>
      </c>
      <c r="E6515" s="131" t="s">
        <v>106</v>
      </c>
      <c r="F6515" s="767">
        <v>-227426</v>
      </c>
      <c r="G6515" s="767">
        <v>0</v>
      </c>
      <c r="H6515" s="767">
        <v>-227426</v>
      </c>
      <c r="I6515" s="768" t="s">
        <v>1754</v>
      </c>
    </row>
    <row r="6516" spans="1:9" x14ac:dyDescent="0.25">
      <c r="A6516" s="753"/>
      <c r="C6516" s="131" t="s">
        <v>1143</v>
      </c>
      <c r="D6516" s="131">
        <v>16</v>
      </c>
      <c r="E6516" s="131" t="s">
        <v>1143</v>
      </c>
      <c r="F6516" s="767">
        <v>214312.85</v>
      </c>
      <c r="G6516" s="767">
        <v>0</v>
      </c>
      <c r="H6516" s="767">
        <v>214312.85</v>
      </c>
      <c r="I6516" s="768" t="s">
        <v>1755</v>
      </c>
    </row>
    <row r="6517" spans="1:9" x14ac:dyDescent="0.25">
      <c r="A6517" s="753"/>
      <c r="C6517" s="131" t="s">
        <v>405</v>
      </c>
      <c r="D6517" s="131">
        <v>16</v>
      </c>
      <c r="E6517" s="131" t="s">
        <v>405</v>
      </c>
      <c r="F6517" s="767">
        <v>-235967</v>
      </c>
      <c r="G6517" s="767">
        <v>0</v>
      </c>
      <c r="H6517" s="767">
        <v>-235967</v>
      </c>
      <c r="I6517" s="768" t="s">
        <v>1757</v>
      </c>
    </row>
    <row r="6518" spans="1:9" x14ac:dyDescent="0.25">
      <c r="A6518" s="753"/>
      <c r="C6518" s="131" t="s">
        <v>1116</v>
      </c>
      <c r="D6518" s="131">
        <v>16</v>
      </c>
      <c r="E6518" s="131" t="s">
        <v>1116</v>
      </c>
      <c r="F6518" s="767">
        <v>220347.51999999999</v>
      </c>
      <c r="G6518" s="767">
        <v>0</v>
      </c>
      <c r="H6518" s="767">
        <v>220347.51999999999</v>
      </c>
      <c r="I6518" s="768" t="s">
        <v>1758</v>
      </c>
    </row>
    <row r="6519" spans="1:9" x14ac:dyDescent="0.25">
      <c r="A6519" s="753"/>
      <c r="C6519" s="131">
        <v>480</v>
      </c>
      <c r="D6519" s="131">
        <v>16</v>
      </c>
      <c r="E6519" s="131">
        <v>480</v>
      </c>
      <c r="F6519" s="767">
        <v>-273292.68</v>
      </c>
      <c r="G6519" s="767">
        <v>0</v>
      </c>
      <c r="H6519" s="767">
        <v>-273292.68</v>
      </c>
      <c r="I6519" s="768" t="s">
        <v>1760</v>
      </c>
    </row>
    <row r="6520" spans="1:9" x14ac:dyDescent="0.25">
      <c r="A6520" s="753"/>
      <c r="C6520" s="131">
        <v>680</v>
      </c>
      <c r="D6520" s="131">
        <v>16</v>
      </c>
      <c r="E6520" s="131">
        <v>680</v>
      </c>
      <c r="F6520" s="767">
        <v>269709.11</v>
      </c>
      <c r="G6520" s="767">
        <v>0</v>
      </c>
      <c r="H6520" s="767">
        <v>269709.11</v>
      </c>
      <c r="I6520" s="768" t="s">
        <v>1761</v>
      </c>
    </row>
    <row r="6521" spans="1:9" x14ac:dyDescent="0.25">
      <c r="A6521" s="753"/>
      <c r="C6521" s="131" t="s">
        <v>406</v>
      </c>
      <c r="D6521" s="131">
        <v>16</v>
      </c>
      <c r="E6521" s="131" t="s">
        <v>406</v>
      </c>
      <c r="F6521" s="767">
        <v>-309378.09999999998</v>
      </c>
      <c r="G6521" s="767">
        <v>0</v>
      </c>
      <c r="H6521" s="767">
        <v>-309378.09999999998</v>
      </c>
      <c r="I6521" s="768" t="s">
        <v>1764</v>
      </c>
    </row>
    <row r="6522" spans="1:9" x14ac:dyDescent="0.25">
      <c r="A6522" s="753"/>
      <c r="C6522" s="131" t="s">
        <v>1119</v>
      </c>
      <c r="D6522" s="131">
        <v>16</v>
      </c>
      <c r="E6522" s="131" t="s">
        <v>1119</v>
      </c>
      <c r="F6522" s="767">
        <v>291459.78000000003</v>
      </c>
      <c r="G6522" s="767">
        <v>0</v>
      </c>
      <c r="H6522" s="767">
        <v>291459.78000000003</v>
      </c>
      <c r="I6522" s="768" t="s">
        <v>1765</v>
      </c>
    </row>
    <row r="6523" spans="1:9" x14ac:dyDescent="0.25">
      <c r="A6523" s="753"/>
      <c r="C6523" s="131">
        <v>481</v>
      </c>
      <c r="D6523" s="131">
        <v>16</v>
      </c>
      <c r="E6523" s="131">
        <v>481</v>
      </c>
      <c r="F6523" s="767">
        <v>-237027.97</v>
      </c>
      <c r="G6523" s="767">
        <v>0</v>
      </c>
      <c r="H6523" s="767">
        <v>-237027.97</v>
      </c>
      <c r="I6523" s="768" t="s">
        <v>408</v>
      </c>
    </row>
    <row r="6524" spans="1:9" x14ac:dyDescent="0.25">
      <c r="A6524" s="753"/>
      <c r="C6524" s="131">
        <v>681</v>
      </c>
      <c r="D6524" s="131">
        <v>16</v>
      </c>
      <c r="E6524" s="131">
        <v>681</v>
      </c>
      <c r="F6524" s="767">
        <v>233811.43</v>
      </c>
      <c r="G6524" s="767">
        <v>0</v>
      </c>
      <c r="H6524" s="767">
        <v>233811.43</v>
      </c>
      <c r="I6524" s="768" t="s">
        <v>408</v>
      </c>
    </row>
    <row r="6525" spans="1:9" x14ac:dyDescent="0.25">
      <c r="A6525" s="753"/>
      <c r="C6525" s="131" t="s">
        <v>410</v>
      </c>
      <c r="D6525" s="131">
        <v>16</v>
      </c>
      <c r="E6525" s="131" t="s">
        <v>410</v>
      </c>
      <c r="F6525" s="767">
        <v>-246468.25</v>
      </c>
      <c r="G6525" s="767">
        <v>0</v>
      </c>
      <c r="H6525" s="767">
        <v>-246468.25</v>
      </c>
      <c r="I6525" s="768" t="s">
        <v>1767</v>
      </c>
    </row>
    <row r="6526" spans="1:9" x14ac:dyDescent="0.25">
      <c r="A6526" s="753"/>
      <c r="C6526" s="131" t="s">
        <v>1120</v>
      </c>
      <c r="D6526" s="131">
        <v>16</v>
      </c>
      <c r="E6526" s="131" t="s">
        <v>1120</v>
      </c>
      <c r="F6526" s="767">
        <v>235559.82</v>
      </c>
      <c r="G6526" s="767">
        <v>0</v>
      </c>
      <c r="H6526" s="767">
        <v>235559.82</v>
      </c>
      <c r="I6526" s="768" t="s">
        <v>1767</v>
      </c>
    </row>
    <row r="6527" spans="1:9" x14ac:dyDescent="0.25">
      <c r="A6527" s="753"/>
      <c r="C6527" s="131" t="s">
        <v>376</v>
      </c>
      <c r="D6527" s="131">
        <v>16</v>
      </c>
      <c r="E6527" s="131" t="s">
        <v>376</v>
      </c>
      <c r="F6527" s="767">
        <v>-98510.95</v>
      </c>
      <c r="G6527" s="767">
        <v>0</v>
      </c>
      <c r="H6527" s="767">
        <v>-98510.95</v>
      </c>
      <c r="I6527" s="768" t="s">
        <v>2278</v>
      </c>
    </row>
    <row r="6528" spans="1:9" x14ac:dyDescent="0.25">
      <c r="A6528" s="753"/>
      <c r="C6528" s="131" t="s">
        <v>2279</v>
      </c>
      <c r="D6528" s="131">
        <v>16</v>
      </c>
      <c r="E6528" s="131" t="s">
        <v>2279</v>
      </c>
      <c r="F6528" s="767">
        <v>97615</v>
      </c>
      <c r="G6528" s="767">
        <v>0</v>
      </c>
      <c r="H6528" s="767">
        <v>97615</v>
      </c>
      <c r="I6528" s="768" t="s">
        <v>2280</v>
      </c>
    </row>
    <row r="6529" spans="1:9" x14ac:dyDescent="0.25">
      <c r="A6529" s="753"/>
      <c r="C6529" s="131" t="s">
        <v>378</v>
      </c>
      <c r="D6529" s="131">
        <v>16</v>
      </c>
      <c r="E6529" s="131" t="s">
        <v>378</v>
      </c>
      <c r="F6529" s="767">
        <v>-323316.75</v>
      </c>
      <c r="G6529" s="767">
        <v>0</v>
      </c>
      <c r="H6529" s="767">
        <v>-323316.75</v>
      </c>
      <c r="I6529" s="768" t="s">
        <v>1769</v>
      </c>
    </row>
    <row r="6530" spans="1:9" x14ac:dyDescent="0.25">
      <c r="A6530" s="753"/>
      <c r="C6530" s="131" t="s">
        <v>1121</v>
      </c>
      <c r="D6530" s="131">
        <v>16</v>
      </c>
      <c r="E6530" s="131" t="s">
        <v>1121</v>
      </c>
      <c r="F6530" s="767">
        <v>316233.65000000002</v>
      </c>
      <c r="G6530" s="767">
        <v>0</v>
      </c>
      <c r="H6530" s="767">
        <v>316233.65000000002</v>
      </c>
      <c r="I6530" s="768" t="s">
        <v>1770</v>
      </c>
    </row>
    <row r="6531" spans="1:9" x14ac:dyDescent="0.25">
      <c r="A6531" s="753"/>
      <c r="C6531" s="131" t="s">
        <v>233</v>
      </c>
      <c r="D6531" s="131">
        <v>16</v>
      </c>
      <c r="E6531" s="131" t="s">
        <v>233</v>
      </c>
      <c r="F6531" s="767">
        <v>-49508.31</v>
      </c>
      <c r="G6531" s="767">
        <v>0</v>
      </c>
      <c r="H6531" s="767">
        <v>-49508.31</v>
      </c>
      <c r="I6531" s="768" t="s">
        <v>1824</v>
      </c>
    </row>
    <row r="6532" spans="1:9" x14ac:dyDescent="0.25">
      <c r="A6532" s="753"/>
      <c r="C6532" s="131" t="s">
        <v>1135</v>
      </c>
      <c r="D6532" s="131">
        <v>16</v>
      </c>
      <c r="E6532" s="131" t="s">
        <v>1135</v>
      </c>
      <c r="F6532" s="767">
        <v>44968.42</v>
      </c>
      <c r="G6532" s="767">
        <v>0</v>
      </c>
      <c r="H6532" s="767">
        <v>44968.42</v>
      </c>
      <c r="I6532" s="768" t="s">
        <v>1825</v>
      </c>
    </row>
    <row r="6533" spans="1:9" x14ac:dyDescent="0.25">
      <c r="A6533" s="753"/>
      <c r="C6533" s="131" t="s">
        <v>234</v>
      </c>
      <c r="D6533" s="131">
        <v>16</v>
      </c>
      <c r="E6533" s="131" t="s">
        <v>234</v>
      </c>
      <c r="F6533" s="767">
        <v>-66243.350000000006</v>
      </c>
      <c r="G6533" s="767">
        <v>0</v>
      </c>
      <c r="H6533" s="767">
        <v>-66243.350000000006</v>
      </c>
      <c r="I6533" s="768" t="s">
        <v>1827</v>
      </c>
    </row>
    <row r="6534" spans="1:9" x14ac:dyDescent="0.25">
      <c r="A6534" s="753"/>
      <c r="C6534" s="131" t="s">
        <v>1138</v>
      </c>
      <c r="D6534" s="131">
        <v>16</v>
      </c>
      <c r="E6534" s="131" t="s">
        <v>1138</v>
      </c>
      <c r="F6534" s="767">
        <v>64976.959999999999</v>
      </c>
      <c r="G6534" s="767">
        <v>0</v>
      </c>
      <c r="H6534" s="767">
        <v>64976.959999999999</v>
      </c>
      <c r="I6534" s="768" t="s">
        <v>1828</v>
      </c>
    </row>
    <row r="6535" spans="1:9" x14ac:dyDescent="0.25">
      <c r="A6535" s="753"/>
      <c r="C6535" s="131" t="s">
        <v>385</v>
      </c>
      <c r="D6535" s="131">
        <v>16</v>
      </c>
      <c r="E6535" s="131" t="s">
        <v>385</v>
      </c>
      <c r="F6535" s="767">
        <v>-88209.5</v>
      </c>
      <c r="G6535" s="767">
        <v>0</v>
      </c>
      <c r="H6535" s="767">
        <v>-88209.5</v>
      </c>
      <c r="I6535" s="768" t="s">
        <v>2283</v>
      </c>
    </row>
    <row r="6536" spans="1:9" x14ac:dyDescent="0.25">
      <c r="A6536" s="753"/>
      <c r="C6536" s="131" t="s">
        <v>1136</v>
      </c>
      <c r="D6536" s="131">
        <v>16</v>
      </c>
      <c r="E6536" s="131" t="s">
        <v>1136</v>
      </c>
      <c r="F6536" s="767">
        <v>84914.34</v>
      </c>
      <c r="G6536" s="767">
        <v>0</v>
      </c>
      <c r="H6536" s="767">
        <v>84914.34</v>
      </c>
      <c r="I6536" s="768" t="s">
        <v>1829</v>
      </c>
    </row>
    <row r="6537" spans="1:9" x14ac:dyDescent="0.25">
      <c r="A6537" s="753"/>
      <c r="C6537" s="131" t="s">
        <v>100</v>
      </c>
      <c r="D6537" s="131">
        <v>16</v>
      </c>
      <c r="E6537" s="131" t="s">
        <v>100</v>
      </c>
      <c r="F6537" s="767">
        <v>-63527.8</v>
      </c>
      <c r="G6537" s="767">
        <v>0</v>
      </c>
      <c r="H6537" s="767">
        <v>-63527.8</v>
      </c>
      <c r="I6537" s="768" t="s">
        <v>1831</v>
      </c>
    </row>
    <row r="6538" spans="1:9" x14ac:dyDescent="0.25">
      <c r="A6538" s="753"/>
      <c r="C6538" s="131" t="s">
        <v>1142</v>
      </c>
      <c r="D6538" s="131">
        <v>16</v>
      </c>
      <c r="E6538" s="131" t="s">
        <v>1142</v>
      </c>
      <c r="F6538" s="767">
        <v>62923.61</v>
      </c>
      <c r="G6538" s="767">
        <v>0</v>
      </c>
      <c r="H6538" s="767">
        <v>62923.61</v>
      </c>
      <c r="I6538" s="768" t="s">
        <v>1832</v>
      </c>
    </row>
    <row r="6539" spans="1:9" x14ac:dyDescent="0.25">
      <c r="A6539" s="753"/>
      <c r="C6539" s="131" t="s">
        <v>255</v>
      </c>
      <c r="D6539" s="131">
        <v>16</v>
      </c>
      <c r="E6539" s="131" t="s">
        <v>255</v>
      </c>
      <c r="F6539" s="767">
        <v>-295643.12</v>
      </c>
      <c r="G6539" s="767">
        <v>0</v>
      </c>
      <c r="H6539" s="767">
        <v>-295643.12</v>
      </c>
      <c r="I6539" s="768" t="s">
        <v>1833</v>
      </c>
    </row>
    <row r="6540" spans="1:9" x14ac:dyDescent="0.25">
      <c r="A6540" s="753"/>
      <c r="C6540" s="131" t="s">
        <v>1145</v>
      </c>
      <c r="D6540" s="131">
        <v>16</v>
      </c>
      <c r="E6540" s="131" t="s">
        <v>1145</v>
      </c>
      <c r="F6540" s="767">
        <v>278307.76</v>
      </c>
      <c r="G6540" s="767">
        <v>0</v>
      </c>
      <c r="H6540" s="767">
        <v>278307.76</v>
      </c>
      <c r="I6540" s="768" t="s">
        <v>1833</v>
      </c>
    </row>
    <row r="6541" spans="1:9" x14ac:dyDescent="0.25">
      <c r="A6541" s="753"/>
      <c r="C6541" s="131" t="s">
        <v>101</v>
      </c>
      <c r="D6541" s="131">
        <v>16</v>
      </c>
      <c r="E6541" s="131" t="s">
        <v>101</v>
      </c>
      <c r="F6541" s="767">
        <v>-80066.53</v>
      </c>
      <c r="G6541" s="767">
        <v>0</v>
      </c>
      <c r="H6541" s="767">
        <v>-80066.53</v>
      </c>
      <c r="I6541" s="768" t="s">
        <v>1834</v>
      </c>
    </row>
    <row r="6542" spans="1:9" x14ac:dyDescent="0.25">
      <c r="A6542" s="753"/>
      <c r="C6542" s="131" t="s">
        <v>1147</v>
      </c>
      <c r="D6542" s="131">
        <v>16</v>
      </c>
      <c r="E6542" s="131" t="s">
        <v>1147</v>
      </c>
      <c r="F6542" s="767">
        <v>76375.27</v>
      </c>
      <c r="G6542" s="767">
        <v>0</v>
      </c>
      <c r="H6542" s="767">
        <v>76375.27</v>
      </c>
      <c r="I6542" s="768" t="s">
        <v>1834</v>
      </c>
    </row>
    <row r="6543" spans="1:9" x14ac:dyDescent="0.25">
      <c r="A6543" s="753"/>
      <c r="C6543" s="131" t="s">
        <v>235</v>
      </c>
      <c r="D6543" s="131">
        <v>16</v>
      </c>
      <c r="E6543" s="131" t="s">
        <v>235</v>
      </c>
      <c r="F6543" s="767">
        <v>0</v>
      </c>
      <c r="G6543" s="767">
        <v>-181349.96</v>
      </c>
      <c r="H6543" s="767">
        <v>-181349.96</v>
      </c>
      <c r="I6543" s="768" t="s">
        <v>2286</v>
      </c>
    </row>
    <row r="6544" spans="1:9" x14ac:dyDescent="0.25">
      <c r="A6544" s="753"/>
      <c r="C6544" s="131" t="s">
        <v>2287</v>
      </c>
      <c r="D6544" s="131">
        <v>16</v>
      </c>
      <c r="E6544" s="131" t="s">
        <v>2287</v>
      </c>
      <c r="F6544" s="767">
        <v>0</v>
      </c>
      <c r="G6544" s="767">
        <v>175112.67</v>
      </c>
      <c r="H6544" s="767">
        <v>175112.67</v>
      </c>
      <c r="I6544" s="768" t="s">
        <v>2288</v>
      </c>
    </row>
    <row r="6545" spans="1:9" x14ac:dyDescent="0.25">
      <c r="A6545" s="753"/>
      <c r="C6545" s="131" t="s">
        <v>364</v>
      </c>
      <c r="D6545" s="131">
        <v>16</v>
      </c>
      <c r="E6545" s="131" t="s">
        <v>364</v>
      </c>
      <c r="F6545" s="767">
        <v>-120423.5</v>
      </c>
      <c r="G6545" s="767">
        <v>-107635.36</v>
      </c>
      <c r="H6545" s="767">
        <v>-228058.86</v>
      </c>
      <c r="I6545" s="768" t="s">
        <v>2291</v>
      </c>
    </row>
    <row r="6546" spans="1:9" x14ac:dyDescent="0.25">
      <c r="A6546" s="753"/>
      <c r="C6546" s="131" t="s">
        <v>2292</v>
      </c>
      <c r="D6546" s="131">
        <v>16</v>
      </c>
      <c r="E6546" s="131" t="s">
        <v>2292</v>
      </c>
      <c r="F6546" s="767">
        <v>111575</v>
      </c>
      <c r="G6546" s="767">
        <v>100537.06</v>
      </c>
      <c r="H6546" s="767">
        <v>212112.06</v>
      </c>
      <c r="I6546" s="768" t="s">
        <v>2293</v>
      </c>
    </row>
    <row r="6547" spans="1:9" x14ac:dyDescent="0.25">
      <c r="A6547" s="753"/>
      <c r="C6547" s="131" t="s">
        <v>371</v>
      </c>
      <c r="D6547" s="131">
        <v>16</v>
      </c>
      <c r="E6547" s="131" t="s">
        <v>371</v>
      </c>
      <c r="F6547" s="767">
        <v>-106923.5</v>
      </c>
      <c r="G6547" s="767">
        <v>0</v>
      </c>
      <c r="H6547" s="767">
        <v>-106923.5</v>
      </c>
      <c r="I6547" s="768" t="s">
        <v>1836</v>
      </c>
    </row>
    <row r="6548" spans="1:9" x14ac:dyDescent="0.25">
      <c r="A6548" s="753"/>
      <c r="C6548" s="131" t="s">
        <v>1152</v>
      </c>
      <c r="D6548" s="131">
        <v>16</v>
      </c>
      <c r="E6548" s="131" t="s">
        <v>1152</v>
      </c>
      <c r="F6548" s="767">
        <v>102290.17</v>
      </c>
      <c r="G6548" s="767">
        <v>0</v>
      </c>
      <c r="H6548" s="767">
        <v>102290.17</v>
      </c>
      <c r="I6548" s="768" t="s">
        <v>1837</v>
      </c>
    </row>
    <row r="6549" spans="1:9" x14ac:dyDescent="0.25">
      <c r="A6549" s="753"/>
      <c r="C6549" s="131" t="s">
        <v>0</v>
      </c>
      <c r="D6549" s="131">
        <v>16</v>
      </c>
      <c r="E6549" s="131" t="s">
        <v>0</v>
      </c>
      <c r="F6549" s="767">
        <v>-90273.5</v>
      </c>
      <c r="G6549" s="767">
        <v>0</v>
      </c>
      <c r="H6549" s="767">
        <v>-90273.5</v>
      </c>
      <c r="I6549" s="768" t="s">
        <v>1839</v>
      </c>
    </row>
    <row r="6550" spans="1:9" x14ac:dyDescent="0.25">
      <c r="A6550" s="753"/>
      <c r="C6550" s="131" t="s">
        <v>1117</v>
      </c>
      <c r="D6550" s="131">
        <v>16</v>
      </c>
      <c r="E6550" s="131" t="s">
        <v>1117</v>
      </c>
      <c r="F6550" s="767">
        <v>82763.5</v>
      </c>
      <c r="G6550" s="767">
        <v>0</v>
      </c>
      <c r="H6550" s="767">
        <v>82763.5</v>
      </c>
      <c r="I6550" s="768" t="s">
        <v>1840</v>
      </c>
    </row>
    <row r="6551" spans="1:9" x14ac:dyDescent="0.25">
      <c r="A6551" s="753"/>
      <c r="C6551" s="131" t="s">
        <v>388</v>
      </c>
      <c r="D6551" s="131">
        <v>16</v>
      </c>
      <c r="E6551" s="131" t="s">
        <v>388</v>
      </c>
      <c r="F6551" s="767">
        <v>-488096.67</v>
      </c>
      <c r="G6551" s="767">
        <v>-138273.37</v>
      </c>
      <c r="H6551" s="767">
        <v>-626370.04</v>
      </c>
      <c r="I6551" s="768" t="s">
        <v>1842</v>
      </c>
    </row>
    <row r="6552" spans="1:9" x14ac:dyDescent="0.25">
      <c r="A6552" s="753"/>
      <c r="C6552" s="131" t="s">
        <v>1157</v>
      </c>
      <c r="D6552" s="131">
        <v>16</v>
      </c>
      <c r="E6552" s="131" t="s">
        <v>1157</v>
      </c>
      <c r="F6552" s="767">
        <v>453839.9</v>
      </c>
      <c r="G6552" s="767">
        <v>126082.57</v>
      </c>
      <c r="H6552" s="767">
        <v>579922.47</v>
      </c>
      <c r="I6552" s="768" t="s">
        <v>1843</v>
      </c>
    </row>
    <row r="6553" spans="1:9" x14ac:dyDescent="0.25">
      <c r="A6553" s="753"/>
      <c r="C6553" s="131" t="s">
        <v>372</v>
      </c>
      <c r="D6553" s="131">
        <v>16</v>
      </c>
      <c r="E6553" s="131" t="s">
        <v>372</v>
      </c>
      <c r="F6553" s="767">
        <v>-1072320</v>
      </c>
      <c r="G6553" s="767">
        <v>-324698.42</v>
      </c>
      <c r="H6553" s="767">
        <v>-1397018.42</v>
      </c>
      <c r="I6553" s="768" t="s">
        <v>1845</v>
      </c>
    </row>
    <row r="6554" spans="1:9" x14ac:dyDescent="0.25">
      <c r="A6554" s="753"/>
      <c r="C6554" s="131" t="s">
        <v>1159</v>
      </c>
      <c r="D6554" s="131">
        <v>16</v>
      </c>
      <c r="E6554" s="131" t="s">
        <v>1159</v>
      </c>
      <c r="F6554" s="767">
        <v>1004366.9</v>
      </c>
      <c r="G6554" s="767">
        <v>299603.12</v>
      </c>
      <c r="H6554" s="767">
        <v>1303970.02</v>
      </c>
      <c r="I6554" s="768" t="s">
        <v>1846</v>
      </c>
    </row>
    <row r="6555" spans="1:9" x14ac:dyDescent="0.25">
      <c r="A6555" s="753"/>
      <c r="C6555" s="131" t="s">
        <v>389</v>
      </c>
      <c r="D6555" s="131">
        <v>16</v>
      </c>
      <c r="E6555" s="131" t="s">
        <v>389</v>
      </c>
      <c r="F6555" s="767">
        <v>-160941.5</v>
      </c>
      <c r="G6555" s="767">
        <v>0</v>
      </c>
      <c r="H6555" s="767">
        <v>-160941.5</v>
      </c>
      <c r="I6555" s="768" t="s">
        <v>2296</v>
      </c>
    </row>
    <row r="6556" spans="1:9" x14ac:dyDescent="0.25">
      <c r="A6556" s="753"/>
      <c r="C6556" s="131" t="s">
        <v>2297</v>
      </c>
      <c r="D6556" s="131">
        <v>16</v>
      </c>
      <c r="E6556" s="131" t="s">
        <v>2297</v>
      </c>
      <c r="F6556" s="767">
        <v>156088.57999999999</v>
      </c>
      <c r="G6556" s="767">
        <v>0</v>
      </c>
      <c r="H6556" s="767">
        <v>156088.57999999999</v>
      </c>
      <c r="I6556" s="768" t="s">
        <v>2298</v>
      </c>
    </row>
    <row r="6557" spans="1:9" x14ac:dyDescent="0.25">
      <c r="A6557" s="753"/>
      <c r="C6557" s="131" t="s">
        <v>373</v>
      </c>
      <c r="D6557" s="131">
        <v>16</v>
      </c>
      <c r="E6557" s="131" t="s">
        <v>373</v>
      </c>
      <c r="F6557" s="767">
        <v>-345515.77</v>
      </c>
      <c r="G6557" s="767">
        <v>0</v>
      </c>
      <c r="H6557" s="767">
        <v>-345515.77</v>
      </c>
      <c r="I6557" s="768" t="s">
        <v>2301</v>
      </c>
    </row>
    <row r="6558" spans="1:9" x14ac:dyDescent="0.25">
      <c r="A6558" s="753"/>
      <c r="C6558" s="131" t="s">
        <v>2302</v>
      </c>
      <c r="D6558" s="131">
        <v>16</v>
      </c>
      <c r="E6558" s="131" t="s">
        <v>2302</v>
      </c>
      <c r="F6558" s="767">
        <v>339379.44</v>
      </c>
      <c r="G6558" s="767">
        <v>0</v>
      </c>
      <c r="H6558" s="767">
        <v>339379.44</v>
      </c>
      <c r="I6558" s="768" t="s">
        <v>2303</v>
      </c>
    </row>
    <row r="6559" spans="1:9" x14ac:dyDescent="0.25">
      <c r="A6559" s="753"/>
      <c r="C6559" s="131" t="s">
        <v>365</v>
      </c>
      <c r="D6559" s="131">
        <v>16</v>
      </c>
      <c r="E6559" s="131" t="s">
        <v>365</v>
      </c>
      <c r="F6559" s="767">
        <v>-242245.5</v>
      </c>
      <c r="G6559" s="767">
        <v>0</v>
      </c>
      <c r="H6559" s="767">
        <v>-242245.5</v>
      </c>
      <c r="I6559" s="768" t="s">
        <v>1850</v>
      </c>
    </row>
    <row r="6560" spans="1:9" x14ac:dyDescent="0.25">
      <c r="A6560" s="753"/>
      <c r="C6560" s="131" t="s">
        <v>365</v>
      </c>
      <c r="D6560" s="131">
        <v>16</v>
      </c>
      <c r="E6560" s="131" t="s">
        <v>1139</v>
      </c>
      <c r="F6560" s="767">
        <v>-72260.61</v>
      </c>
      <c r="G6560" s="767">
        <v>0</v>
      </c>
      <c r="H6560" s="767">
        <v>-72260.61</v>
      </c>
      <c r="I6560" s="768" t="s">
        <v>1851</v>
      </c>
    </row>
    <row r="6561" spans="1:9" x14ac:dyDescent="0.25">
      <c r="A6561" s="753"/>
      <c r="C6561" s="131" t="s">
        <v>1161</v>
      </c>
      <c r="D6561" s="131">
        <v>16</v>
      </c>
      <c r="E6561" s="131" t="s">
        <v>1161</v>
      </c>
      <c r="F6561" s="767">
        <v>225357.57</v>
      </c>
      <c r="G6561" s="767">
        <v>0</v>
      </c>
      <c r="H6561" s="767">
        <v>225357.57</v>
      </c>
      <c r="I6561" s="768" t="s">
        <v>1852</v>
      </c>
    </row>
    <row r="6562" spans="1:9" x14ac:dyDescent="0.25">
      <c r="A6562" s="753"/>
      <c r="C6562" s="131" t="s">
        <v>1161</v>
      </c>
      <c r="D6562" s="131">
        <v>16</v>
      </c>
      <c r="E6562" s="131" t="s">
        <v>1140</v>
      </c>
      <c r="F6562" s="767">
        <v>65199.61</v>
      </c>
      <c r="G6562" s="767">
        <v>0</v>
      </c>
      <c r="H6562" s="767">
        <v>65199.61</v>
      </c>
      <c r="I6562" s="768" t="s">
        <v>1853</v>
      </c>
    </row>
    <row r="6563" spans="1:9" x14ac:dyDescent="0.25">
      <c r="A6563" s="753"/>
      <c r="C6563" s="131" t="s">
        <v>416</v>
      </c>
      <c r="D6563" s="131">
        <v>16</v>
      </c>
      <c r="E6563" s="131" t="s">
        <v>416</v>
      </c>
      <c r="F6563" s="767">
        <v>-97623.5</v>
      </c>
      <c r="G6563" s="767">
        <v>0</v>
      </c>
      <c r="H6563" s="767">
        <v>-97623.5</v>
      </c>
      <c r="I6563" s="768" t="s">
        <v>1854</v>
      </c>
    </row>
    <row r="6564" spans="1:9" x14ac:dyDescent="0.25">
      <c r="A6564" s="753"/>
      <c r="C6564" s="131" t="s">
        <v>1163</v>
      </c>
      <c r="D6564" s="131">
        <v>16</v>
      </c>
      <c r="E6564" s="131" t="s">
        <v>1163</v>
      </c>
      <c r="F6564" s="767">
        <v>90757.33</v>
      </c>
      <c r="G6564" s="767">
        <v>0</v>
      </c>
      <c r="H6564" s="767">
        <v>90757.33</v>
      </c>
      <c r="I6564" s="768" t="s">
        <v>1854</v>
      </c>
    </row>
    <row r="6565" spans="1:9" x14ac:dyDescent="0.25">
      <c r="A6565" s="753"/>
      <c r="C6565" s="131" t="s">
        <v>256</v>
      </c>
      <c r="D6565" s="131">
        <v>16</v>
      </c>
      <c r="E6565" s="131" t="s">
        <v>256</v>
      </c>
      <c r="F6565" s="767">
        <v>-121994.74</v>
      </c>
      <c r="G6565" s="767">
        <v>0</v>
      </c>
      <c r="H6565" s="767">
        <v>-121994.74</v>
      </c>
      <c r="I6565" s="768" t="s">
        <v>1856</v>
      </c>
    </row>
    <row r="6566" spans="1:9" x14ac:dyDescent="0.25">
      <c r="A6566" s="753"/>
      <c r="C6566" s="131" t="s">
        <v>1165</v>
      </c>
      <c r="D6566" s="131">
        <v>16</v>
      </c>
      <c r="E6566" s="131" t="s">
        <v>1165</v>
      </c>
      <c r="F6566" s="767">
        <v>116172.84</v>
      </c>
      <c r="G6566" s="767">
        <v>0</v>
      </c>
      <c r="H6566" s="767">
        <v>116172.84</v>
      </c>
      <c r="I6566" s="768" t="s">
        <v>1857</v>
      </c>
    </row>
    <row r="6567" spans="1:9" x14ac:dyDescent="0.25">
      <c r="A6567" s="753"/>
      <c r="C6567" s="131" t="s">
        <v>366</v>
      </c>
      <c r="D6567" s="131">
        <v>16</v>
      </c>
      <c r="E6567" s="131" t="s">
        <v>366</v>
      </c>
      <c r="F6567" s="767">
        <v>-133336.91</v>
      </c>
      <c r="G6567" s="767">
        <v>0</v>
      </c>
      <c r="H6567" s="767">
        <v>-133336.91</v>
      </c>
      <c r="I6567" s="768" t="s">
        <v>1859</v>
      </c>
    </row>
    <row r="6568" spans="1:9" x14ac:dyDescent="0.25">
      <c r="A6568" s="753"/>
      <c r="C6568" s="131" t="s">
        <v>1155</v>
      </c>
      <c r="D6568" s="131">
        <v>16</v>
      </c>
      <c r="E6568" s="131" t="s">
        <v>1155</v>
      </c>
      <c r="F6568" s="767">
        <v>124643.41</v>
      </c>
      <c r="G6568" s="767">
        <v>0</v>
      </c>
      <c r="H6568" s="767">
        <v>124643.41</v>
      </c>
      <c r="I6568" s="768" t="s">
        <v>1860</v>
      </c>
    </row>
    <row r="6569" spans="1:9" x14ac:dyDescent="0.25">
      <c r="A6569" s="753"/>
      <c r="C6569" s="131" t="s">
        <v>391</v>
      </c>
      <c r="D6569" s="131">
        <v>16</v>
      </c>
      <c r="E6569" s="131" t="s">
        <v>391</v>
      </c>
      <c r="F6569" s="767">
        <v>-227978.65</v>
      </c>
      <c r="G6569" s="767">
        <v>0</v>
      </c>
      <c r="H6569" s="767">
        <v>-227978.65</v>
      </c>
      <c r="I6569" s="768" t="s">
        <v>1862</v>
      </c>
    </row>
    <row r="6570" spans="1:9" x14ac:dyDescent="0.25">
      <c r="A6570" s="753"/>
      <c r="C6570" s="131" t="s">
        <v>1168</v>
      </c>
      <c r="D6570" s="131">
        <v>16</v>
      </c>
      <c r="E6570" s="131" t="s">
        <v>1168</v>
      </c>
      <c r="F6570" s="767">
        <v>216450.03</v>
      </c>
      <c r="G6570" s="767">
        <v>0</v>
      </c>
      <c r="H6570" s="767">
        <v>216450.03</v>
      </c>
      <c r="I6570" s="768" t="s">
        <v>1863</v>
      </c>
    </row>
    <row r="6571" spans="1:9" x14ac:dyDescent="0.25">
      <c r="A6571" s="753"/>
      <c r="C6571" s="131">
        <v>415</v>
      </c>
      <c r="D6571" s="131">
        <v>16</v>
      </c>
      <c r="E6571" s="131">
        <v>415</v>
      </c>
      <c r="F6571" s="767">
        <v>0</v>
      </c>
      <c r="G6571" s="767">
        <v>-140922.95000000001</v>
      </c>
      <c r="H6571" s="767">
        <v>-140922.95000000001</v>
      </c>
      <c r="I6571" s="768" t="s">
        <v>2306</v>
      </c>
    </row>
    <row r="6572" spans="1:9" x14ac:dyDescent="0.25">
      <c r="A6572" s="753"/>
      <c r="C6572" s="131">
        <v>615</v>
      </c>
      <c r="D6572" s="131">
        <v>16</v>
      </c>
      <c r="E6572" s="131">
        <v>615</v>
      </c>
      <c r="F6572" s="767">
        <v>0</v>
      </c>
      <c r="G6572" s="767">
        <v>135011.85</v>
      </c>
      <c r="H6572" s="767">
        <v>135011.85</v>
      </c>
      <c r="I6572" s="768" t="s">
        <v>2307</v>
      </c>
    </row>
    <row r="6573" spans="1:9" x14ac:dyDescent="0.25">
      <c r="A6573" s="753"/>
      <c r="C6573" s="131" t="s">
        <v>394</v>
      </c>
      <c r="D6573" s="131">
        <v>16</v>
      </c>
      <c r="E6573" s="131" t="s">
        <v>394</v>
      </c>
      <c r="F6573" s="767">
        <v>-118545.13</v>
      </c>
      <c r="G6573" s="767">
        <v>0</v>
      </c>
      <c r="H6573" s="767">
        <v>-118545.13</v>
      </c>
      <c r="I6573" s="768" t="s">
        <v>1865</v>
      </c>
    </row>
    <row r="6574" spans="1:9" x14ac:dyDescent="0.25">
      <c r="A6574" s="753"/>
      <c r="C6574" s="131" t="s">
        <v>1122</v>
      </c>
      <c r="D6574" s="131">
        <v>16</v>
      </c>
      <c r="E6574" s="131" t="s">
        <v>1122</v>
      </c>
      <c r="F6574" s="767">
        <v>118545.13</v>
      </c>
      <c r="G6574" s="767">
        <v>0</v>
      </c>
      <c r="H6574" s="767">
        <v>118545.13</v>
      </c>
      <c r="I6574" s="768" t="s">
        <v>1866</v>
      </c>
    </row>
    <row r="6575" spans="1:9" x14ac:dyDescent="0.25">
      <c r="A6575" s="753"/>
      <c r="C6575" s="131" t="s">
        <v>292</v>
      </c>
      <c r="D6575" s="131">
        <v>16</v>
      </c>
      <c r="E6575" s="131" t="s">
        <v>1080</v>
      </c>
      <c r="F6575" s="767">
        <v>-128273.5</v>
      </c>
      <c r="G6575" s="767">
        <v>0</v>
      </c>
      <c r="H6575" s="767">
        <v>-128273.5</v>
      </c>
      <c r="I6575" s="768" t="s">
        <v>1868</v>
      </c>
    </row>
    <row r="6576" spans="1:9" x14ac:dyDescent="0.25">
      <c r="A6576" s="753"/>
      <c r="C6576" s="131" t="s">
        <v>1174</v>
      </c>
      <c r="D6576" s="131">
        <v>16</v>
      </c>
      <c r="E6576" s="131" t="s">
        <v>1081</v>
      </c>
      <c r="F6576" s="767">
        <v>115038.03</v>
      </c>
      <c r="G6576" s="767">
        <v>0</v>
      </c>
      <c r="H6576" s="767">
        <v>115038.03</v>
      </c>
      <c r="I6576" s="768" t="s">
        <v>1869</v>
      </c>
    </row>
    <row r="6577" spans="1:9" x14ac:dyDescent="0.25">
      <c r="A6577" s="753"/>
      <c r="C6577" s="131" t="s">
        <v>297</v>
      </c>
      <c r="D6577" s="131">
        <v>16</v>
      </c>
      <c r="E6577" s="131" t="s">
        <v>297</v>
      </c>
      <c r="F6577" s="767">
        <v>-156342</v>
      </c>
      <c r="G6577" s="767">
        <v>0</v>
      </c>
      <c r="H6577" s="767">
        <v>-156342</v>
      </c>
      <c r="I6577" s="768" t="s">
        <v>1871</v>
      </c>
    </row>
    <row r="6578" spans="1:9" x14ac:dyDescent="0.25">
      <c r="A6578" s="753"/>
      <c r="C6578" s="131" t="s">
        <v>1083</v>
      </c>
      <c r="D6578" s="131">
        <v>16</v>
      </c>
      <c r="E6578" s="131" t="s">
        <v>1083</v>
      </c>
      <c r="F6578" s="767">
        <v>147709.57999999999</v>
      </c>
      <c r="G6578" s="767">
        <v>0</v>
      </c>
      <c r="H6578" s="767">
        <v>147709.57999999999</v>
      </c>
      <c r="I6578" s="768" t="s">
        <v>1872</v>
      </c>
    </row>
    <row r="6579" spans="1:9" x14ac:dyDescent="0.25">
      <c r="A6579" s="753"/>
      <c r="C6579" s="131" t="s">
        <v>299</v>
      </c>
      <c r="D6579" s="131">
        <v>16</v>
      </c>
      <c r="E6579" s="131" t="s">
        <v>299</v>
      </c>
      <c r="F6579" s="767">
        <v>-363200</v>
      </c>
      <c r="G6579" s="767">
        <v>0</v>
      </c>
      <c r="H6579" s="767">
        <v>-363200</v>
      </c>
      <c r="I6579" s="768" t="s">
        <v>1874</v>
      </c>
    </row>
    <row r="6580" spans="1:9" x14ac:dyDescent="0.25">
      <c r="A6580" s="753"/>
      <c r="C6580" s="131" t="s">
        <v>1180</v>
      </c>
      <c r="D6580" s="131">
        <v>16</v>
      </c>
      <c r="E6580" s="131" t="s">
        <v>1180</v>
      </c>
      <c r="F6580" s="767">
        <v>343503.43</v>
      </c>
      <c r="G6580" s="767">
        <v>0</v>
      </c>
      <c r="H6580" s="767">
        <v>343503.43</v>
      </c>
      <c r="I6580" s="768" t="s">
        <v>1875</v>
      </c>
    </row>
    <row r="6581" spans="1:9" x14ac:dyDescent="0.25">
      <c r="A6581" s="753"/>
      <c r="C6581" s="131">
        <v>409</v>
      </c>
      <c r="D6581" s="131">
        <v>16</v>
      </c>
      <c r="E6581" s="131">
        <v>409</v>
      </c>
      <c r="F6581" s="767">
        <v>-363098.13</v>
      </c>
      <c r="G6581" s="767">
        <v>-188223.59</v>
      </c>
      <c r="H6581" s="767">
        <v>-551321.72</v>
      </c>
      <c r="I6581" s="768" t="s">
        <v>1725</v>
      </c>
    </row>
    <row r="6582" spans="1:9" x14ac:dyDescent="0.25">
      <c r="A6582" s="753"/>
      <c r="C6582" s="131">
        <v>609</v>
      </c>
      <c r="D6582" s="131">
        <v>16</v>
      </c>
      <c r="E6582" s="131">
        <v>609</v>
      </c>
      <c r="F6582" s="767">
        <v>341003.75</v>
      </c>
      <c r="G6582" s="767">
        <v>179636.18</v>
      </c>
      <c r="H6582" s="767">
        <v>520639.93</v>
      </c>
      <c r="I6582" s="768" t="s">
        <v>1725</v>
      </c>
    </row>
    <row r="6583" spans="1:9" x14ac:dyDescent="0.25">
      <c r="A6583" s="753"/>
      <c r="C6583" s="131" t="s">
        <v>1102</v>
      </c>
      <c r="D6583" s="131">
        <v>16</v>
      </c>
      <c r="E6583" s="131" t="s">
        <v>1102</v>
      </c>
      <c r="F6583" s="767">
        <v>-90100.5</v>
      </c>
      <c r="G6583" s="767">
        <v>-79723.5</v>
      </c>
      <c r="H6583" s="767">
        <v>-169824</v>
      </c>
      <c r="I6583" s="768" t="s">
        <v>1726</v>
      </c>
    </row>
    <row r="6584" spans="1:9" x14ac:dyDescent="0.25">
      <c r="A6584" s="753"/>
      <c r="C6584" s="131" t="s">
        <v>1103</v>
      </c>
      <c r="D6584" s="131">
        <v>16</v>
      </c>
      <c r="E6584" s="131" t="s">
        <v>1103</v>
      </c>
      <c r="F6584" s="767">
        <v>84965.15</v>
      </c>
      <c r="G6584" s="767">
        <v>74349.23</v>
      </c>
      <c r="H6584" s="767">
        <v>159314.38</v>
      </c>
      <c r="I6584" s="768" t="s">
        <v>1726</v>
      </c>
    </row>
    <row r="6585" spans="1:9" x14ac:dyDescent="0.25">
      <c r="A6585" s="753">
        <v>701928</v>
      </c>
      <c r="B6585" s="130">
        <v>4761</v>
      </c>
      <c r="E6585" s="131"/>
    </row>
    <row r="6586" spans="1:9" x14ac:dyDescent="0.25">
      <c r="A6586" s="753">
        <v>702618</v>
      </c>
      <c r="B6586" s="130">
        <v>0</v>
      </c>
      <c r="E6586" s="131"/>
    </row>
    <row r="6587" spans="1:9" x14ac:dyDescent="0.25">
      <c r="A6587" s="753">
        <v>702628</v>
      </c>
      <c r="B6587" s="130">
        <v>0</v>
      </c>
      <c r="E6587" s="131"/>
    </row>
    <row r="6588" spans="1:9" x14ac:dyDescent="0.25">
      <c r="A6588" s="753">
        <v>702912</v>
      </c>
      <c r="B6588" s="130">
        <v>24</v>
      </c>
      <c r="E6588" s="131"/>
    </row>
    <row r="6589" spans="1:9" x14ac:dyDescent="0.25">
      <c r="A6589" s="753">
        <v>702914</v>
      </c>
      <c r="B6589" s="130">
        <v>1963853</v>
      </c>
      <c r="E6589" s="131"/>
    </row>
    <row r="6590" spans="1:9" x14ac:dyDescent="0.25">
      <c r="A6590" s="753">
        <v>702916</v>
      </c>
      <c r="B6590" s="130">
        <v>191395</v>
      </c>
      <c r="C6590" s="131" t="s">
        <v>233</v>
      </c>
      <c r="D6590" s="131">
        <v>16</v>
      </c>
      <c r="E6590" s="131" t="s">
        <v>233</v>
      </c>
      <c r="F6590" s="767">
        <v>-49508.31</v>
      </c>
      <c r="G6590" s="767">
        <v>0</v>
      </c>
      <c r="H6590" s="767">
        <v>-49508.31</v>
      </c>
      <c r="I6590" s="768" t="s">
        <v>1824</v>
      </c>
    </row>
    <row r="6591" spans="1:9" x14ac:dyDescent="0.25">
      <c r="A6591" s="753"/>
      <c r="C6591" s="131" t="s">
        <v>1135</v>
      </c>
      <c r="D6591" s="131">
        <v>16</v>
      </c>
      <c r="E6591" s="131" t="s">
        <v>1135</v>
      </c>
      <c r="F6591" s="767">
        <v>44968.42</v>
      </c>
      <c r="G6591" s="767">
        <v>0</v>
      </c>
      <c r="H6591" s="767">
        <v>44968.42</v>
      </c>
      <c r="I6591" s="768" t="s">
        <v>1825</v>
      </c>
    </row>
    <row r="6592" spans="1:9" x14ac:dyDescent="0.25">
      <c r="A6592" s="753"/>
      <c r="C6592" s="131" t="s">
        <v>234</v>
      </c>
      <c r="D6592" s="131">
        <v>16</v>
      </c>
      <c r="E6592" s="131" t="s">
        <v>234</v>
      </c>
      <c r="F6592" s="767">
        <v>-66243.350000000006</v>
      </c>
      <c r="G6592" s="767">
        <v>0</v>
      </c>
      <c r="H6592" s="767">
        <v>-66243.350000000006</v>
      </c>
      <c r="I6592" s="768" t="s">
        <v>1827</v>
      </c>
    </row>
    <row r="6593" spans="1:9" x14ac:dyDescent="0.25">
      <c r="A6593" s="753"/>
      <c r="C6593" s="131" t="s">
        <v>1138</v>
      </c>
      <c r="D6593" s="131">
        <v>16</v>
      </c>
      <c r="E6593" s="131" t="s">
        <v>1138</v>
      </c>
      <c r="F6593" s="767">
        <v>64976.959999999999</v>
      </c>
      <c r="G6593" s="767">
        <v>0</v>
      </c>
      <c r="H6593" s="767">
        <v>64976.959999999999</v>
      </c>
      <c r="I6593" s="768" t="s">
        <v>1828</v>
      </c>
    </row>
    <row r="6594" spans="1:9" x14ac:dyDescent="0.25">
      <c r="A6594" s="753"/>
      <c r="C6594" s="131" t="s">
        <v>385</v>
      </c>
      <c r="D6594" s="131">
        <v>16</v>
      </c>
      <c r="E6594" s="131" t="s">
        <v>385</v>
      </c>
      <c r="F6594" s="767">
        <v>-88209.5</v>
      </c>
      <c r="G6594" s="767">
        <v>0</v>
      </c>
      <c r="H6594" s="767">
        <v>-88209.5</v>
      </c>
      <c r="I6594" s="768" t="s">
        <v>2283</v>
      </c>
    </row>
    <row r="6595" spans="1:9" x14ac:dyDescent="0.25">
      <c r="A6595" s="753"/>
      <c r="C6595" s="131" t="s">
        <v>1136</v>
      </c>
      <c r="D6595" s="131">
        <v>16</v>
      </c>
      <c r="E6595" s="131" t="s">
        <v>1136</v>
      </c>
      <c r="F6595" s="767">
        <v>84914.34</v>
      </c>
      <c r="G6595" s="767">
        <v>0</v>
      </c>
      <c r="H6595" s="767">
        <v>84914.34</v>
      </c>
      <c r="I6595" s="768" t="s">
        <v>1829</v>
      </c>
    </row>
    <row r="6596" spans="1:9" x14ac:dyDescent="0.25">
      <c r="A6596" s="753"/>
      <c r="C6596" s="131" t="s">
        <v>100</v>
      </c>
      <c r="D6596" s="131">
        <v>16</v>
      </c>
      <c r="E6596" s="131" t="s">
        <v>100</v>
      </c>
      <c r="F6596" s="767">
        <v>-63527.8</v>
      </c>
      <c r="G6596" s="767">
        <v>0</v>
      </c>
      <c r="H6596" s="767">
        <v>-63527.8</v>
      </c>
      <c r="I6596" s="768" t="s">
        <v>1831</v>
      </c>
    </row>
    <row r="6597" spans="1:9" x14ac:dyDescent="0.25">
      <c r="A6597" s="753"/>
      <c r="C6597" s="131" t="s">
        <v>1142</v>
      </c>
      <c r="D6597" s="131">
        <v>16</v>
      </c>
      <c r="E6597" s="131" t="s">
        <v>1142</v>
      </c>
      <c r="F6597" s="767">
        <v>62923.61</v>
      </c>
      <c r="G6597" s="767">
        <v>0</v>
      </c>
      <c r="H6597" s="767">
        <v>62923.61</v>
      </c>
      <c r="I6597" s="768" t="s">
        <v>1832</v>
      </c>
    </row>
    <row r="6598" spans="1:9" x14ac:dyDescent="0.25">
      <c r="A6598" s="753"/>
      <c r="C6598" s="131" t="s">
        <v>255</v>
      </c>
      <c r="D6598" s="131">
        <v>16</v>
      </c>
      <c r="E6598" s="131" t="s">
        <v>255</v>
      </c>
      <c r="F6598" s="767">
        <v>-295643.12</v>
      </c>
      <c r="G6598" s="767">
        <v>0</v>
      </c>
      <c r="H6598" s="767">
        <v>-295643.12</v>
      </c>
      <c r="I6598" s="768" t="s">
        <v>1833</v>
      </c>
    </row>
    <row r="6599" spans="1:9" x14ac:dyDescent="0.25">
      <c r="A6599" s="753"/>
      <c r="C6599" s="131" t="s">
        <v>1145</v>
      </c>
      <c r="D6599" s="131">
        <v>16</v>
      </c>
      <c r="E6599" s="131" t="s">
        <v>1145</v>
      </c>
      <c r="F6599" s="767">
        <v>278307.76</v>
      </c>
      <c r="G6599" s="767">
        <v>0</v>
      </c>
      <c r="H6599" s="767">
        <v>278307.76</v>
      </c>
      <c r="I6599" s="768" t="s">
        <v>1833</v>
      </c>
    </row>
    <row r="6600" spans="1:9" x14ac:dyDescent="0.25">
      <c r="A6600" s="753"/>
      <c r="C6600" s="131" t="s">
        <v>101</v>
      </c>
      <c r="D6600" s="131">
        <v>16</v>
      </c>
      <c r="E6600" s="131" t="s">
        <v>101</v>
      </c>
      <c r="F6600" s="767">
        <v>-80066.53</v>
      </c>
      <c r="G6600" s="767">
        <v>0</v>
      </c>
      <c r="H6600" s="767">
        <v>-80066.53</v>
      </c>
      <c r="I6600" s="768" t="s">
        <v>1834</v>
      </c>
    </row>
    <row r="6601" spans="1:9" x14ac:dyDescent="0.25">
      <c r="A6601" s="753"/>
      <c r="C6601" s="131" t="s">
        <v>1147</v>
      </c>
      <c r="D6601" s="131">
        <v>16</v>
      </c>
      <c r="E6601" s="131" t="s">
        <v>1147</v>
      </c>
      <c r="F6601" s="767">
        <v>76375.27</v>
      </c>
      <c r="G6601" s="767">
        <v>0</v>
      </c>
      <c r="H6601" s="767">
        <v>76375.27</v>
      </c>
      <c r="I6601" s="768" t="s">
        <v>1834</v>
      </c>
    </row>
    <row r="6602" spans="1:9" x14ac:dyDescent="0.25">
      <c r="A6602" s="753"/>
      <c r="C6602" s="131" t="s">
        <v>235</v>
      </c>
      <c r="D6602" s="131">
        <v>16</v>
      </c>
      <c r="E6602" s="131" t="s">
        <v>235</v>
      </c>
      <c r="F6602" s="767">
        <v>0</v>
      </c>
      <c r="G6602" s="767">
        <v>-181349.96</v>
      </c>
      <c r="H6602" s="767">
        <v>-181349.96</v>
      </c>
      <c r="I6602" s="768" t="s">
        <v>2286</v>
      </c>
    </row>
    <row r="6603" spans="1:9" x14ac:dyDescent="0.25">
      <c r="A6603" s="753"/>
      <c r="C6603" s="131" t="s">
        <v>2287</v>
      </c>
      <c r="D6603" s="131">
        <v>16</v>
      </c>
      <c r="E6603" s="131" t="s">
        <v>2287</v>
      </c>
      <c r="F6603" s="767">
        <v>0</v>
      </c>
      <c r="G6603" s="767">
        <v>175112.67</v>
      </c>
      <c r="H6603" s="767">
        <v>175112.67</v>
      </c>
      <c r="I6603" s="768" t="s">
        <v>2288</v>
      </c>
    </row>
    <row r="6604" spans="1:9" x14ac:dyDescent="0.25">
      <c r="A6604" s="753"/>
      <c r="C6604" s="131" t="s">
        <v>364</v>
      </c>
      <c r="D6604" s="131">
        <v>16</v>
      </c>
      <c r="E6604" s="131" t="s">
        <v>364</v>
      </c>
      <c r="F6604" s="767">
        <v>-120423.5</v>
      </c>
      <c r="G6604" s="767">
        <v>-107635.36</v>
      </c>
      <c r="H6604" s="767">
        <v>-228058.86</v>
      </c>
      <c r="I6604" s="768" t="s">
        <v>2291</v>
      </c>
    </row>
    <row r="6605" spans="1:9" x14ac:dyDescent="0.25">
      <c r="A6605" s="753"/>
      <c r="C6605" s="131" t="s">
        <v>2292</v>
      </c>
      <c r="D6605" s="131">
        <v>16</v>
      </c>
      <c r="E6605" s="131" t="s">
        <v>2292</v>
      </c>
      <c r="F6605" s="767">
        <v>111575</v>
      </c>
      <c r="G6605" s="767">
        <v>100537.06</v>
      </c>
      <c r="H6605" s="767">
        <v>212112.06</v>
      </c>
      <c r="I6605" s="768" t="s">
        <v>2293</v>
      </c>
    </row>
    <row r="6606" spans="1:9" x14ac:dyDescent="0.25">
      <c r="A6606" s="753"/>
      <c r="C6606" s="131" t="s">
        <v>371</v>
      </c>
      <c r="D6606" s="131">
        <v>16</v>
      </c>
      <c r="E6606" s="131" t="s">
        <v>371</v>
      </c>
      <c r="F6606" s="767">
        <v>-106923.5</v>
      </c>
      <c r="G6606" s="767">
        <v>0</v>
      </c>
      <c r="H6606" s="767">
        <v>-106923.5</v>
      </c>
      <c r="I6606" s="768" t="s">
        <v>1836</v>
      </c>
    </row>
    <row r="6607" spans="1:9" x14ac:dyDescent="0.25">
      <c r="A6607" s="753"/>
      <c r="C6607" s="131" t="s">
        <v>1152</v>
      </c>
      <c r="D6607" s="131">
        <v>16</v>
      </c>
      <c r="E6607" s="131" t="s">
        <v>1152</v>
      </c>
      <c r="F6607" s="767">
        <v>102290.17</v>
      </c>
      <c r="G6607" s="767">
        <v>0</v>
      </c>
      <c r="H6607" s="767">
        <v>102290.17</v>
      </c>
      <c r="I6607" s="768" t="s">
        <v>1837</v>
      </c>
    </row>
    <row r="6608" spans="1:9" x14ac:dyDescent="0.25">
      <c r="A6608" s="753"/>
      <c r="C6608" s="131" t="s">
        <v>0</v>
      </c>
      <c r="D6608" s="131">
        <v>16</v>
      </c>
      <c r="E6608" s="131" t="s">
        <v>0</v>
      </c>
      <c r="F6608" s="767">
        <v>-90273.5</v>
      </c>
      <c r="G6608" s="767">
        <v>0</v>
      </c>
      <c r="H6608" s="767">
        <v>-90273.5</v>
      </c>
      <c r="I6608" s="768" t="s">
        <v>1839</v>
      </c>
    </row>
    <row r="6609" spans="1:9" x14ac:dyDescent="0.25">
      <c r="A6609" s="753"/>
      <c r="C6609" s="131" t="s">
        <v>1117</v>
      </c>
      <c r="D6609" s="131">
        <v>16</v>
      </c>
      <c r="E6609" s="131" t="s">
        <v>1117</v>
      </c>
      <c r="F6609" s="767">
        <v>82763.5</v>
      </c>
      <c r="G6609" s="767">
        <v>0</v>
      </c>
      <c r="H6609" s="767">
        <v>82763.5</v>
      </c>
      <c r="I6609" s="768" t="s">
        <v>1840</v>
      </c>
    </row>
    <row r="6610" spans="1:9" x14ac:dyDescent="0.25">
      <c r="A6610" s="753"/>
      <c r="C6610" s="131" t="s">
        <v>388</v>
      </c>
      <c r="D6610" s="131">
        <v>16</v>
      </c>
      <c r="E6610" s="131" t="s">
        <v>388</v>
      </c>
      <c r="F6610" s="767">
        <v>-488096.67</v>
      </c>
      <c r="G6610" s="767">
        <v>-138273.37</v>
      </c>
      <c r="H6610" s="767">
        <v>-626370.04</v>
      </c>
      <c r="I6610" s="768" t="s">
        <v>1842</v>
      </c>
    </row>
    <row r="6611" spans="1:9" x14ac:dyDescent="0.25">
      <c r="A6611" s="753"/>
      <c r="C6611" s="131" t="s">
        <v>1157</v>
      </c>
      <c r="D6611" s="131">
        <v>16</v>
      </c>
      <c r="E6611" s="131" t="s">
        <v>1157</v>
      </c>
      <c r="F6611" s="767">
        <v>453839.9</v>
      </c>
      <c r="G6611" s="767">
        <v>126082.57</v>
      </c>
      <c r="H6611" s="767">
        <v>579922.47</v>
      </c>
      <c r="I6611" s="768" t="s">
        <v>1843</v>
      </c>
    </row>
    <row r="6612" spans="1:9" x14ac:dyDescent="0.25">
      <c r="A6612" s="753"/>
      <c r="C6612" s="131" t="s">
        <v>372</v>
      </c>
      <c r="D6612" s="131">
        <v>16</v>
      </c>
      <c r="E6612" s="131" t="s">
        <v>372</v>
      </c>
      <c r="F6612" s="767">
        <v>-1072320</v>
      </c>
      <c r="G6612" s="767">
        <v>-324698.42</v>
      </c>
      <c r="H6612" s="767">
        <v>-1397018.42</v>
      </c>
      <c r="I6612" s="768" t="s">
        <v>1845</v>
      </c>
    </row>
    <row r="6613" spans="1:9" x14ac:dyDescent="0.25">
      <c r="A6613" s="753"/>
      <c r="C6613" s="131" t="s">
        <v>1159</v>
      </c>
      <c r="D6613" s="131">
        <v>16</v>
      </c>
      <c r="E6613" s="131" t="s">
        <v>1159</v>
      </c>
      <c r="F6613" s="767">
        <v>1004366.9</v>
      </c>
      <c r="G6613" s="767">
        <v>299603.12</v>
      </c>
      <c r="H6613" s="767">
        <v>1303970.02</v>
      </c>
      <c r="I6613" s="768" t="s">
        <v>1846</v>
      </c>
    </row>
    <row r="6614" spans="1:9" x14ac:dyDescent="0.25">
      <c r="A6614" s="753"/>
      <c r="C6614" s="131" t="s">
        <v>389</v>
      </c>
      <c r="D6614" s="131">
        <v>16</v>
      </c>
      <c r="E6614" s="131" t="s">
        <v>389</v>
      </c>
      <c r="F6614" s="767">
        <v>-160941.5</v>
      </c>
      <c r="G6614" s="767">
        <v>0</v>
      </c>
      <c r="H6614" s="767">
        <v>-160941.5</v>
      </c>
      <c r="I6614" s="768" t="s">
        <v>2296</v>
      </c>
    </row>
    <row r="6615" spans="1:9" x14ac:dyDescent="0.25">
      <c r="A6615" s="753"/>
      <c r="C6615" s="131" t="s">
        <v>2297</v>
      </c>
      <c r="D6615" s="131">
        <v>16</v>
      </c>
      <c r="E6615" s="131" t="s">
        <v>2297</v>
      </c>
      <c r="F6615" s="767">
        <v>156088.57999999999</v>
      </c>
      <c r="G6615" s="767">
        <v>0</v>
      </c>
      <c r="H6615" s="767">
        <v>156088.57999999999</v>
      </c>
      <c r="I6615" s="768" t="s">
        <v>2298</v>
      </c>
    </row>
    <row r="6616" spans="1:9" x14ac:dyDescent="0.25">
      <c r="A6616" s="753"/>
      <c r="C6616" s="131" t="s">
        <v>373</v>
      </c>
      <c r="D6616" s="131">
        <v>16</v>
      </c>
      <c r="E6616" s="131" t="s">
        <v>373</v>
      </c>
      <c r="F6616" s="767">
        <v>-345515.77</v>
      </c>
      <c r="G6616" s="767">
        <v>0</v>
      </c>
      <c r="H6616" s="767">
        <v>-345515.77</v>
      </c>
      <c r="I6616" s="768" t="s">
        <v>2301</v>
      </c>
    </row>
    <row r="6617" spans="1:9" x14ac:dyDescent="0.25">
      <c r="A6617" s="753"/>
      <c r="C6617" s="131" t="s">
        <v>2302</v>
      </c>
      <c r="D6617" s="131">
        <v>16</v>
      </c>
      <c r="E6617" s="131" t="s">
        <v>2302</v>
      </c>
      <c r="F6617" s="767">
        <v>339379.44</v>
      </c>
      <c r="G6617" s="767">
        <v>0</v>
      </c>
      <c r="H6617" s="767">
        <v>339379.44</v>
      </c>
      <c r="I6617" s="768" t="s">
        <v>2303</v>
      </c>
    </row>
    <row r="6618" spans="1:9" x14ac:dyDescent="0.25">
      <c r="A6618" s="753"/>
      <c r="C6618" s="131" t="s">
        <v>365</v>
      </c>
      <c r="D6618" s="131">
        <v>16</v>
      </c>
      <c r="E6618" s="131" t="s">
        <v>365</v>
      </c>
      <c r="F6618" s="767">
        <v>-242245.5</v>
      </c>
      <c r="G6618" s="767">
        <v>0</v>
      </c>
      <c r="H6618" s="767">
        <v>-242245.5</v>
      </c>
      <c r="I6618" s="768" t="s">
        <v>1850</v>
      </c>
    </row>
    <row r="6619" spans="1:9" x14ac:dyDescent="0.25">
      <c r="A6619" s="753"/>
      <c r="C6619" s="131" t="s">
        <v>365</v>
      </c>
      <c r="D6619" s="131">
        <v>16</v>
      </c>
      <c r="E6619" s="131" t="s">
        <v>1139</v>
      </c>
      <c r="F6619" s="767">
        <v>-72260.61</v>
      </c>
      <c r="G6619" s="767">
        <v>0</v>
      </c>
      <c r="H6619" s="767">
        <v>-72260.61</v>
      </c>
      <c r="I6619" s="768" t="s">
        <v>1851</v>
      </c>
    </row>
    <row r="6620" spans="1:9" x14ac:dyDescent="0.25">
      <c r="A6620" s="753"/>
      <c r="C6620" s="131" t="s">
        <v>1161</v>
      </c>
      <c r="D6620" s="131">
        <v>16</v>
      </c>
      <c r="E6620" s="131" t="s">
        <v>1161</v>
      </c>
      <c r="F6620" s="767">
        <v>225357.57</v>
      </c>
      <c r="G6620" s="767">
        <v>0</v>
      </c>
      <c r="H6620" s="767">
        <v>225357.57</v>
      </c>
      <c r="I6620" s="768" t="s">
        <v>1852</v>
      </c>
    </row>
    <row r="6621" spans="1:9" x14ac:dyDescent="0.25">
      <c r="A6621" s="753"/>
      <c r="C6621" s="131" t="s">
        <v>1161</v>
      </c>
      <c r="D6621" s="131">
        <v>16</v>
      </c>
      <c r="E6621" s="131" t="s">
        <v>1140</v>
      </c>
      <c r="F6621" s="767">
        <v>65199.61</v>
      </c>
      <c r="G6621" s="767">
        <v>0</v>
      </c>
      <c r="H6621" s="767">
        <v>65199.61</v>
      </c>
      <c r="I6621" s="768" t="s">
        <v>1853</v>
      </c>
    </row>
    <row r="6622" spans="1:9" x14ac:dyDescent="0.25">
      <c r="A6622" s="753"/>
      <c r="C6622" s="131" t="s">
        <v>416</v>
      </c>
      <c r="D6622" s="131">
        <v>16</v>
      </c>
      <c r="E6622" s="131" t="s">
        <v>416</v>
      </c>
      <c r="F6622" s="767">
        <v>-97623.5</v>
      </c>
      <c r="G6622" s="767">
        <v>0</v>
      </c>
      <c r="H6622" s="767">
        <v>-97623.5</v>
      </c>
      <c r="I6622" s="768" t="s">
        <v>1854</v>
      </c>
    </row>
    <row r="6623" spans="1:9" x14ac:dyDescent="0.25">
      <c r="A6623" s="753"/>
      <c r="C6623" s="131" t="s">
        <v>1163</v>
      </c>
      <c r="D6623" s="131">
        <v>16</v>
      </c>
      <c r="E6623" s="131" t="s">
        <v>1163</v>
      </c>
      <c r="F6623" s="767">
        <v>90757.33</v>
      </c>
      <c r="G6623" s="767">
        <v>0</v>
      </c>
      <c r="H6623" s="767">
        <v>90757.33</v>
      </c>
      <c r="I6623" s="768" t="s">
        <v>1854</v>
      </c>
    </row>
    <row r="6624" spans="1:9" x14ac:dyDescent="0.25">
      <c r="A6624" s="753"/>
      <c r="C6624" s="131" t="s">
        <v>256</v>
      </c>
      <c r="D6624" s="131">
        <v>16</v>
      </c>
      <c r="E6624" s="131" t="s">
        <v>256</v>
      </c>
      <c r="F6624" s="767">
        <v>-121994.74</v>
      </c>
      <c r="G6624" s="767">
        <v>0</v>
      </c>
      <c r="H6624" s="767">
        <v>-121994.74</v>
      </c>
      <c r="I6624" s="768" t="s">
        <v>1856</v>
      </c>
    </row>
    <row r="6625" spans="1:9" x14ac:dyDescent="0.25">
      <c r="A6625" s="753"/>
      <c r="C6625" s="131" t="s">
        <v>1165</v>
      </c>
      <c r="D6625" s="131">
        <v>16</v>
      </c>
      <c r="E6625" s="131" t="s">
        <v>1165</v>
      </c>
      <c r="F6625" s="767">
        <v>116172.84</v>
      </c>
      <c r="G6625" s="767">
        <v>0</v>
      </c>
      <c r="H6625" s="767">
        <v>116172.84</v>
      </c>
      <c r="I6625" s="768" t="s">
        <v>1857</v>
      </c>
    </row>
    <row r="6626" spans="1:9" x14ac:dyDescent="0.25">
      <c r="A6626" s="753"/>
      <c r="C6626" s="131" t="s">
        <v>366</v>
      </c>
      <c r="D6626" s="131">
        <v>16</v>
      </c>
      <c r="E6626" s="131" t="s">
        <v>366</v>
      </c>
      <c r="F6626" s="767">
        <v>-133336.91</v>
      </c>
      <c r="G6626" s="767">
        <v>0</v>
      </c>
      <c r="H6626" s="767">
        <v>-133336.91</v>
      </c>
      <c r="I6626" s="768" t="s">
        <v>1859</v>
      </c>
    </row>
    <row r="6627" spans="1:9" x14ac:dyDescent="0.25">
      <c r="A6627" s="753"/>
      <c r="C6627" s="131" t="s">
        <v>1155</v>
      </c>
      <c r="D6627" s="131">
        <v>16</v>
      </c>
      <c r="E6627" s="131" t="s">
        <v>1155</v>
      </c>
      <c r="F6627" s="767">
        <v>124643.41</v>
      </c>
      <c r="G6627" s="767">
        <v>0</v>
      </c>
      <c r="H6627" s="767">
        <v>124643.41</v>
      </c>
      <c r="I6627" s="768" t="s">
        <v>1860</v>
      </c>
    </row>
    <row r="6628" spans="1:9" x14ac:dyDescent="0.25">
      <c r="A6628" s="753"/>
      <c r="C6628" s="131" t="s">
        <v>391</v>
      </c>
      <c r="D6628" s="131">
        <v>16</v>
      </c>
      <c r="E6628" s="131" t="s">
        <v>391</v>
      </c>
      <c r="F6628" s="767">
        <v>-227978.65</v>
      </c>
      <c r="G6628" s="767">
        <v>0</v>
      </c>
      <c r="H6628" s="767">
        <v>-227978.65</v>
      </c>
      <c r="I6628" s="768" t="s">
        <v>1862</v>
      </c>
    </row>
    <row r="6629" spans="1:9" x14ac:dyDescent="0.25">
      <c r="A6629" s="753"/>
      <c r="C6629" s="131" t="s">
        <v>1168</v>
      </c>
      <c r="D6629" s="131">
        <v>16</v>
      </c>
      <c r="E6629" s="131" t="s">
        <v>1168</v>
      </c>
      <c r="F6629" s="767">
        <v>216450.03</v>
      </c>
      <c r="G6629" s="767">
        <v>0</v>
      </c>
      <c r="H6629" s="767">
        <v>216450.03</v>
      </c>
      <c r="I6629" s="768" t="s">
        <v>1863</v>
      </c>
    </row>
    <row r="6630" spans="1:9" x14ac:dyDescent="0.25">
      <c r="A6630" s="753"/>
      <c r="C6630" s="131">
        <v>415</v>
      </c>
      <c r="D6630" s="131">
        <v>16</v>
      </c>
      <c r="E6630" s="131">
        <v>415</v>
      </c>
      <c r="F6630" s="767">
        <v>0</v>
      </c>
      <c r="G6630" s="767">
        <v>-140922.95000000001</v>
      </c>
      <c r="H6630" s="767">
        <v>-140922.95000000001</v>
      </c>
      <c r="I6630" s="768" t="s">
        <v>2306</v>
      </c>
    </row>
    <row r="6631" spans="1:9" x14ac:dyDescent="0.25">
      <c r="A6631" s="753"/>
      <c r="C6631" s="131">
        <v>615</v>
      </c>
      <c r="D6631" s="131">
        <v>16</v>
      </c>
      <c r="E6631" s="131">
        <v>615</v>
      </c>
      <c r="F6631" s="767">
        <v>0</v>
      </c>
      <c r="G6631" s="767">
        <v>135011.85</v>
      </c>
      <c r="H6631" s="767">
        <v>135011.85</v>
      </c>
      <c r="I6631" s="768" t="s">
        <v>2307</v>
      </c>
    </row>
    <row r="6632" spans="1:9" x14ac:dyDescent="0.25">
      <c r="A6632" s="753"/>
      <c r="C6632" s="131" t="s">
        <v>394</v>
      </c>
      <c r="D6632" s="131">
        <v>16</v>
      </c>
      <c r="E6632" s="131" t="s">
        <v>394</v>
      </c>
      <c r="F6632" s="767">
        <v>-118545.13</v>
      </c>
      <c r="G6632" s="767">
        <v>0</v>
      </c>
      <c r="H6632" s="767">
        <v>-118545.13</v>
      </c>
      <c r="I6632" s="768" t="s">
        <v>1865</v>
      </c>
    </row>
    <row r="6633" spans="1:9" x14ac:dyDescent="0.25">
      <c r="A6633" s="753"/>
      <c r="C6633" s="131" t="s">
        <v>1122</v>
      </c>
      <c r="D6633" s="131">
        <v>16</v>
      </c>
      <c r="E6633" s="131" t="s">
        <v>1122</v>
      </c>
      <c r="F6633" s="767">
        <v>118545.13</v>
      </c>
      <c r="G6633" s="767">
        <v>0</v>
      </c>
      <c r="H6633" s="767">
        <v>118545.13</v>
      </c>
      <c r="I6633" s="768" t="s">
        <v>1866</v>
      </c>
    </row>
    <row r="6634" spans="1:9" x14ac:dyDescent="0.25">
      <c r="A6634" s="753"/>
      <c r="C6634" s="131" t="s">
        <v>292</v>
      </c>
      <c r="D6634" s="131">
        <v>16</v>
      </c>
      <c r="E6634" s="131" t="s">
        <v>1080</v>
      </c>
      <c r="F6634" s="767">
        <v>-128273.5</v>
      </c>
      <c r="G6634" s="767">
        <v>0</v>
      </c>
      <c r="H6634" s="767">
        <v>-128273.5</v>
      </c>
      <c r="I6634" s="768" t="s">
        <v>1868</v>
      </c>
    </row>
    <row r="6635" spans="1:9" x14ac:dyDescent="0.25">
      <c r="A6635" s="753"/>
      <c r="C6635" s="131" t="s">
        <v>1174</v>
      </c>
      <c r="D6635" s="131">
        <v>16</v>
      </c>
      <c r="E6635" s="131" t="s">
        <v>1081</v>
      </c>
      <c r="F6635" s="767">
        <v>115038.03</v>
      </c>
      <c r="G6635" s="767">
        <v>0</v>
      </c>
      <c r="H6635" s="767">
        <v>115038.03</v>
      </c>
      <c r="I6635" s="768" t="s">
        <v>1869</v>
      </c>
    </row>
    <row r="6636" spans="1:9" x14ac:dyDescent="0.25">
      <c r="A6636" s="753"/>
      <c r="C6636" s="131" t="s">
        <v>297</v>
      </c>
      <c r="D6636" s="131">
        <v>16</v>
      </c>
      <c r="E6636" s="131" t="s">
        <v>297</v>
      </c>
      <c r="F6636" s="767">
        <v>-156342</v>
      </c>
      <c r="G6636" s="767">
        <v>0</v>
      </c>
      <c r="H6636" s="767">
        <v>-156342</v>
      </c>
      <c r="I6636" s="768" t="s">
        <v>1871</v>
      </c>
    </row>
    <row r="6637" spans="1:9" x14ac:dyDescent="0.25">
      <c r="A6637" s="753"/>
      <c r="C6637" s="131" t="s">
        <v>1083</v>
      </c>
      <c r="D6637" s="131">
        <v>16</v>
      </c>
      <c r="E6637" s="131" t="s">
        <v>1083</v>
      </c>
      <c r="F6637" s="767">
        <v>147709.57999999999</v>
      </c>
      <c r="G6637" s="767">
        <v>0</v>
      </c>
      <c r="H6637" s="767">
        <v>147709.57999999999</v>
      </c>
      <c r="I6637" s="768" t="s">
        <v>1872</v>
      </c>
    </row>
    <row r="6638" spans="1:9" x14ac:dyDescent="0.25">
      <c r="A6638" s="753"/>
      <c r="C6638" s="131" t="s">
        <v>299</v>
      </c>
      <c r="D6638" s="131">
        <v>16</v>
      </c>
      <c r="E6638" s="131" t="s">
        <v>299</v>
      </c>
      <c r="F6638" s="767">
        <v>-363200</v>
      </c>
      <c r="G6638" s="767">
        <v>0</v>
      </c>
      <c r="H6638" s="767">
        <v>-363200</v>
      </c>
      <c r="I6638" s="768" t="s">
        <v>1874</v>
      </c>
    </row>
    <row r="6639" spans="1:9" x14ac:dyDescent="0.25">
      <c r="A6639" s="753"/>
      <c r="C6639" s="131" t="s">
        <v>1180</v>
      </c>
      <c r="D6639" s="131">
        <v>16</v>
      </c>
      <c r="E6639" s="131" t="s">
        <v>1180</v>
      </c>
      <c r="F6639" s="767">
        <v>343503.43</v>
      </c>
      <c r="G6639" s="767">
        <v>0</v>
      </c>
      <c r="H6639" s="767">
        <v>343503.43</v>
      </c>
      <c r="I6639" s="768" t="s">
        <v>1875</v>
      </c>
    </row>
    <row r="6640" spans="1:9" x14ac:dyDescent="0.25">
      <c r="A6640" s="753"/>
      <c r="C6640" s="131">
        <v>416</v>
      </c>
      <c r="D6640" s="131">
        <v>16</v>
      </c>
      <c r="E6640" s="131">
        <v>416</v>
      </c>
      <c r="F6640" s="767">
        <v>-1003631.7</v>
      </c>
      <c r="G6640" s="767">
        <v>-238444</v>
      </c>
      <c r="H6640" s="767">
        <v>-1242075.7</v>
      </c>
      <c r="I6640" s="768" t="s">
        <v>1720</v>
      </c>
    </row>
    <row r="6641" spans="1:9" x14ac:dyDescent="0.25">
      <c r="A6641" s="753"/>
      <c r="C6641" s="131">
        <v>616</v>
      </c>
      <c r="D6641" s="131">
        <v>16</v>
      </c>
      <c r="E6641" s="131">
        <v>616</v>
      </c>
      <c r="F6641" s="767">
        <v>941860.05</v>
      </c>
      <c r="G6641" s="767">
        <v>224614.34</v>
      </c>
      <c r="H6641" s="767">
        <v>1166474.3899999999</v>
      </c>
      <c r="I6641" s="768" t="s">
        <v>1721</v>
      </c>
    </row>
    <row r="6642" spans="1:9" x14ac:dyDescent="0.25">
      <c r="A6642" s="753"/>
      <c r="C6642" s="131" t="s">
        <v>400</v>
      </c>
      <c r="D6642" s="131">
        <v>16</v>
      </c>
      <c r="E6642" s="131" t="s">
        <v>400</v>
      </c>
      <c r="F6642" s="767">
        <v>-139749.68</v>
      </c>
      <c r="G6642" s="767">
        <v>-74470.399999999994</v>
      </c>
      <c r="H6642" s="767">
        <v>-214220.08</v>
      </c>
      <c r="I6642" s="768" t="s">
        <v>1723</v>
      </c>
    </row>
    <row r="6643" spans="1:9" x14ac:dyDescent="0.25">
      <c r="A6643" s="753"/>
      <c r="C6643" s="131" t="s">
        <v>1100</v>
      </c>
      <c r="D6643" s="131">
        <v>16</v>
      </c>
      <c r="E6643" s="131" t="s">
        <v>1100</v>
      </c>
      <c r="F6643" s="767">
        <v>131422.87</v>
      </c>
      <c r="G6643" s="767">
        <v>69814.75</v>
      </c>
      <c r="H6643" s="767">
        <v>201237.62</v>
      </c>
      <c r="I6643" s="768" t="s">
        <v>1724</v>
      </c>
    </row>
    <row r="6644" spans="1:9" x14ac:dyDescent="0.25">
      <c r="A6644" s="753"/>
      <c r="C6644" s="131">
        <v>409</v>
      </c>
      <c r="D6644" s="131">
        <v>16</v>
      </c>
      <c r="E6644" s="131">
        <v>409</v>
      </c>
      <c r="F6644" s="767">
        <v>-363098.13</v>
      </c>
      <c r="G6644" s="767">
        <v>-188223.59</v>
      </c>
      <c r="H6644" s="767">
        <v>-551321.72</v>
      </c>
      <c r="I6644" s="768" t="s">
        <v>1725</v>
      </c>
    </row>
    <row r="6645" spans="1:9" x14ac:dyDescent="0.25">
      <c r="A6645" s="753"/>
      <c r="C6645" s="131">
        <v>609</v>
      </c>
      <c r="D6645" s="131">
        <v>16</v>
      </c>
      <c r="E6645" s="131">
        <v>609</v>
      </c>
      <c r="F6645" s="767">
        <v>341003.75</v>
      </c>
      <c r="G6645" s="767">
        <v>179636.18</v>
      </c>
      <c r="H6645" s="767">
        <v>520639.93</v>
      </c>
      <c r="I6645" s="768" t="s">
        <v>1725</v>
      </c>
    </row>
    <row r="6646" spans="1:9" x14ac:dyDescent="0.25">
      <c r="A6646" s="753"/>
      <c r="C6646" s="131" t="s">
        <v>1102</v>
      </c>
      <c r="D6646" s="131">
        <v>16</v>
      </c>
      <c r="E6646" s="131" t="s">
        <v>1102</v>
      </c>
      <c r="F6646" s="767">
        <v>-90100.5</v>
      </c>
      <c r="G6646" s="767">
        <v>-79723.5</v>
      </c>
      <c r="H6646" s="767">
        <v>-169824</v>
      </c>
      <c r="I6646" s="768" t="s">
        <v>1726</v>
      </c>
    </row>
    <row r="6647" spans="1:9" x14ac:dyDescent="0.25">
      <c r="A6647" s="753"/>
      <c r="C6647" s="131" t="s">
        <v>1103</v>
      </c>
      <c r="D6647" s="131">
        <v>16</v>
      </c>
      <c r="E6647" s="131" t="s">
        <v>1103</v>
      </c>
      <c r="F6647" s="767">
        <v>84965.15</v>
      </c>
      <c r="G6647" s="767">
        <v>74349.23</v>
      </c>
      <c r="H6647" s="767">
        <v>159314.38</v>
      </c>
      <c r="I6647" s="768" t="s">
        <v>1726</v>
      </c>
    </row>
    <row r="6648" spans="1:9" x14ac:dyDescent="0.25">
      <c r="A6648" s="753"/>
      <c r="C6648" s="131" t="s">
        <v>104</v>
      </c>
      <c r="D6648" s="131">
        <v>16</v>
      </c>
      <c r="E6648" s="131" t="s">
        <v>104</v>
      </c>
      <c r="F6648" s="767">
        <v>-1584890.7</v>
      </c>
      <c r="G6648" s="767">
        <v>0</v>
      </c>
      <c r="H6648" s="767">
        <v>-1584890.7</v>
      </c>
      <c r="I6648" s="768" t="s">
        <v>1728</v>
      </c>
    </row>
    <row r="6649" spans="1:9" x14ac:dyDescent="0.25">
      <c r="A6649" s="753"/>
      <c r="C6649" s="131" t="s">
        <v>1106</v>
      </c>
      <c r="D6649" s="131">
        <v>16</v>
      </c>
      <c r="E6649" s="131" t="s">
        <v>1106</v>
      </c>
      <c r="F6649" s="767">
        <v>1486270.54</v>
      </c>
      <c r="G6649" s="767">
        <v>0</v>
      </c>
      <c r="H6649" s="767">
        <v>1486270.54</v>
      </c>
      <c r="I6649" s="768" t="s">
        <v>1729</v>
      </c>
    </row>
    <row r="6650" spans="1:9" x14ac:dyDescent="0.25">
      <c r="A6650" s="753"/>
      <c r="C6650" s="131" t="s">
        <v>282</v>
      </c>
      <c r="D6650" s="131">
        <v>16</v>
      </c>
      <c r="E6650" s="131" t="s">
        <v>282</v>
      </c>
      <c r="F6650" s="767">
        <v>-355284</v>
      </c>
      <c r="G6650" s="767">
        <v>0</v>
      </c>
      <c r="H6650" s="767">
        <v>-355284</v>
      </c>
      <c r="I6650" s="768" t="s">
        <v>1731</v>
      </c>
    </row>
    <row r="6651" spans="1:9" x14ac:dyDescent="0.25">
      <c r="A6651" s="753"/>
      <c r="C6651" s="131" t="s">
        <v>1107</v>
      </c>
      <c r="D6651" s="131">
        <v>16</v>
      </c>
      <c r="E6651" s="131" t="s">
        <v>1107</v>
      </c>
      <c r="F6651" s="767">
        <v>333495.65000000002</v>
      </c>
      <c r="G6651" s="767">
        <v>0</v>
      </c>
      <c r="H6651" s="767">
        <v>333495.65000000002</v>
      </c>
      <c r="I6651" s="768" t="s">
        <v>1732</v>
      </c>
    </row>
    <row r="6652" spans="1:9" x14ac:dyDescent="0.25">
      <c r="A6652" s="753"/>
      <c r="C6652" s="131" t="s">
        <v>340</v>
      </c>
      <c r="D6652" s="131">
        <v>16</v>
      </c>
      <c r="E6652" s="131" t="s">
        <v>340</v>
      </c>
      <c r="F6652" s="767">
        <v>-482797.12</v>
      </c>
      <c r="G6652" s="767">
        <v>-236789.98</v>
      </c>
      <c r="H6652" s="767">
        <v>-719587.1</v>
      </c>
      <c r="I6652" s="768" t="s">
        <v>1734</v>
      </c>
    </row>
    <row r="6653" spans="1:9" x14ac:dyDescent="0.25">
      <c r="A6653" s="753"/>
      <c r="C6653" s="131" t="s">
        <v>1108</v>
      </c>
      <c r="D6653" s="131">
        <v>16</v>
      </c>
      <c r="E6653" s="131" t="s">
        <v>1108</v>
      </c>
      <c r="F6653" s="767">
        <v>453323.44</v>
      </c>
      <c r="G6653" s="767">
        <v>217365.05</v>
      </c>
      <c r="H6653" s="767">
        <v>670688.49</v>
      </c>
      <c r="I6653" s="768" t="s">
        <v>1735</v>
      </c>
    </row>
    <row r="6654" spans="1:9" x14ac:dyDescent="0.25">
      <c r="A6654" s="753"/>
      <c r="C6654" s="131" t="s">
        <v>301</v>
      </c>
      <c r="D6654" s="131">
        <v>16</v>
      </c>
      <c r="E6654" s="131" t="s">
        <v>301</v>
      </c>
      <c r="F6654" s="767">
        <v>-109302.93</v>
      </c>
      <c r="G6654" s="767">
        <v>0</v>
      </c>
      <c r="H6654" s="767">
        <v>-109302.93</v>
      </c>
      <c r="I6654" s="768" t="s">
        <v>2272</v>
      </c>
    </row>
    <row r="6655" spans="1:9" x14ac:dyDescent="0.25">
      <c r="A6655" s="753"/>
      <c r="C6655" s="131" t="s">
        <v>2273</v>
      </c>
      <c r="D6655" s="131">
        <v>16</v>
      </c>
      <c r="E6655" s="131" t="s">
        <v>2273</v>
      </c>
      <c r="F6655" s="767">
        <v>109633.12</v>
      </c>
      <c r="G6655" s="767">
        <v>0</v>
      </c>
      <c r="H6655" s="767">
        <v>109633.12</v>
      </c>
      <c r="I6655" s="768" t="s">
        <v>2274</v>
      </c>
    </row>
    <row r="6656" spans="1:9" x14ac:dyDescent="0.25">
      <c r="A6656" s="753"/>
      <c r="C6656" s="131" t="s">
        <v>237</v>
      </c>
      <c r="D6656" s="131">
        <v>16</v>
      </c>
      <c r="E6656" s="131" t="s">
        <v>237</v>
      </c>
      <c r="F6656" s="767">
        <v>-222837.66</v>
      </c>
      <c r="G6656" s="767">
        <v>0</v>
      </c>
      <c r="H6656" s="767">
        <v>-222837.66</v>
      </c>
      <c r="I6656" s="768" t="s">
        <v>1737</v>
      </c>
    </row>
    <row r="6657" spans="1:9" x14ac:dyDescent="0.25">
      <c r="A6657" s="753"/>
      <c r="C6657" s="131" t="s">
        <v>1094</v>
      </c>
      <c r="D6657" s="131">
        <v>16</v>
      </c>
      <c r="E6657" s="131" t="s">
        <v>1094</v>
      </c>
      <c r="F6657" s="767">
        <v>208571.21</v>
      </c>
      <c r="G6657" s="767">
        <v>0</v>
      </c>
      <c r="H6657" s="767">
        <v>208571.21</v>
      </c>
      <c r="I6657" s="768" t="s">
        <v>1738</v>
      </c>
    </row>
    <row r="6658" spans="1:9" x14ac:dyDescent="0.25">
      <c r="A6658" s="753"/>
      <c r="C6658" s="131" t="s">
        <v>258</v>
      </c>
      <c r="D6658" s="131">
        <v>16</v>
      </c>
      <c r="E6658" s="131" t="s">
        <v>258</v>
      </c>
      <c r="F6658" s="767">
        <v>-180770</v>
      </c>
      <c r="G6658" s="767">
        <v>0</v>
      </c>
      <c r="H6658" s="767">
        <v>-180770</v>
      </c>
      <c r="I6658" s="768" t="s">
        <v>1741</v>
      </c>
    </row>
    <row r="6659" spans="1:9" x14ac:dyDescent="0.25">
      <c r="A6659" s="753"/>
      <c r="C6659" s="131" t="s">
        <v>1742</v>
      </c>
      <c r="D6659" s="131">
        <v>16</v>
      </c>
      <c r="E6659" s="131" t="s">
        <v>1742</v>
      </c>
      <c r="F6659" s="767">
        <v>168281.09</v>
      </c>
      <c r="G6659" s="767">
        <v>0</v>
      </c>
      <c r="H6659" s="767">
        <v>168281.09</v>
      </c>
      <c r="I6659" s="768" t="s">
        <v>1743</v>
      </c>
    </row>
    <row r="6660" spans="1:9" x14ac:dyDescent="0.25">
      <c r="A6660" s="753"/>
      <c r="C6660" s="131" t="s">
        <v>105</v>
      </c>
      <c r="D6660" s="131">
        <v>16</v>
      </c>
      <c r="E6660" s="131" t="s">
        <v>105</v>
      </c>
      <c r="F6660" s="767">
        <v>-751239.23</v>
      </c>
      <c r="G6660" s="767">
        <v>-106773.5</v>
      </c>
      <c r="H6660" s="767">
        <v>-858012.73</v>
      </c>
      <c r="I6660" s="768" t="s">
        <v>1745</v>
      </c>
    </row>
    <row r="6661" spans="1:9" x14ac:dyDescent="0.25">
      <c r="A6661" s="753"/>
      <c r="C6661" s="131" t="s">
        <v>1110</v>
      </c>
      <c r="D6661" s="131">
        <v>16</v>
      </c>
      <c r="E6661" s="131" t="s">
        <v>1110</v>
      </c>
      <c r="F6661" s="767">
        <v>714996.42</v>
      </c>
      <c r="G6661" s="767">
        <v>102975</v>
      </c>
      <c r="H6661" s="767">
        <v>817971.42</v>
      </c>
      <c r="I6661" s="768" t="s">
        <v>1746</v>
      </c>
    </row>
    <row r="6662" spans="1:9" x14ac:dyDescent="0.25">
      <c r="A6662" s="753"/>
      <c r="C6662" s="131" t="s">
        <v>401</v>
      </c>
      <c r="D6662" s="131">
        <v>16</v>
      </c>
      <c r="E6662" s="131" t="s">
        <v>401</v>
      </c>
      <c r="F6662" s="767">
        <v>-976653.2</v>
      </c>
      <c r="G6662" s="767">
        <v>0</v>
      </c>
      <c r="H6662" s="767">
        <v>-976653.2</v>
      </c>
      <c r="I6662" s="768" t="s">
        <v>1748</v>
      </c>
    </row>
    <row r="6663" spans="1:9" x14ac:dyDescent="0.25">
      <c r="A6663" s="753"/>
      <c r="C6663" s="131" t="s">
        <v>1112</v>
      </c>
      <c r="D6663" s="131">
        <v>16</v>
      </c>
      <c r="E6663" s="131" t="s">
        <v>1112</v>
      </c>
      <c r="F6663" s="767">
        <v>912448.95</v>
      </c>
      <c r="G6663" s="767">
        <v>0</v>
      </c>
      <c r="H6663" s="767">
        <v>912448.95</v>
      </c>
      <c r="I6663" s="768" t="s">
        <v>1749</v>
      </c>
    </row>
    <row r="6664" spans="1:9" x14ac:dyDescent="0.25">
      <c r="A6664" s="753"/>
      <c r="C6664" s="131">
        <v>447</v>
      </c>
      <c r="D6664" s="131">
        <v>16</v>
      </c>
      <c r="E6664" s="131">
        <v>447</v>
      </c>
      <c r="F6664" s="767">
        <v>-151506.5</v>
      </c>
      <c r="G6664" s="767">
        <v>0</v>
      </c>
      <c r="H6664" s="767">
        <v>-151506.5</v>
      </c>
      <c r="I6664" s="768" t="s">
        <v>1751</v>
      </c>
    </row>
    <row r="6665" spans="1:9" x14ac:dyDescent="0.25">
      <c r="A6665" s="753"/>
      <c r="C6665" s="131">
        <v>647</v>
      </c>
      <c r="D6665" s="131">
        <v>16</v>
      </c>
      <c r="E6665" s="131">
        <v>647</v>
      </c>
      <c r="F6665" s="767">
        <v>145006.09</v>
      </c>
      <c r="G6665" s="767">
        <v>0</v>
      </c>
      <c r="H6665" s="767">
        <v>145006.09</v>
      </c>
      <c r="I6665" s="768" t="s">
        <v>1752</v>
      </c>
    </row>
    <row r="6666" spans="1:9" x14ac:dyDescent="0.25">
      <c r="A6666" s="753"/>
      <c r="C6666" s="131" t="s">
        <v>106</v>
      </c>
      <c r="D6666" s="131">
        <v>16</v>
      </c>
      <c r="E6666" s="131" t="s">
        <v>106</v>
      </c>
      <c r="F6666" s="767">
        <v>-227426</v>
      </c>
      <c r="G6666" s="767">
        <v>0</v>
      </c>
      <c r="H6666" s="767">
        <v>-227426</v>
      </c>
      <c r="I6666" s="768" t="s">
        <v>1754</v>
      </c>
    </row>
    <row r="6667" spans="1:9" x14ac:dyDescent="0.25">
      <c r="A6667" s="753"/>
      <c r="C6667" s="131" t="s">
        <v>1143</v>
      </c>
      <c r="D6667" s="131">
        <v>16</v>
      </c>
      <c r="E6667" s="131" t="s">
        <v>1143</v>
      </c>
      <c r="F6667" s="767">
        <v>214312.85</v>
      </c>
      <c r="G6667" s="767">
        <v>0</v>
      </c>
      <c r="H6667" s="767">
        <v>214312.85</v>
      </c>
      <c r="I6667" s="768" t="s">
        <v>1755</v>
      </c>
    </row>
    <row r="6668" spans="1:9" x14ac:dyDescent="0.25">
      <c r="A6668" s="753"/>
      <c r="C6668" s="131" t="s">
        <v>405</v>
      </c>
      <c r="D6668" s="131">
        <v>16</v>
      </c>
      <c r="E6668" s="131" t="s">
        <v>405</v>
      </c>
      <c r="F6668" s="767">
        <v>-235967</v>
      </c>
      <c r="G6668" s="767">
        <v>0</v>
      </c>
      <c r="H6668" s="767">
        <v>-235967</v>
      </c>
      <c r="I6668" s="768" t="s">
        <v>1757</v>
      </c>
    </row>
    <row r="6669" spans="1:9" x14ac:dyDescent="0.25">
      <c r="A6669" s="753"/>
      <c r="C6669" s="131" t="s">
        <v>1116</v>
      </c>
      <c r="D6669" s="131">
        <v>16</v>
      </c>
      <c r="E6669" s="131" t="s">
        <v>1116</v>
      </c>
      <c r="F6669" s="767">
        <v>220347.51999999999</v>
      </c>
      <c r="G6669" s="767">
        <v>0</v>
      </c>
      <c r="H6669" s="767">
        <v>220347.51999999999</v>
      </c>
      <c r="I6669" s="768" t="s">
        <v>1758</v>
      </c>
    </row>
    <row r="6670" spans="1:9" x14ac:dyDescent="0.25">
      <c r="A6670" s="753"/>
      <c r="C6670" s="131">
        <v>480</v>
      </c>
      <c r="D6670" s="131">
        <v>16</v>
      </c>
      <c r="E6670" s="131">
        <v>480</v>
      </c>
      <c r="F6670" s="767">
        <v>-273292.68</v>
      </c>
      <c r="G6670" s="767">
        <v>0</v>
      </c>
      <c r="H6670" s="767">
        <v>-273292.68</v>
      </c>
      <c r="I6670" s="768" t="s">
        <v>1760</v>
      </c>
    </row>
    <row r="6671" spans="1:9" x14ac:dyDescent="0.25">
      <c r="A6671" s="753"/>
      <c r="C6671" s="131">
        <v>680</v>
      </c>
      <c r="D6671" s="131">
        <v>16</v>
      </c>
      <c r="E6671" s="131">
        <v>680</v>
      </c>
      <c r="F6671" s="767">
        <v>269709.11</v>
      </c>
      <c r="G6671" s="767">
        <v>0</v>
      </c>
      <c r="H6671" s="767">
        <v>269709.11</v>
      </c>
      <c r="I6671" s="768" t="s">
        <v>1761</v>
      </c>
    </row>
    <row r="6672" spans="1:9" x14ac:dyDescent="0.25">
      <c r="A6672" s="753"/>
      <c r="C6672" s="131" t="s">
        <v>406</v>
      </c>
      <c r="D6672" s="131">
        <v>16</v>
      </c>
      <c r="E6672" s="131" t="s">
        <v>406</v>
      </c>
      <c r="F6672" s="767">
        <v>-309378.09999999998</v>
      </c>
      <c r="G6672" s="767">
        <v>0</v>
      </c>
      <c r="H6672" s="767">
        <v>-309378.09999999998</v>
      </c>
      <c r="I6672" s="768" t="s">
        <v>1764</v>
      </c>
    </row>
    <row r="6673" spans="1:9" x14ac:dyDescent="0.25">
      <c r="A6673" s="753"/>
      <c r="C6673" s="131" t="s">
        <v>1119</v>
      </c>
      <c r="D6673" s="131">
        <v>16</v>
      </c>
      <c r="E6673" s="131" t="s">
        <v>1119</v>
      </c>
      <c r="F6673" s="767">
        <v>291459.78000000003</v>
      </c>
      <c r="G6673" s="767">
        <v>0</v>
      </c>
      <c r="H6673" s="767">
        <v>291459.78000000003</v>
      </c>
      <c r="I6673" s="768" t="s">
        <v>1765</v>
      </c>
    </row>
    <row r="6674" spans="1:9" x14ac:dyDescent="0.25">
      <c r="A6674" s="753"/>
      <c r="C6674" s="131">
        <v>481</v>
      </c>
      <c r="D6674" s="131">
        <v>16</v>
      </c>
      <c r="E6674" s="131">
        <v>481</v>
      </c>
      <c r="F6674" s="767">
        <v>-237027.97</v>
      </c>
      <c r="G6674" s="767">
        <v>0</v>
      </c>
      <c r="H6674" s="767">
        <v>-237027.97</v>
      </c>
      <c r="I6674" s="768" t="s">
        <v>408</v>
      </c>
    </row>
    <row r="6675" spans="1:9" x14ac:dyDescent="0.25">
      <c r="A6675" s="753"/>
      <c r="C6675" s="131">
        <v>681</v>
      </c>
      <c r="D6675" s="131">
        <v>16</v>
      </c>
      <c r="E6675" s="131">
        <v>681</v>
      </c>
      <c r="F6675" s="767">
        <v>233811.43</v>
      </c>
      <c r="G6675" s="767">
        <v>0</v>
      </c>
      <c r="H6675" s="767">
        <v>233811.43</v>
      </c>
      <c r="I6675" s="768" t="s">
        <v>408</v>
      </c>
    </row>
    <row r="6676" spans="1:9" x14ac:dyDescent="0.25">
      <c r="A6676" s="753"/>
      <c r="C6676" s="131" t="s">
        <v>410</v>
      </c>
      <c r="D6676" s="131">
        <v>16</v>
      </c>
      <c r="E6676" s="131" t="s">
        <v>410</v>
      </c>
      <c r="F6676" s="767">
        <v>-246468.25</v>
      </c>
      <c r="G6676" s="767">
        <v>0</v>
      </c>
      <c r="H6676" s="767">
        <v>-246468.25</v>
      </c>
      <c r="I6676" s="768" t="s">
        <v>1767</v>
      </c>
    </row>
    <row r="6677" spans="1:9" x14ac:dyDescent="0.25">
      <c r="A6677" s="753"/>
      <c r="C6677" s="131" t="s">
        <v>1120</v>
      </c>
      <c r="D6677" s="131">
        <v>16</v>
      </c>
      <c r="E6677" s="131" t="s">
        <v>1120</v>
      </c>
      <c r="F6677" s="767">
        <v>235559.82</v>
      </c>
      <c r="G6677" s="767">
        <v>0</v>
      </c>
      <c r="H6677" s="767">
        <v>235559.82</v>
      </c>
      <c r="I6677" s="768" t="s">
        <v>1767</v>
      </c>
    </row>
    <row r="6678" spans="1:9" x14ac:dyDescent="0.25">
      <c r="A6678" s="753"/>
      <c r="C6678" s="131" t="s">
        <v>376</v>
      </c>
      <c r="D6678" s="131">
        <v>16</v>
      </c>
      <c r="E6678" s="131" t="s">
        <v>376</v>
      </c>
      <c r="F6678" s="767">
        <v>-98510.95</v>
      </c>
      <c r="G6678" s="767">
        <v>0</v>
      </c>
      <c r="H6678" s="767">
        <v>-98510.95</v>
      </c>
      <c r="I6678" s="768" t="s">
        <v>2278</v>
      </c>
    </row>
    <row r="6679" spans="1:9" x14ac:dyDescent="0.25">
      <c r="A6679" s="753"/>
      <c r="C6679" s="131" t="s">
        <v>2279</v>
      </c>
      <c r="D6679" s="131">
        <v>16</v>
      </c>
      <c r="E6679" s="131" t="s">
        <v>2279</v>
      </c>
      <c r="F6679" s="767">
        <v>97615</v>
      </c>
      <c r="G6679" s="767">
        <v>0</v>
      </c>
      <c r="H6679" s="767">
        <v>97615</v>
      </c>
      <c r="I6679" s="768" t="s">
        <v>2280</v>
      </c>
    </row>
    <row r="6680" spans="1:9" x14ac:dyDescent="0.25">
      <c r="A6680" s="753"/>
      <c r="C6680" s="131" t="s">
        <v>378</v>
      </c>
      <c r="D6680" s="131">
        <v>16</v>
      </c>
      <c r="E6680" s="131" t="s">
        <v>378</v>
      </c>
      <c r="F6680" s="767">
        <v>-323316.75</v>
      </c>
      <c r="G6680" s="767">
        <v>0</v>
      </c>
      <c r="H6680" s="767">
        <v>-323316.75</v>
      </c>
      <c r="I6680" s="768" t="s">
        <v>1769</v>
      </c>
    </row>
    <row r="6681" spans="1:9" x14ac:dyDescent="0.25">
      <c r="A6681" s="753"/>
      <c r="C6681" s="131" t="s">
        <v>1121</v>
      </c>
      <c r="D6681" s="131">
        <v>16</v>
      </c>
      <c r="E6681" s="131" t="s">
        <v>1121</v>
      </c>
      <c r="F6681" s="767">
        <v>316233.65000000002</v>
      </c>
      <c r="G6681" s="767">
        <v>0</v>
      </c>
      <c r="H6681" s="767">
        <v>316233.65000000002</v>
      </c>
      <c r="I6681" s="768" t="s">
        <v>1770</v>
      </c>
    </row>
    <row r="6682" spans="1:9" x14ac:dyDescent="0.25">
      <c r="A6682" s="753"/>
      <c r="C6682" s="131">
        <v>418</v>
      </c>
      <c r="D6682" s="131">
        <v>16</v>
      </c>
      <c r="E6682" s="131">
        <v>418</v>
      </c>
      <c r="F6682" s="767">
        <v>-1440981.45</v>
      </c>
      <c r="G6682" s="767">
        <v>0</v>
      </c>
      <c r="H6682" s="767">
        <v>-1440981.45</v>
      </c>
      <c r="I6682" s="768" t="s">
        <v>1773</v>
      </c>
    </row>
    <row r="6683" spans="1:9" x14ac:dyDescent="0.25">
      <c r="A6683" s="753"/>
      <c r="C6683" s="131">
        <v>418</v>
      </c>
      <c r="D6683" s="131">
        <v>16</v>
      </c>
      <c r="E6683" s="131" t="s">
        <v>144</v>
      </c>
      <c r="F6683" s="767">
        <v>-927552.69</v>
      </c>
      <c r="G6683" s="767">
        <v>0</v>
      </c>
      <c r="H6683" s="767">
        <v>-927552.69</v>
      </c>
      <c r="I6683" s="768" t="s">
        <v>1774</v>
      </c>
    </row>
    <row r="6684" spans="1:9" x14ac:dyDescent="0.25">
      <c r="A6684" s="753"/>
      <c r="C6684" s="131">
        <v>618</v>
      </c>
      <c r="D6684" s="131">
        <v>16</v>
      </c>
      <c r="E6684" s="131">
        <v>618</v>
      </c>
      <c r="F6684" s="767">
        <v>1398430.52</v>
      </c>
      <c r="G6684" s="767">
        <v>0</v>
      </c>
      <c r="H6684" s="767">
        <v>1398430.52</v>
      </c>
      <c r="I6684" s="768" t="s">
        <v>1775</v>
      </c>
    </row>
    <row r="6685" spans="1:9" x14ac:dyDescent="0.25">
      <c r="A6685" s="753"/>
      <c r="C6685" s="131">
        <v>618</v>
      </c>
      <c r="D6685" s="131">
        <v>16</v>
      </c>
      <c r="E6685" s="131" t="s">
        <v>1056</v>
      </c>
      <c r="F6685" s="767">
        <v>905230.46</v>
      </c>
      <c r="G6685" s="767">
        <v>0</v>
      </c>
      <c r="H6685" s="767">
        <v>905230.46</v>
      </c>
      <c r="I6685" s="768" t="s">
        <v>1776</v>
      </c>
    </row>
    <row r="6686" spans="1:9" x14ac:dyDescent="0.25">
      <c r="A6686" s="753"/>
      <c r="C6686" s="131">
        <v>419</v>
      </c>
      <c r="D6686" s="131">
        <v>16</v>
      </c>
      <c r="E6686" s="131">
        <v>419</v>
      </c>
      <c r="F6686" s="767">
        <v>-253973.5</v>
      </c>
      <c r="G6686" s="767">
        <v>-71375.3</v>
      </c>
      <c r="H6686" s="767">
        <v>-325348.8</v>
      </c>
      <c r="I6686" s="768" t="s">
        <v>1778</v>
      </c>
    </row>
    <row r="6687" spans="1:9" x14ac:dyDescent="0.25">
      <c r="A6687" s="753"/>
      <c r="C6687" s="131">
        <v>619</v>
      </c>
      <c r="D6687" s="131">
        <v>16</v>
      </c>
      <c r="E6687" s="131">
        <v>619</v>
      </c>
      <c r="F6687" s="767">
        <v>241009.33</v>
      </c>
      <c r="G6687" s="767">
        <v>70959.12</v>
      </c>
      <c r="H6687" s="767">
        <v>311968.45</v>
      </c>
      <c r="I6687" s="768" t="s">
        <v>1779</v>
      </c>
    </row>
    <row r="6688" spans="1:9" x14ac:dyDescent="0.25">
      <c r="A6688" s="753"/>
      <c r="C6688" s="131" t="s">
        <v>226</v>
      </c>
      <c r="D6688" s="131">
        <v>16</v>
      </c>
      <c r="E6688" s="131" t="s">
        <v>226</v>
      </c>
      <c r="F6688" s="767">
        <v>-324517</v>
      </c>
      <c r="G6688" s="767">
        <v>-35867.599999999999</v>
      </c>
      <c r="H6688" s="767">
        <v>-360384.6</v>
      </c>
      <c r="I6688" s="768" t="s">
        <v>1780</v>
      </c>
    </row>
    <row r="6689" spans="1:9" x14ac:dyDescent="0.25">
      <c r="A6689" s="753"/>
      <c r="C6689" s="131" t="s">
        <v>1126</v>
      </c>
      <c r="D6689" s="131">
        <v>16</v>
      </c>
      <c r="E6689" s="131" t="s">
        <v>1126</v>
      </c>
      <c r="F6689" s="767">
        <v>-89737.82</v>
      </c>
      <c r="G6689" s="767">
        <v>-10469.99</v>
      </c>
      <c r="H6689" s="767">
        <v>-100207.81</v>
      </c>
      <c r="I6689" s="768" t="s">
        <v>1793</v>
      </c>
    </row>
    <row r="6690" spans="1:9" x14ac:dyDescent="0.25">
      <c r="A6690" s="753"/>
      <c r="C6690" s="131" t="s">
        <v>1126</v>
      </c>
      <c r="D6690" s="131">
        <v>16</v>
      </c>
      <c r="E6690" s="131" t="s">
        <v>1170</v>
      </c>
      <c r="F6690" s="767">
        <v>-1769.38</v>
      </c>
      <c r="G6690" s="767">
        <v>0</v>
      </c>
      <c r="H6690" s="767">
        <v>-1769.38</v>
      </c>
      <c r="I6690" s="768" t="s">
        <v>1794</v>
      </c>
    </row>
    <row r="6691" spans="1:9" x14ac:dyDescent="0.25">
      <c r="A6691" s="753"/>
      <c r="C6691" s="131" t="s">
        <v>1126</v>
      </c>
      <c r="D6691" s="131">
        <v>16</v>
      </c>
      <c r="E6691" s="131" t="s">
        <v>1795</v>
      </c>
      <c r="F6691" s="767">
        <v>-118382</v>
      </c>
      <c r="G6691" s="767">
        <v>-10194</v>
      </c>
      <c r="H6691" s="767">
        <v>-128576</v>
      </c>
      <c r="I6691" s="768" t="s">
        <v>1796</v>
      </c>
    </row>
    <row r="6692" spans="1:9" x14ac:dyDescent="0.25">
      <c r="A6692" s="753"/>
      <c r="C6692" s="131" t="s">
        <v>1126</v>
      </c>
      <c r="D6692" s="131">
        <v>16</v>
      </c>
      <c r="E6692" s="131" t="s">
        <v>1797</v>
      </c>
      <c r="F6692" s="767">
        <v>-10120</v>
      </c>
      <c r="G6692" s="767">
        <v>0</v>
      </c>
      <c r="H6692" s="767">
        <v>-10120</v>
      </c>
      <c r="I6692" s="768" t="s">
        <v>1798</v>
      </c>
    </row>
    <row r="6693" spans="1:9" x14ac:dyDescent="0.25">
      <c r="A6693" s="753"/>
      <c r="C6693" s="131" t="s">
        <v>1126</v>
      </c>
      <c r="D6693" s="131">
        <v>16</v>
      </c>
      <c r="E6693" s="131" t="s">
        <v>1799</v>
      </c>
      <c r="F6693" s="767">
        <v>-8310</v>
      </c>
      <c r="G6693" s="767">
        <v>0</v>
      </c>
      <c r="H6693" s="767">
        <v>-8310</v>
      </c>
      <c r="I6693" s="768" t="s">
        <v>1800</v>
      </c>
    </row>
    <row r="6694" spans="1:9" x14ac:dyDescent="0.25">
      <c r="A6694" s="753"/>
      <c r="C6694" s="131" t="s">
        <v>1126</v>
      </c>
      <c r="D6694" s="131">
        <v>16</v>
      </c>
      <c r="E6694" s="131" t="s">
        <v>1149</v>
      </c>
      <c r="F6694" s="767">
        <v>-196190.88</v>
      </c>
      <c r="G6694" s="767">
        <v>-18865</v>
      </c>
      <c r="H6694" s="767">
        <v>-215055.88</v>
      </c>
      <c r="I6694" s="768" t="s">
        <v>1801</v>
      </c>
    </row>
    <row r="6695" spans="1:9" x14ac:dyDescent="0.25">
      <c r="A6695" s="753"/>
      <c r="C6695" s="131" t="s">
        <v>1126</v>
      </c>
      <c r="D6695" s="131">
        <v>16</v>
      </c>
      <c r="E6695" s="131" t="s">
        <v>1802</v>
      </c>
      <c r="F6695" s="767">
        <v>-4815</v>
      </c>
      <c r="G6695" s="767">
        <v>0</v>
      </c>
      <c r="H6695" s="767">
        <v>-4815</v>
      </c>
      <c r="I6695" s="768" t="s">
        <v>1803</v>
      </c>
    </row>
    <row r="6696" spans="1:9" x14ac:dyDescent="0.25">
      <c r="A6696" s="753"/>
      <c r="C6696" s="131" t="s">
        <v>1126</v>
      </c>
      <c r="D6696" s="131">
        <v>16</v>
      </c>
      <c r="E6696" s="131" t="s">
        <v>973</v>
      </c>
      <c r="F6696" s="767">
        <v>-108290</v>
      </c>
      <c r="G6696" s="767">
        <v>-13685</v>
      </c>
      <c r="H6696" s="767">
        <v>-121975</v>
      </c>
      <c r="I6696" s="768" t="s">
        <v>1804</v>
      </c>
    </row>
    <row r="6697" spans="1:9" x14ac:dyDescent="0.25">
      <c r="A6697" s="753"/>
      <c r="C6697" s="131" t="s">
        <v>1126</v>
      </c>
      <c r="D6697" s="131">
        <v>16</v>
      </c>
      <c r="E6697" s="131" t="s">
        <v>126</v>
      </c>
      <c r="F6697" s="767">
        <v>-41380.5</v>
      </c>
      <c r="G6697" s="767">
        <v>-3046</v>
      </c>
      <c r="H6697" s="767">
        <v>-44426.5</v>
      </c>
      <c r="I6697" s="768" t="s">
        <v>1805</v>
      </c>
    </row>
    <row r="6698" spans="1:9" x14ac:dyDescent="0.25">
      <c r="A6698" s="753"/>
      <c r="C6698" s="131" t="s">
        <v>1127</v>
      </c>
      <c r="D6698" s="131">
        <v>16</v>
      </c>
      <c r="E6698" s="131" t="s">
        <v>1127</v>
      </c>
      <c r="F6698" s="767">
        <v>18783.349999999999</v>
      </c>
      <c r="G6698" s="767">
        <v>1934.9</v>
      </c>
      <c r="H6698" s="767">
        <v>20718.25</v>
      </c>
      <c r="I6698" s="768" t="s">
        <v>1806</v>
      </c>
    </row>
    <row r="6699" spans="1:9" x14ac:dyDescent="0.25">
      <c r="A6699" s="753"/>
      <c r="C6699" s="131" t="s">
        <v>1127</v>
      </c>
      <c r="D6699" s="131">
        <v>16</v>
      </c>
      <c r="E6699" s="131" t="s">
        <v>1807</v>
      </c>
      <c r="F6699" s="767">
        <v>87942</v>
      </c>
      <c r="G6699" s="767">
        <v>7464</v>
      </c>
      <c r="H6699" s="767">
        <v>95406</v>
      </c>
      <c r="I6699" s="768" t="s">
        <v>1808</v>
      </c>
    </row>
    <row r="6700" spans="1:9" x14ac:dyDescent="0.25">
      <c r="A6700" s="753"/>
      <c r="C6700" s="131" t="s">
        <v>1127</v>
      </c>
      <c r="D6700" s="131">
        <v>16</v>
      </c>
      <c r="E6700" s="131" t="s">
        <v>1809</v>
      </c>
      <c r="F6700" s="767">
        <v>7084</v>
      </c>
      <c r="G6700" s="767">
        <v>0</v>
      </c>
      <c r="H6700" s="767">
        <v>7084</v>
      </c>
      <c r="I6700" s="768" t="s">
        <v>1810</v>
      </c>
    </row>
    <row r="6701" spans="1:9" x14ac:dyDescent="0.25">
      <c r="A6701" s="753"/>
      <c r="C6701" s="131" t="s">
        <v>1127</v>
      </c>
      <c r="D6701" s="131">
        <v>16</v>
      </c>
      <c r="E6701" s="131" t="s">
        <v>1811</v>
      </c>
      <c r="F6701" s="767">
        <v>5210</v>
      </c>
      <c r="G6701" s="767">
        <v>0</v>
      </c>
      <c r="H6701" s="767">
        <v>5210</v>
      </c>
      <c r="I6701" s="768" t="s">
        <v>1812</v>
      </c>
    </row>
    <row r="6702" spans="1:9" x14ac:dyDescent="0.25">
      <c r="A6702" s="753"/>
      <c r="C6702" s="131" t="s">
        <v>1127</v>
      </c>
      <c r="D6702" s="131">
        <v>16</v>
      </c>
      <c r="E6702" s="131" t="s">
        <v>1150</v>
      </c>
      <c r="F6702" s="767">
        <v>82708.88</v>
      </c>
      <c r="G6702" s="767">
        <v>7700</v>
      </c>
      <c r="H6702" s="767">
        <v>90408.88</v>
      </c>
      <c r="I6702" s="768" t="s">
        <v>1813</v>
      </c>
    </row>
    <row r="6703" spans="1:9" x14ac:dyDescent="0.25">
      <c r="A6703" s="753"/>
      <c r="C6703" s="131" t="s">
        <v>1127</v>
      </c>
      <c r="D6703" s="131">
        <v>16</v>
      </c>
      <c r="E6703" s="131" t="s">
        <v>1814</v>
      </c>
      <c r="F6703" s="767">
        <v>2355.4</v>
      </c>
      <c r="G6703" s="767">
        <v>0</v>
      </c>
      <c r="H6703" s="767">
        <v>2355.4</v>
      </c>
      <c r="I6703" s="768" t="s">
        <v>1815</v>
      </c>
    </row>
    <row r="6704" spans="1:9" x14ac:dyDescent="0.25">
      <c r="A6704" s="753"/>
      <c r="C6704" s="131" t="s">
        <v>1127</v>
      </c>
      <c r="D6704" s="131">
        <v>16</v>
      </c>
      <c r="E6704" s="131" t="s">
        <v>1058</v>
      </c>
      <c r="F6704" s="767">
        <v>26863</v>
      </c>
      <c r="G6704" s="767">
        <v>2009.95</v>
      </c>
      <c r="H6704" s="767">
        <v>28872.95</v>
      </c>
      <c r="I6704" s="768" t="s">
        <v>1816</v>
      </c>
    </row>
    <row r="6705" spans="1:9" x14ac:dyDescent="0.25">
      <c r="A6705" s="753"/>
      <c r="C6705" s="131" t="s">
        <v>1129</v>
      </c>
      <c r="D6705" s="131">
        <v>16</v>
      </c>
      <c r="E6705" s="131" t="s">
        <v>1129</v>
      </c>
      <c r="F6705" s="767">
        <v>-114317.94</v>
      </c>
      <c r="G6705" s="767">
        <v>-15368</v>
      </c>
      <c r="H6705" s="767">
        <v>-129685.94</v>
      </c>
      <c r="I6705" s="768" t="s">
        <v>1818</v>
      </c>
    </row>
    <row r="6706" spans="1:9" x14ac:dyDescent="0.25">
      <c r="A6706" s="753"/>
      <c r="C6706" s="131" t="s">
        <v>1130</v>
      </c>
      <c r="D6706" s="131">
        <v>16</v>
      </c>
      <c r="E6706" s="131" t="s">
        <v>1130</v>
      </c>
      <c r="F6706" s="767">
        <v>64063</v>
      </c>
      <c r="G6706" s="767">
        <v>10427</v>
      </c>
      <c r="H6706" s="767">
        <v>74490</v>
      </c>
      <c r="I6706" s="768" t="s">
        <v>1819</v>
      </c>
    </row>
    <row r="6707" spans="1:9" x14ac:dyDescent="0.25">
      <c r="A6707" s="753"/>
      <c r="C6707" s="131" t="s">
        <v>1132</v>
      </c>
      <c r="D6707" s="131">
        <v>16</v>
      </c>
      <c r="E6707" s="131" t="s">
        <v>1132</v>
      </c>
      <c r="F6707" s="767">
        <v>-31815.1</v>
      </c>
      <c r="G6707" s="767">
        <v>-3545.2</v>
      </c>
      <c r="H6707" s="767">
        <v>-35360.300000000003</v>
      </c>
      <c r="I6707" s="768" t="s">
        <v>1821</v>
      </c>
    </row>
    <row r="6708" spans="1:9" x14ac:dyDescent="0.25">
      <c r="A6708" s="753"/>
      <c r="C6708" s="131" t="s">
        <v>1133</v>
      </c>
      <c r="D6708" s="131">
        <v>16</v>
      </c>
      <c r="E6708" s="131" t="s">
        <v>1133</v>
      </c>
      <c r="F6708" s="767">
        <v>22107.3</v>
      </c>
      <c r="G6708" s="767">
        <v>2729.1</v>
      </c>
      <c r="H6708" s="767">
        <v>24836.400000000001</v>
      </c>
      <c r="I6708" s="768" t="s">
        <v>1822</v>
      </c>
    </row>
    <row r="6709" spans="1:9" x14ac:dyDescent="0.25">
      <c r="A6709" s="753">
        <v>702918</v>
      </c>
      <c r="B6709" s="130">
        <v>7975</v>
      </c>
      <c r="E6709" s="131"/>
    </row>
    <row r="6710" spans="1:9" x14ac:dyDescent="0.25">
      <c r="A6710" s="753">
        <v>702922</v>
      </c>
      <c r="B6710" s="130">
        <v>208</v>
      </c>
      <c r="E6710" s="131"/>
    </row>
    <row r="6711" spans="1:9" x14ac:dyDescent="0.25">
      <c r="A6711" s="753">
        <v>702924</v>
      </c>
      <c r="B6711" s="130">
        <v>18364238</v>
      </c>
      <c r="E6711" s="131"/>
    </row>
    <row r="6712" spans="1:9" x14ac:dyDescent="0.25">
      <c r="A6712" s="753">
        <v>702926</v>
      </c>
      <c r="B6712" s="130">
        <v>1718038</v>
      </c>
      <c r="C6712" s="131">
        <v>416</v>
      </c>
      <c r="D6712" s="131">
        <v>16</v>
      </c>
      <c r="E6712" s="131">
        <v>416</v>
      </c>
      <c r="F6712" s="767">
        <v>-1003631.7</v>
      </c>
      <c r="G6712" s="767">
        <v>-238444</v>
      </c>
      <c r="H6712" s="767">
        <v>-1242075.7</v>
      </c>
      <c r="I6712" s="768" t="s">
        <v>1720</v>
      </c>
    </row>
    <row r="6713" spans="1:9" x14ac:dyDescent="0.25">
      <c r="A6713" s="753"/>
      <c r="C6713" s="131">
        <v>616</v>
      </c>
      <c r="D6713" s="131">
        <v>16</v>
      </c>
      <c r="E6713" s="131">
        <v>616</v>
      </c>
      <c r="F6713" s="767">
        <v>941860.05</v>
      </c>
      <c r="G6713" s="767">
        <v>224614.34</v>
      </c>
      <c r="H6713" s="767">
        <v>1166474.3899999999</v>
      </c>
      <c r="I6713" s="768" t="s">
        <v>1721</v>
      </c>
    </row>
    <row r="6714" spans="1:9" x14ac:dyDescent="0.25">
      <c r="A6714" s="753"/>
      <c r="C6714" s="131" t="s">
        <v>400</v>
      </c>
      <c r="D6714" s="131">
        <v>16</v>
      </c>
      <c r="E6714" s="131" t="s">
        <v>400</v>
      </c>
      <c r="F6714" s="767">
        <v>-139749.68</v>
      </c>
      <c r="G6714" s="767">
        <v>-74470.399999999994</v>
      </c>
      <c r="H6714" s="767">
        <v>-214220.08</v>
      </c>
      <c r="I6714" s="768" t="s">
        <v>1723</v>
      </c>
    </row>
    <row r="6715" spans="1:9" x14ac:dyDescent="0.25">
      <c r="A6715" s="753"/>
      <c r="C6715" s="131" t="s">
        <v>1100</v>
      </c>
      <c r="D6715" s="131">
        <v>16</v>
      </c>
      <c r="E6715" s="131" t="s">
        <v>1100</v>
      </c>
      <c r="F6715" s="767">
        <v>131422.87</v>
      </c>
      <c r="G6715" s="767">
        <v>69814.75</v>
      </c>
      <c r="H6715" s="767">
        <v>201237.62</v>
      </c>
      <c r="I6715" s="768" t="s">
        <v>1724</v>
      </c>
    </row>
    <row r="6716" spans="1:9" x14ac:dyDescent="0.25">
      <c r="A6716" s="753"/>
      <c r="C6716" s="131" t="s">
        <v>104</v>
      </c>
      <c r="D6716" s="131">
        <v>16</v>
      </c>
      <c r="E6716" s="131" t="s">
        <v>104</v>
      </c>
      <c r="F6716" s="767">
        <v>-1584890.7</v>
      </c>
      <c r="G6716" s="767">
        <v>0</v>
      </c>
      <c r="H6716" s="767">
        <v>-1584890.7</v>
      </c>
      <c r="I6716" s="768" t="s">
        <v>1728</v>
      </c>
    </row>
    <row r="6717" spans="1:9" x14ac:dyDescent="0.25">
      <c r="A6717" s="753"/>
      <c r="C6717" s="131" t="s">
        <v>1106</v>
      </c>
      <c r="D6717" s="131">
        <v>16</v>
      </c>
      <c r="E6717" s="131" t="s">
        <v>1106</v>
      </c>
      <c r="F6717" s="767">
        <v>1486270.54</v>
      </c>
      <c r="G6717" s="767">
        <v>0</v>
      </c>
      <c r="H6717" s="767">
        <v>1486270.54</v>
      </c>
      <c r="I6717" s="768" t="s">
        <v>1729</v>
      </c>
    </row>
    <row r="6718" spans="1:9" x14ac:dyDescent="0.25">
      <c r="A6718" s="753"/>
      <c r="C6718" s="131" t="s">
        <v>282</v>
      </c>
      <c r="D6718" s="131">
        <v>16</v>
      </c>
      <c r="E6718" s="131" t="s">
        <v>282</v>
      </c>
      <c r="F6718" s="767">
        <v>-355284</v>
      </c>
      <c r="G6718" s="767">
        <v>0</v>
      </c>
      <c r="H6718" s="767">
        <v>-355284</v>
      </c>
      <c r="I6718" s="768" t="s">
        <v>1731</v>
      </c>
    </row>
    <row r="6719" spans="1:9" x14ac:dyDescent="0.25">
      <c r="A6719" s="753"/>
      <c r="C6719" s="131" t="s">
        <v>1107</v>
      </c>
      <c r="D6719" s="131">
        <v>16</v>
      </c>
      <c r="E6719" s="131" t="s">
        <v>1107</v>
      </c>
      <c r="F6719" s="767">
        <v>333495.65000000002</v>
      </c>
      <c r="G6719" s="767">
        <v>0</v>
      </c>
      <c r="H6719" s="767">
        <v>333495.65000000002</v>
      </c>
      <c r="I6719" s="768" t="s">
        <v>1732</v>
      </c>
    </row>
    <row r="6720" spans="1:9" x14ac:dyDescent="0.25">
      <c r="A6720" s="753"/>
      <c r="C6720" s="131" t="s">
        <v>340</v>
      </c>
      <c r="D6720" s="131">
        <v>16</v>
      </c>
      <c r="E6720" s="131" t="s">
        <v>340</v>
      </c>
      <c r="F6720" s="767">
        <v>-482797.12</v>
      </c>
      <c r="G6720" s="767">
        <v>-236789.98</v>
      </c>
      <c r="H6720" s="767">
        <v>-719587.1</v>
      </c>
      <c r="I6720" s="768" t="s">
        <v>1734</v>
      </c>
    </row>
    <row r="6721" spans="1:9" x14ac:dyDescent="0.25">
      <c r="A6721" s="753"/>
      <c r="C6721" s="131" t="s">
        <v>1108</v>
      </c>
      <c r="D6721" s="131">
        <v>16</v>
      </c>
      <c r="E6721" s="131" t="s">
        <v>1108</v>
      </c>
      <c r="F6721" s="767">
        <v>453323.44</v>
      </c>
      <c r="G6721" s="767">
        <v>217365.05</v>
      </c>
      <c r="H6721" s="767">
        <v>670688.49</v>
      </c>
      <c r="I6721" s="768" t="s">
        <v>1735</v>
      </c>
    </row>
    <row r="6722" spans="1:9" x14ac:dyDescent="0.25">
      <c r="A6722" s="753"/>
      <c r="C6722" s="131" t="s">
        <v>301</v>
      </c>
      <c r="D6722" s="131">
        <v>16</v>
      </c>
      <c r="E6722" s="131" t="s">
        <v>301</v>
      </c>
      <c r="F6722" s="767">
        <v>-109302.93</v>
      </c>
      <c r="G6722" s="767">
        <v>0</v>
      </c>
      <c r="H6722" s="767">
        <v>-109302.93</v>
      </c>
      <c r="I6722" s="768" t="s">
        <v>2272</v>
      </c>
    </row>
    <row r="6723" spans="1:9" x14ac:dyDescent="0.25">
      <c r="A6723" s="753"/>
      <c r="C6723" s="131" t="s">
        <v>2273</v>
      </c>
      <c r="D6723" s="131">
        <v>16</v>
      </c>
      <c r="E6723" s="131" t="s">
        <v>2273</v>
      </c>
      <c r="F6723" s="767">
        <v>109633.12</v>
      </c>
      <c r="G6723" s="767">
        <v>0</v>
      </c>
      <c r="H6723" s="767">
        <v>109633.12</v>
      </c>
      <c r="I6723" s="768" t="s">
        <v>2274</v>
      </c>
    </row>
    <row r="6724" spans="1:9" x14ac:dyDescent="0.25">
      <c r="A6724" s="753"/>
      <c r="C6724" s="131" t="s">
        <v>237</v>
      </c>
      <c r="D6724" s="131">
        <v>16</v>
      </c>
      <c r="E6724" s="131" t="s">
        <v>237</v>
      </c>
      <c r="F6724" s="767">
        <v>-222837.66</v>
      </c>
      <c r="G6724" s="767">
        <v>0</v>
      </c>
      <c r="H6724" s="767">
        <v>-222837.66</v>
      </c>
      <c r="I6724" s="768" t="s">
        <v>1737</v>
      </c>
    </row>
    <row r="6725" spans="1:9" x14ac:dyDescent="0.25">
      <c r="A6725" s="753"/>
      <c r="C6725" s="131" t="s">
        <v>1094</v>
      </c>
      <c r="D6725" s="131">
        <v>16</v>
      </c>
      <c r="E6725" s="131" t="s">
        <v>1094</v>
      </c>
      <c r="F6725" s="767">
        <v>208571.21</v>
      </c>
      <c r="G6725" s="767">
        <v>0</v>
      </c>
      <c r="H6725" s="767">
        <v>208571.21</v>
      </c>
      <c r="I6725" s="768" t="s">
        <v>1738</v>
      </c>
    </row>
    <row r="6726" spans="1:9" x14ac:dyDescent="0.25">
      <c r="A6726" s="753"/>
      <c r="C6726" s="131" t="s">
        <v>258</v>
      </c>
      <c r="D6726" s="131">
        <v>16</v>
      </c>
      <c r="E6726" s="131" t="s">
        <v>258</v>
      </c>
      <c r="F6726" s="767">
        <v>-180770</v>
      </c>
      <c r="G6726" s="767">
        <v>0</v>
      </c>
      <c r="H6726" s="767">
        <v>-180770</v>
      </c>
      <c r="I6726" s="768" t="s">
        <v>1741</v>
      </c>
    </row>
    <row r="6727" spans="1:9" x14ac:dyDescent="0.25">
      <c r="A6727" s="753"/>
      <c r="C6727" s="131" t="s">
        <v>1742</v>
      </c>
      <c r="D6727" s="131">
        <v>16</v>
      </c>
      <c r="E6727" s="131" t="s">
        <v>1742</v>
      </c>
      <c r="F6727" s="767">
        <v>168281.09</v>
      </c>
      <c r="G6727" s="767">
        <v>0</v>
      </c>
      <c r="H6727" s="767">
        <v>168281.09</v>
      </c>
      <c r="I6727" s="768" t="s">
        <v>1743</v>
      </c>
    </row>
    <row r="6728" spans="1:9" x14ac:dyDescent="0.25">
      <c r="A6728" s="753"/>
      <c r="C6728" s="131" t="s">
        <v>105</v>
      </c>
      <c r="D6728" s="131">
        <v>16</v>
      </c>
      <c r="E6728" s="131" t="s">
        <v>105</v>
      </c>
      <c r="F6728" s="767">
        <v>-751239.23</v>
      </c>
      <c r="G6728" s="767">
        <v>-106773.5</v>
      </c>
      <c r="H6728" s="767">
        <v>-858012.73</v>
      </c>
      <c r="I6728" s="768" t="s">
        <v>1745</v>
      </c>
    </row>
    <row r="6729" spans="1:9" x14ac:dyDescent="0.25">
      <c r="A6729" s="753"/>
      <c r="C6729" s="131" t="s">
        <v>1110</v>
      </c>
      <c r="D6729" s="131">
        <v>16</v>
      </c>
      <c r="E6729" s="131" t="s">
        <v>1110</v>
      </c>
      <c r="F6729" s="767">
        <v>714996.42</v>
      </c>
      <c r="G6729" s="767">
        <v>102975</v>
      </c>
      <c r="H6729" s="767">
        <v>817971.42</v>
      </c>
      <c r="I6729" s="768" t="s">
        <v>1746</v>
      </c>
    </row>
    <row r="6730" spans="1:9" x14ac:dyDescent="0.25">
      <c r="A6730" s="753"/>
      <c r="C6730" s="131" t="s">
        <v>401</v>
      </c>
      <c r="D6730" s="131">
        <v>16</v>
      </c>
      <c r="E6730" s="131" t="s">
        <v>401</v>
      </c>
      <c r="F6730" s="767">
        <v>-976653.2</v>
      </c>
      <c r="G6730" s="767">
        <v>0</v>
      </c>
      <c r="H6730" s="767">
        <v>-976653.2</v>
      </c>
      <c r="I6730" s="768" t="s">
        <v>1748</v>
      </c>
    </row>
    <row r="6731" spans="1:9" x14ac:dyDescent="0.25">
      <c r="A6731" s="753"/>
      <c r="C6731" s="131" t="s">
        <v>1112</v>
      </c>
      <c r="D6731" s="131">
        <v>16</v>
      </c>
      <c r="E6731" s="131" t="s">
        <v>1112</v>
      </c>
      <c r="F6731" s="767">
        <v>912448.95</v>
      </c>
      <c r="G6731" s="767">
        <v>0</v>
      </c>
      <c r="H6731" s="767">
        <v>912448.95</v>
      </c>
      <c r="I6731" s="768" t="s">
        <v>1749</v>
      </c>
    </row>
    <row r="6732" spans="1:9" x14ac:dyDescent="0.25">
      <c r="A6732" s="753"/>
      <c r="C6732" s="131">
        <v>447</v>
      </c>
      <c r="D6732" s="131">
        <v>16</v>
      </c>
      <c r="E6732" s="131">
        <v>447</v>
      </c>
      <c r="F6732" s="767">
        <v>-151506.5</v>
      </c>
      <c r="G6732" s="767">
        <v>0</v>
      </c>
      <c r="H6732" s="767">
        <v>-151506.5</v>
      </c>
      <c r="I6732" s="768" t="s">
        <v>1751</v>
      </c>
    </row>
    <row r="6733" spans="1:9" x14ac:dyDescent="0.25">
      <c r="A6733" s="753"/>
      <c r="C6733" s="131">
        <v>647</v>
      </c>
      <c r="D6733" s="131">
        <v>16</v>
      </c>
      <c r="E6733" s="131">
        <v>647</v>
      </c>
      <c r="F6733" s="767">
        <v>145006.09</v>
      </c>
      <c r="G6733" s="767">
        <v>0</v>
      </c>
      <c r="H6733" s="767">
        <v>145006.09</v>
      </c>
      <c r="I6733" s="768" t="s">
        <v>1752</v>
      </c>
    </row>
    <row r="6734" spans="1:9" x14ac:dyDescent="0.25">
      <c r="A6734" s="753"/>
      <c r="C6734" s="131" t="s">
        <v>106</v>
      </c>
      <c r="D6734" s="131">
        <v>16</v>
      </c>
      <c r="E6734" s="131" t="s">
        <v>106</v>
      </c>
      <c r="F6734" s="767">
        <v>-227426</v>
      </c>
      <c r="G6734" s="767">
        <v>0</v>
      </c>
      <c r="H6734" s="767">
        <v>-227426</v>
      </c>
      <c r="I6734" s="768" t="s">
        <v>1754</v>
      </c>
    </row>
    <row r="6735" spans="1:9" x14ac:dyDescent="0.25">
      <c r="A6735" s="753"/>
      <c r="C6735" s="131" t="s">
        <v>1143</v>
      </c>
      <c r="D6735" s="131">
        <v>16</v>
      </c>
      <c r="E6735" s="131" t="s">
        <v>1143</v>
      </c>
      <c r="F6735" s="767">
        <v>214312.85</v>
      </c>
      <c r="G6735" s="767">
        <v>0</v>
      </c>
      <c r="H6735" s="767">
        <v>214312.85</v>
      </c>
      <c r="I6735" s="768" t="s">
        <v>1755</v>
      </c>
    </row>
    <row r="6736" spans="1:9" x14ac:dyDescent="0.25">
      <c r="A6736" s="753"/>
      <c r="C6736" s="131" t="s">
        <v>405</v>
      </c>
      <c r="D6736" s="131">
        <v>16</v>
      </c>
      <c r="E6736" s="131" t="s">
        <v>405</v>
      </c>
      <c r="F6736" s="767">
        <v>-235967</v>
      </c>
      <c r="G6736" s="767">
        <v>0</v>
      </c>
      <c r="H6736" s="767">
        <v>-235967</v>
      </c>
      <c r="I6736" s="768" t="s">
        <v>1757</v>
      </c>
    </row>
    <row r="6737" spans="1:9" x14ac:dyDescent="0.25">
      <c r="A6737" s="753"/>
      <c r="C6737" s="131" t="s">
        <v>1116</v>
      </c>
      <c r="D6737" s="131">
        <v>16</v>
      </c>
      <c r="E6737" s="131" t="s">
        <v>1116</v>
      </c>
      <c r="F6737" s="767">
        <v>220347.51999999999</v>
      </c>
      <c r="G6737" s="767">
        <v>0</v>
      </c>
      <c r="H6737" s="767">
        <v>220347.51999999999</v>
      </c>
      <c r="I6737" s="768" t="s">
        <v>1758</v>
      </c>
    </row>
    <row r="6738" spans="1:9" x14ac:dyDescent="0.25">
      <c r="A6738" s="753"/>
      <c r="C6738" s="131">
        <v>480</v>
      </c>
      <c r="D6738" s="131">
        <v>16</v>
      </c>
      <c r="E6738" s="131">
        <v>480</v>
      </c>
      <c r="F6738" s="767">
        <v>-273292.68</v>
      </c>
      <c r="G6738" s="767">
        <v>0</v>
      </c>
      <c r="H6738" s="767">
        <v>-273292.68</v>
      </c>
      <c r="I6738" s="768" t="s">
        <v>1760</v>
      </c>
    </row>
    <row r="6739" spans="1:9" x14ac:dyDescent="0.25">
      <c r="A6739" s="753"/>
      <c r="C6739" s="131">
        <v>680</v>
      </c>
      <c r="D6739" s="131">
        <v>16</v>
      </c>
      <c r="E6739" s="131">
        <v>680</v>
      </c>
      <c r="F6739" s="767">
        <v>269709.11</v>
      </c>
      <c r="G6739" s="767">
        <v>0</v>
      </c>
      <c r="H6739" s="767">
        <v>269709.11</v>
      </c>
      <c r="I6739" s="768" t="s">
        <v>1761</v>
      </c>
    </row>
    <row r="6740" spans="1:9" x14ac:dyDescent="0.25">
      <c r="A6740" s="753"/>
      <c r="C6740" s="131" t="s">
        <v>406</v>
      </c>
      <c r="D6740" s="131">
        <v>16</v>
      </c>
      <c r="E6740" s="131" t="s">
        <v>406</v>
      </c>
      <c r="F6740" s="767">
        <v>-309378.09999999998</v>
      </c>
      <c r="G6740" s="767">
        <v>0</v>
      </c>
      <c r="H6740" s="767">
        <v>-309378.09999999998</v>
      </c>
      <c r="I6740" s="768" t="s">
        <v>1764</v>
      </c>
    </row>
    <row r="6741" spans="1:9" x14ac:dyDescent="0.25">
      <c r="A6741" s="753"/>
      <c r="C6741" s="131" t="s">
        <v>1119</v>
      </c>
      <c r="D6741" s="131">
        <v>16</v>
      </c>
      <c r="E6741" s="131" t="s">
        <v>1119</v>
      </c>
      <c r="F6741" s="767">
        <v>291459.78000000003</v>
      </c>
      <c r="G6741" s="767">
        <v>0</v>
      </c>
      <c r="H6741" s="767">
        <v>291459.78000000003</v>
      </c>
      <c r="I6741" s="768" t="s">
        <v>1765</v>
      </c>
    </row>
    <row r="6742" spans="1:9" x14ac:dyDescent="0.25">
      <c r="A6742" s="753"/>
      <c r="C6742" s="131">
        <v>481</v>
      </c>
      <c r="D6742" s="131">
        <v>16</v>
      </c>
      <c r="E6742" s="131">
        <v>481</v>
      </c>
      <c r="F6742" s="767">
        <v>-237027.97</v>
      </c>
      <c r="G6742" s="767">
        <v>0</v>
      </c>
      <c r="H6742" s="767">
        <v>-237027.97</v>
      </c>
      <c r="I6742" s="768" t="s">
        <v>408</v>
      </c>
    </row>
    <row r="6743" spans="1:9" x14ac:dyDescent="0.25">
      <c r="A6743" s="753"/>
      <c r="C6743" s="131">
        <v>681</v>
      </c>
      <c r="D6743" s="131">
        <v>16</v>
      </c>
      <c r="E6743" s="131">
        <v>681</v>
      </c>
      <c r="F6743" s="767">
        <v>233811.43</v>
      </c>
      <c r="G6743" s="767">
        <v>0</v>
      </c>
      <c r="H6743" s="767">
        <v>233811.43</v>
      </c>
      <c r="I6743" s="768" t="s">
        <v>408</v>
      </c>
    </row>
    <row r="6744" spans="1:9" x14ac:dyDescent="0.25">
      <c r="A6744" s="753"/>
      <c r="C6744" s="131" t="s">
        <v>410</v>
      </c>
      <c r="D6744" s="131">
        <v>16</v>
      </c>
      <c r="E6744" s="131" t="s">
        <v>410</v>
      </c>
      <c r="F6744" s="767">
        <v>-246468.25</v>
      </c>
      <c r="G6744" s="767">
        <v>0</v>
      </c>
      <c r="H6744" s="767">
        <v>-246468.25</v>
      </c>
      <c r="I6744" s="768" t="s">
        <v>1767</v>
      </c>
    </row>
    <row r="6745" spans="1:9" x14ac:dyDescent="0.25">
      <c r="A6745" s="753"/>
      <c r="C6745" s="131" t="s">
        <v>1120</v>
      </c>
      <c r="D6745" s="131">
        <v>16</v>
      </c>
      <c r="E6745" s="131" t="s">
        <v>1120</v>
      </c>
      <c r="F6745" s="767">
        <v>235559.82</v>
      </c>
      <c r="G6745" s="767">
        <v>0</v>
      </c>
      <c r="H6745" s="767">
        <v>235559.82</v>
      </c>
      <c r="I6745" s="768" t="s">
        <v>1767</v>
      </c>
    </row>
    <row r="6746" spans="1:9" x14ac:dyDescent="0.25">
      <c r="A6746" s="753"/>
      <c r="C6746" s="131" t="s">
        <v>376</v>
      </c>
      <c r="D6746" s="131">
        <v>16</v>
      </c>
      <c r="E6746" s="131" t="s">
        <v>376</v>
      </c>
      <c r="F6746" s="767">
        <v>-98510.95</v>
      </c>
      <c r="G6746" s="767">
        <v>0</v>
      </c>
      <c r="H6746" s="767">
        <v>-98510.95</v>
      </c>
      <c r="I6746" s="768" t="s">
        <v>2278</v>
      </c>
    </row>
    <row r="6747" spans="1:9" x14ac:dyDescent="0.25">
      <c r="A6747" s="753"/>
      <c r="C6747" s="131" t="s">
        <v>2279</v>
      </c>
      <c r="D6747" s="131">
        <v>16</v>
      </c>
      <c r="E6747" s="131" t="s">
        <v>2279</v>
      </c>
      <c r="F6747" s="767">
        <v>97615</v>
      </c>
      <c r="G6747" s="767">
        <v>0</v>
      </c>
      <c r="H6747" s="767">
        <v>97615</v>
      </c>
      <c r="I6747" s="768" t="s">
        <v>2280</v>
      </c>
    </row>
    <row r="6748" spans="1:9" x14ac:dyDescent="0.25">
      <c r="A6748" s="753"/>
      <c r="C6748" s="131" t="s">
        <v>378</v>
      </c>
      <c r="D6748" s="131">
        <v>16</v>
      </c>
      <c r="E6748" s="131" t="s">
        <v>378</v>
      </c>
      <c r="F6748" s="767">
        <v>-323316.75</v>
      </c>
      <c r="G6748" s="767">
        <v>0</v>
      </c>
      <c r="H6748" s="767">
        <v>-323316.75</v>
      </c>
      <c r="I6748" s="768" t="s">
        <v>1769</v>
      </c>
    </row>
    <row r="6749" spans="1:9" x14ac:dyDescent="0.25">
      <c r="A6749" s="753"/>
      <c r="C6749" s="131" t="s">
        <v>1121</v>
      </c>
      <c r="D6749" s="131">
        <v>16</v>
      </c>
      <c r="E6749" s="131" t="s">
        <v>1121</v>
      </c>
      <c r="F6749" s="767">
        <v>316233.65000000002</v>
      </c>
      <c r="G6749" s="767">
        <v>0</v>
      </c>
      <c r="H6749" s="767">
        <v>316233.65000000002</v>
      </c>
      <c r="I6749" s="768" t="s">
        <v>1770</v>
      </c>
    </row>
    <row r="6750" spans="1:9" x14ac:dyDescent="0.25">
      <c r="A6750" s="753"/>
      <c r="C6750" s="131" t="s">
        <v>233</v>
      </c>
      <c r="D6750" s="131">
        <v>16</v>
      </c>
      <c r="E6750" s="131" t="s">
        <v>233</v>
      </c>
      <c r="F6750" s="767">
        <v>-49508.31</v>
      </c>
      <c r="G6750" s="767">
        <v>0</v>
      </c>
      <c r="H6750" s="767">
        <v>-49508.31</v>
      </c>
      <c r="I6750" s="768" t="s">
        <v>1824</v>
      </c>
    </row>
    <row r="6751" spans="1:9" x14ac:dyDescent="0.25">
      <c r="A6751" s="753"/>
      <c r="C6751" s="131" t="s">
        <v>1135</v>
      </c>
      <c r="D6751" s="131">
        <v>16</v>
      </c>
      <c r="E6751" s="131" t="s">
        <v>1135</v>
      </c>
      <c r="F6751" s="767">
        <v>44968.42</v>
      </c>
      <c r="G6751" s="767">
        <v>0</v>
      </c>
      <c r="H6751" s="767">
        <v>44968.42</v>
      </c>
      <c r="I6751" s="768" t="s">
        <v>1825</v>
      </c>
    </row>
    <row r="6752" spans="1:9" x14ac:dyDescent="0.25">
      <c r="A6752" s="753"/>
      <c r="C6752" s="131" t="s">
        <v>234</v>
      </c>
      <c r="D6752" s="131">
        <v>16</v>
      </c>
      <c r="E6752" s="131" t="s">
        <v>234</v>
      </c>
      <c r="F6752" s="767">
        <v>-66243.350000000006</v>
      </c>
      <c r="G6752" s="767">
        <v>0</v>
      </c>
      <c r="H6752" s="767">
        <v>-66243.350000000006</v>
      </c>
      <c r="I6752" s="768" t="s">
        <v>1827</v>
      </c>
    </row>
    <row r="6753" spans="1:9" x14ac:dyDescent="0.25">
      <c r="A6753" s="753"/>
      <c r="C6753" s="131" t="s">
        <v>1138</v>
      </c>
      <c r="D6753" s="131">
        <v>16</v>
      </c>
      <c r="E6753" s="131" t="s">
        <v>1138</v>
      </c>
      <c r="F6753" s="767">
        <v>64976.959999999999</v>
      </c>
      <c r="G6753" s="767">
        <v>0</v>
      </c>
      <c r="H6753" s="767">
        <v>64976.959999999999</v>
      </c>
      <c r="I6753" s="768" t="s">
        <v>1828</v>
      </c>
    </row>
    <row r="6754" spans="1:9" x14ac:dyDescent="0.25">
      <c r="A6754" s="753"/>
      <c r="C6754" s="131" t="s">
        <v>385</v>
      </c>
      <c r="D6754" s="131">
        <v>16</v>
      </c>
      <c r="E6754" s="131" t="s">
        <v>385</v>
      </c>
      <c r="F6754" s="767">
        <v>-88209.5</v>
      </c>
      <c r="G6754" s="767">
        <v>0</v>
      </c>
      <c r="H6754" s="767">
        <v>-88209.5</v>
      </c>
      <c r="I6754" s="768" t="s">
        <v>2283</v>
      </c>
    </row>
    <row r="6755" spans="1:9" x14ac:dyDescent="0.25">
      <c r="A6755" s="753"/>
      <c r="C6755" s="131" t="s">
        <v>1136</v>
      </c>
      <c r="D6755" s="131">
        <v>16</v>
      </c>
      <c r="E6755" s="131" t="s">
        <v>1136</v>
      </c>
      <c r="F6755" s="767">
        <v>84914.34</v>
      </c>
      <c r="G6755" s="767">
        <v>0</v>
      </c>
      <c r="H6755" s="767">
        <v>84914.34</v>
      </c>
      <c r="I6755" s="768" t="s">
        <v>1829</v>
      </c>
    </row>
    <row r="6756" spans="1:9" x14ac:dyDescent="0.25">
      <c r="A6756" s="753"/>
      <c r="C6756" s="131" t="s">
        <v>100</v>
      </c>
      <c r="D6756" s="131">
        <v>16</v>
      </c>
      <c r="E6756" s="131" t="s">
        <v>100</v>
      </c>
      <c r="F6756" s="767">
        <v>-63527.8</v>
      </c>
      <c r="G6756" s="767">
        <v>0</v>
      </c>
      <c r="H6756" s="767">
        <v>-63527.8</v>
      </c>
      <c r="I6756" s="768" t="s">
        <v>1831</v>
      </c>
    </row>
    <row r="6757" spans="1:9" x14ac:dyDescent="0.25">
      <c r="A6757" s="753"/>
      <c r="C6757" s="131" t="s">
        <v>1142</v>
      </c>
      <c r="D6757" s="131">
        <v>16</v>
      </c>
      <c r="E6757" s="131" t="s">
        <v>1142</v>
      </c>
      <c r="F6757" s="767">
        <v>62923.61</v>
      </c>
      <c r="G6757" s="767">
        <v>0</v>
      </c>
      <c r="H6757" s="767">
        <v>62923.61</v>
      </c>
      <c r="I6757" s="768" t="s">
        <v>1832</v>
      </c>
    </row>
    <row r="6758" spans="1:9" x14ac:dyDescent="0.25">
      <c r="A6758" s="753"/>
      <c r="C6758" s="131" t="s">
        <v>255</v>
      </c>
      <c r="D6758" s="131">
        <v>16</v>
      </c>
      <c r="E6758" s="131" t="s">
        <v>255</v>
      </c>
      <c r="F6758" s="767">
        <v>-295643.12</v>
      </c>
      <c r="G6758" s="767">
        <v>0</v>
      </c>
      <c r="H6758" s="767">
        <v>-295643.12</v>
      </c>
      <c r="I6758" s="768" t="s">
        <v>1833</v>
      </c>
    </row>
    <row r="6759" spans="1:9" x14ac:dyDescent="0.25">
      <c r="A6759" s="753"/>
      <c r="C6759" s="131" t="s">
        <v>1145</v>
      </c>
      <c r="D6759" s="131">
        <v>16</v>
      </c>
      <c r="E6759" s="131" t="s">
        <v>1145</v>
      </c>
      <c r="F6759" s="767">
        <v>278307.76</v>
      </c>
      <c r="G6759" s="767">
        <v>0</v>
      </c>
      <c r="H6759" s="767">
        <v>278307.76</v>
      </c>
      <c r="I6759" s="768" t="s">
        <v>1833</v>
      </c>
    </row>
    <row r="6760" spans="1:9" x14ac:dyDescent="0.25">
      <c r="A6760" s="753"/>
      <c r="C6760" s="131" t="s">
        <v>101</v>
      </c>
      <c r="D6760" s="131">
        <v>16</v>
      </c>
      <c r="E6760" s="131" t="s">
        <v>101</v>
      </c>
      <c r="F6760" s="767">
        <v>-80066.53</v>
      </c>
      <c r="G6760" s="767">
        <v>0</v>
      </c>
      <c r="H6760" s="767">
        <v>-80066.53</v>
      </c>
      <c r="I6760" s="768" t="s">
        <v>1834</v>
      </c>
    </row>
    <row r="6761" spans="1:9" x14ac:dyDescent="0.25">
      <c r="A6761" s="753"/>
      <c r="C6761" s="131" t="s">
        <v>1147</v>
      </c>
      <c r="D6761" s="131">
        <v>16</v>
      </c>
      <c r="E6761" s="131" t="s">
        <v>1147</v>
      </c>
      <c r="F6761" s="767">
        <v>76375.27</v>
      </c>
      <c r="G6761" s="767">
        <v>0</v>
      </c>
      <c r="H6761" s="767">
        <v>76375.27</v>
      </c>
      <c r="I6761" s="768" t="s">
        <v>1834</v>
      </c>
    </row>
    <row r="6762" spans="1:9" x14ac:dyDescent="0.25">
      <c r="A6762" s="753"/>
      <c r="C6762" s="131" t="s">
        <v>235</v>
      </c>
      <c r="D6762" s="131">
        <v>16</v>
      </c>
      <c r="E6762" s="131" t="s">
        <v>235</v>
      </c>
      <c r="F6762" s="767">
        <v>0</v>
      </c>
      <c r="G6762" s="767">
        <v>-181349.96</v>
      </c>
      <c r="H6762" s="767">
        <v>-181349.96</v>
      </c>
      <c r="I6762" s="768" t="s">
        <v>2286</v>
      </c>
    </row>
    <row r="6763" spans="1:9" x14ac:dyDescent="0.25">
      <c r="A6763" s="753"/>
      <c r="C6763" s="131" t="s">
        <v>2287</v>
      </c>
      <c r="D6763" s="131">
        <v>16</v>
      </c>
      <c r="E6763" s="131" t="s">
        <v>2287</v>
      </c>
      <c r="F6763" s="767">
        <v>0</v>
      </c>
      <c r="G6763" s="767">
        <v>175112.67</v>
      </c>
      <c r="H6763" s="767">
        <v>175112.67</v>
      </c>
      <c r="I6763" s="768" t="s">
        <v>2288</v>
      </c>
    </row>
    <row r="6764" spans="1:9" x14ac:dyDescent="0.25">
      <c r="A6764" s="753"/>
      <c r="C6764" s="131" t="s">
        <v>364</v>
      </c>
      <c r="D6764" s="131">
        <v>16</v>
      </c>
      <c r="E6764" s="131" t="s">
        <v>364</v>
      </c>
      <c r="F6764" s="767">
        <v>-120423.5</v>
      </c>
      <c r="G6764" s="767">
        <v>-107635.36</v>
      </c>
      <c r="H6764" s="767">
        <v>-228058.86</v>
      </c>
      <c r="I6764" s="768" t="s">
        <v>2291</v>
      </c>
    </row>
    <row r="6765" spans="1:9" x14ac:dyDescent="0.25">
      <c r="A6765" s="753"/>
      <c r="C6765" s="131" t="s">
        <v>2292</v>
      </c>
      <c r="D6765" s="131">
        <v>16</v>
      </c>
      <c r="E6765" s="131" t="s">
        <v>2292</v>
      </c>
      <c r="F6765" s="767">
        <v>111575</v>
      </c>
      <c r="G6765" s="767">
        <v>100537.06</v>
      </c>
      <c r="H6765" s="767">
        <v>212112.06</v>
      </c>
      <c r="I6765" s="768" t="s">
        <v>2293</v>
      </c>
    </row>
    <row r="6766" spans="1:9" x14ac:dyDescent="0.25">
      <c r="A6766" s="753"/>
      <c r="C6766" s="131" t="s">
        <v>371</v>
      </c>
      <c r="D6766" s="131">
        <v>16</v>
      </c>
      <c r="E6766" s="131" t="s">
        <v>371</v>
      </c>
      <c r="F6766" s="767">
        <v>-106923.5</v>
      </c>
      <c r="G6766" s="767">
        <v>0</v>
      </c>
      <c r="H6766" s="767">
        <v>-106923.5</v>
      </c>
      <c r="I6766" s="768" t="s">
        <v>1836</v>
      </c>
    </row>
    <row r="6767" spans="1:9" x14ac:dyDescent="0.25">
      <c r="A6767" s="753"/>
      <c r="C6767" s="131" t="s">
        <v>1152</v>
      </c>
      <c r="D6767" s="131">
        <v>16</v>
      </c>
      <c r="E6767" s="131" t="s">
        <v>1152</v>
      </c>
      <c r="F6767" s="767">
        <v>102290.17</v>
      </c>
      <c r="G6767" s="767">
        <v>0</v>
      </c>
      <c r="H6767" s="767">
        <v>102290.17</v>
      </c>
      <c r="I6767" s="768" t="s">
        <v>1837</v>
      </c>
    </row>
    <row r="6768" spans="1:9" x14ac:dyDescent="0.25">
      <c r="A6768" s="753"/>
      <c r="C6768" s="131" t="s">
        <v>0</v>
      </c>
      <c r="D6768" s="131">
        <v>16</v>
      </c>
      <c r="E6768" s="131" t="s">
        <v>0</v>
      </c>
      <c r="F6768" s="767">
        <v>-90273.5</v>
      </c>
      <c r="G6768" s="767">
        <v>0</v>
      </c>
      <c r="H6768" s="767">
        <v>-90273.5</v>
      </c>
      <c r="I6768" s="768" t="s">
        <v>1839</v>
      </c>
    </row>
    <row r="6769" spans="1:9" x14ac:dyDescent="0.25">
      <c r="A6769" s="753"/>
      <c r="C6769" s="131" t="s">
        <v>1117</v>
      </c>
      <c r="D6769" s="131">
        <v>16</v>
      </c>
      <c r="E6769" s="131" t="s">
        <v>1117</v>
      </c>
      <c r="F6769" s="767">
        <v>82763.5</v>
      </c>
      <c r="G6769" s="767">
        <v>0</v>
      </c>
      <c r="H6769" s="767">
        <v>82763.5</v>
      </c>
      <c r="I6769" s="768" t="s">
        <v>1840</v>
      </c>
    </row>
    <row r="6770" spans="1:9" x14ac:dyDescent="0.25">
      <c r="A6770" s="753"/>
      <c r="C6770" s="131" t="s">
        <v>388</v>
      </c>
      <c r="D6770" s="131">
        <v>16</v>
      </c>
      <c r="E6770" s="131" t="s">
        <v>388</v>
      </c>
      <c r="F6770" s="767">
        <v>-488096.67</v>
      </c>
      <c r="G6770" s="767">
        <v>-138273.37</v>
      </c>
      <c r="H6770" s="767">
        <v>-626370.04</v>
      </c>
      <c r="I6770" s="768" t="s">
        <v>1842</v>
      </c>
    </row>
    <row r="6771" spans="1:9" x14ac:dyDescent="0.25">
      <c r="A6771" s="753"/>
      <c r="C6771" s="131" t="s">
        <v>1157</v>
      </c>
      <c r="D6771" s="131">
        <v>16</v>
      </c>
      <c r="E6771" s="131" t="s">
        <v>1157</v>
      </c>
      <c r="F6771" s="767">
        <v>453839.9</v>
      </c>
      <c r="G6771" s="767">
        <v>126082.57</v>
      </c>
      <c r="H6771" s="767">
        <v>579922.47</v>
      </c>
      <c r="I6771" s="768" t="s">
        <v>1843</v>
      </c>
    </row>
    <row r="6772" spans="1:9" x14ac:dyDescent="0.25">
      <c r="A6772" s="753"/>
      <c r="C6772" s="131" t="s">
        <v>372</v>
      </c>
      <c r="D6772" s="131">
        <v>16</v>
      </c>
      <c r="E6772" s="131" t="s">
        <v>372</v>
      </c>
      <c r="F6772" s="767">
        <v>-1072320</v>
      </c>
      <c r="G6772" s="767">
        <v>-324698.42</v>
      </c>
      <c r="H6772" s="767">
        <v>-1397018.42</v>
      </c>
      <c r="I6772" s="768" t="s">
        <v>1845</v>
      </c>
    </row>
    <row r="6773" spans="1:9" x14ac:dyDescent="0.25">
      <c r="A6773" s="753"/>
      <c r="C6773" s="131" t="s">
        <v>1159</v>
      </c>
      <c r="D6773" s="131">
        <v>16</v>
      </c>
      <c r="E6773" s="131" t="s">
        <v>1159</v>
      </c>
      <c r="F6773" s="767">
        <v>1004366.9</v>
      </c>
      <c r="G6773" s="767">
        <v>299603.12</v>
      </c>
      <c r="H6773" s="767">
        <v>1303970.02</v>
      </c>
      <c r="I6773" s="768" t="s">
        <v>1846</v>
      </c>
    </row>
    <row r="6774" spans="1:9" x14ac:dyDescent="0.25">
      <c r="A6774" s="753"/>
      <c r="C6774" s="131" t="s">
        <v>389</v>
      </c>
      <c r="D6774" s="131">
        <v>16</v>
      </c>
      <c r="E6774" s="131" t="s">
        <v>389</v>
      </c>
      <c r="F6774" s="767">
        <v>-160941.5</v>
      </c>
      <c r="G6774" s="767">
        <v>0</v>
      </c>
      <c r="H6774" s="767">
        <v>-160941.5</v>
      </c>
      <c r="I6774" s="768" t="s">
        <v>2296</v>
      </c>
    </row>
    <row r="6775" spans="1:9" x14ac:dyDescent="0.25">
      <c r="A6775" s="753"/>
      <c r="C6775" s="131" t="s">
        <v>2297</v>
      </c>
      <c r="D6775" s="131">
        <v>16</v>
      </c>
      <c r="E6775" s="131" t="s">
        <v>2297</v>
      </c>
      <c r="F6775" s="767">
        <v>156088.57999999999</v>
      </c>
      <c r="G6775" s="767">
        <v>0</v>
      </c>
      <c r="H6775" s="767">
        <v>156088.57999999999</v>
      </c>
      <c r="I6775" s="768" t="s">
        <v>2298</v>
      </c>
    </row>
    <row r="6776" spans="1:9" x14ac:dyDescent="0.25">
      <c r="A6776" s="753"/>
      <c r="C6776" s="131" t="s">
        <v>373</v>
      </c>
      <c r="D6776" s="131">
        <v>16</v>
      </c>
      <c r="E6776" s="131" t="s">
        <v>373</v>
      </c>
      <c r="F6776" s="767">
        <v>-345515.77</v>
      </c>
      <c r="G6776" s="767">
        <v>0</v>
      </c>
      <c r="H6776" s="767">
        <v>-345515.77</v>
      </c>
      <c r="I6776" s="768" t="s">
        <v>2301</v>
      </c>
    </row>
    <row r="6777" spans="1:9" x14ac:dyDescent="0.25">
      <c r="A6777" s="753"/>
      <c r="C6777" s="131" t="s">
        <v>2302</v>
      </c>
      <c r="D6777" s="131">
        <v>16</v>
      </c>
      <c r="E6777" s="131" t="s">
        <v>2302</v>
      </c>
      <c r="F6777" s="767">
        <v>339379.44</v>
      </c>
      <c r="G6777" s="767">
        <v>0</v>
      </c>
      <c r="H6777" s="767">
        <v>339379.44</v>
      </c>
      <c r="I6777" s="768" t="s">
        <v>2303</v>
      </c>
    </row>
    <row r="6778" spans="1:9" x14ac:dyDescent="0.25">
      <c r="A6778" s="753"/>
      <c r="C6778" s="131" t="s">
        <v>365</v>
      </c>
      <c r="D6778" s="131">
        <v>16</v>
      </c>
      <c r="E6778" s="131" t="s">
        <v>365</v>
      </c>
      <c r="F6778" s="767">
        <v>-242245.5</v>
      </c>
      <c r="G6778" s="767">
        <v>0</v>
      </c>
      <c r="H6778" s="767">
        <v>-242245.5</v>
      </c>
      <c r="I6778" s="768" t="s">
        <v>1850</v>
      </c>
    </row>
    <row r="6779" spans="1:9" x14ac:dyDescent="0.25">
      <c r="A6779" s="753"/>
      <c r="C6779" s="131" t="s">
        <v>365</v>
      </c>
      <c r="D6779" s="131">
        <v>16</v>
      </c>
      <c r="E6779" s="131" t="s">
        <v>1139</v>
      </c>
      <c r="F6779" s="767">
        <v>-72260.61</v>
      </c>
      <c r="G6779" s="767">
        <v>0</v>
      </c>
      <c r="H6779" s="767">
        <v>-72260.61</v>
      </c>
      <c r="I6779" s="768" t="s">
        <v>1851</v>
      </c>
    </row>
    <row r="6780" spans="1:9" x14ac:dyDescent="0.25">
      <c r="A6780" s="753"/>
      <c r="C6780" s="131" t="s">
        <v>1161</v>
      </c>
      <c r="D6780" s="131">
        <v>16</v>
      </c>
      <c r="E6780" s="131" t="s">
        <v>1161</v>
      </c>
      <c r="F6780" s="767">
        <v>225357.57</v>
      </c>
      <c r="G6780" s="767">
        <v>0</v>
      </c>
      <c r="H6780" s="767">
        <v>225357.57</v>
      </c>
      <c r="I6780" s="768" t="s">
        <v>1852</v>
      </c>
    </row>
    <row r="6781" spans="1:9" x14ac:dyDescent="0.25">
      <c r="A6781" s="753"/>
      <c r="C6781" s="131" t="s">
        <v>1161</v>
      </c>
      <c r="D6781" s="131">
        <v>16</v>
      </c>
      <c r="E6781" s="131" t="s">
        <v>1140</v>
      </c>
      <c r="F6781" s="767">
        <v>65199.61</v>
      </c>
      <c r="G6781" s="767">
        <v>0</v>
      </c>
      <c r="H6781" s="767">
        <v>65199.61</v>
      </c>
      <c r="I6781" s="768" t="s">
        <v>1853</v>
      </c>
    </row>
    <row r="6782" spans="1:9" x14ac:dyDescent="0.25">
      <c r="A6782" s="753"/>
      <c r="C6782" s="131" t="s">
        <v>416</v>
      </c>
      <c r="D6782" s="131">
        <v>16</v>
      </c>
      <c r="E6782" s="131" t="s">
        <v>416</v>
      </c>
      <c r="F6782" s="767">
        <v>-97623.5</v>
      </c>
      <c r="G6782" s="767">
        <v>0</v>
      </c>
      <c r="H6782" s="767">
        <v>-97623.5</v>
      </c>
      <c r="I6782" s="768" t="s">
        <v>1854</v>
      </c>
    </row>
    <row r="6783" spans="1:9" x14ac:dyDescent="0.25">
      <c r="A6783" s="753"/>
      <c r="C6783" s="131" t="s">
        <v>1163</v>
      </c>
      <c r="D6783" s="131">
        <v>16</v>
      </c>
      <c r="E6783" s="131" t="s">
        <v>1163</v>
      </c>
      <c r="F6783" s="767">
        <v>90757.33</v>
      </c>
      <c r="G6783" s="767">
        <v>0</v>
      </c>
      <c r="H6783" s="767">
        <v>90757.33</v>
      </c>
      <c r="I6783" s="768" t="s">
        <v>1854</v>
      </c>
    </row>
    <row r="6784" spans="1:9" x14ac:dyDescent="0.25">
      <c r="A6784" s="753"/>
      <c r="C6784" s="131" t="s">
        <v>256</v>
      </c>
      <c r="D6784" s="131">
        <v>16</v>
      </c>
      <c r="E6784" s="131" t="s">
        <v>256</v>
      </c>
      <c r="F6784" s="767">
        <v>-121994.74</v>
      </c>
      <c r="G6784" s="767">
        <v>0</v>
      </c>
      <c r="H6784" s="767">
        <v>-121994.74</v>
      </c>
      <c r="I6784" s="768" t="s">
        <v>1856</v>
      </c>
    </row>
    <row r="6785" spans="1:9" x14ac:dyDescent="0.25">
      <c r="A6785" s="753"/>
      <c r="C6785" s="131" t="s">
        <v>1165</v>
      </c>
      <c r="D6785" s="131">
        <v>16</v>
      </c>
      <c r="E6785" s="131" t="s">
        <v>1165</v>
      </c>
      <c r="F6785" s="767">
        <v>116172.84</v>
      </c>
      <c r="G6785" s="767">
        <v>0</v>
      </c>
      <c r="H6785" s="767">
        <v>116172.84</v>
      </c>
      <c r="I6785" s="768" t="s">
        <v>1857</v>
      </c>
    </row>
    <row r="6786" spans="1:9" x14ac:dyDescent="0.25">
      <c r="A6786" s="753"/>
      <c r="C6786" s="131" t="s">
        <v>366</v>
      </c>
      <c r="D6786" s="131">
        <v>16</v>
      </c>
      <c r="E6786" s="131" t="s">
        <v>366</v>
      </c>
      <c r="F6786" s="767">
        <v>-133336.91</v>
      </c>
      <c r="G6786" s="767">
        <v>0</v>
      </c>
      <c r="H6786" s="767">
        <v>-133336.91</v>
      </c>
      <c r="I6786" s="768" t="s">
        <v>1859</v>
      </c>
    </row>
    <row r="6787" spans="1:9" x14ac:dyDescent="0.25">
      <c r="A6787" s="753"/>
      <c r="C6787" s="131" t="s">
        <v>1155</v>
      </c>
      <c r="D6787" s="131">
        <v>16</v>
      </c>
      <c r="E6787" s="131" t="s">
        <v>1155</v>
      </c>
      <c r="F6787" s="767">
        <v>124643.41</v>
      </c>
      <c r="G6787" s="767">
        <v>0</v>
      </c>
      <c r="H6787" s="767">
        <v>124643.41</v>
      </c>
      <c r="I6787" s="768" t="s">
        <v>1860</v>
      </c>
    </row>
    <row r="6788" spans="1:9" x14ac:dyDescent="0.25">
      <c r="A6788" s="753"/>
      <c r="C6788" s="131" t="s">
        <v>391</v>
      </c>
      <c r="D6788" s="131">
        <v>16</v>
      </c>
      <c r="E6788" s="131" t="s">
        <v>391</v>
      </c>
      <c r="F6788" s="767">
        <v>-227978.65</v>
      </c>
      <c r="G6788" s="767">
        <v>0</v>
      </c>
      <c r="H6788" s="767">
        <v>-227978.65</v>
      </c>
      <c r="I6788" s="768" t="s">
        <v>1862</v>
      </c>
    </row>
    <row r="6789" spans="1:9" x14ac:dyDescent="0.25">
      <c r="A6789" s="753"/>
      <c r="C6789" s="131" t="s">
        <v>1168</v>
      </c>
      <c r="D6789" s="131">
        <v>16</v>
      </c>
      <c r="E6789" s="131" t="s">
        <v>1168</v>
      </c>
      <c r="F6789" s="767">
        <v>216450.03</v>
      </c>
      <c r="G6789" s="767">
        <v>0</v>
      </c>
      <c r="H6789" s="767">
        <v>216450.03</v>
      </c>
      <c r="I6789" s="768" t="s">
        <v>1863</v>
      </c>
    </row>
    <row r="6790" spans="1:9" x14ac:dyDescent="0.25">
      <c r="A6790" s="753"/>
      <c r="C6790" s="131">
        <v>415</v>
      </c>
      <c r="D6790" s="131">
        <v>16</v>
      </c>
      <c r="E6790" s="131">
        <v>415</v>
      </c>
      <c r="F6790" s="767">
        <v>0</v>
      </c>
      <c r="G6790" s="767">
        <v>-140922.95000000001</v>
      </c>
      <c r="H6790" s="767">
        <v>-140922.95000000001</v>
      </c>
      <c r="I6790" s="768" t="s">
        <v>2306</v>
      </c>
    </row>
    <row r="6791" spans="1:9" x14ac:dyDescent="0.25">
      <c r="A6791" s="753"/>
      <c r="C6791" s="131">
        <v>615</v>
      </c>
      <c r="D6791" s="131">
        <v>16</v>
      </c>
      <c r="E6791" s="131">
        <v>615</v>
      </c>
      <c r="F6791" s="767">
        <v>0</v>
      </c>
      <c r="G6791" s="767">
        <v>135011.85</v>
      </c>
      <c r="H6791" s="767">
        <v>135011.85</v>
      </c>
      <c r="I6791" s="768" t="s">
        <v>2307</v>
      </c>
    </row>
    <row r="6792" spans="1:9" x14ac:dyDescent="0.25">
      <c r="A6792" s="753"/>
      <c r="C6792" s="131" t="s">
        <v>394</v>
      </c>
      <c r="D6792" s="131">
        <v>16</v>
      </c>
      <c r="E6792" s="131" t="s">
        <v>394</v>
      </c>
      <c r="F6792" s="767">
        <v>-118545.13</v>
      </c>
      <c r="G6792" s="767">
        <v>0</v>
      </c>
      <c r="H6792" s="767">
        <v>-118545.13</v>
      </c>
      <c r="I6792" s="768" t="s">
        <v>1865</v>
      </c>
    </row>
    <row r="6793" spans="1:9" x14ac:dyDescent="0.25">
      <c r="A6793" s="753"/>
      <c r="C6793" s="131" t="s">
        <v>1122</v>
      </c>
      <c r="D6793" s="131">
        <v>16</v>
      </c>
      <c r="E6793" s="131" t="s">
        <v>1122</v>
      </c>
      <c r="F6793" s="767">
        <v>118545.13</v>
      </c>
      <c r="G6793" s="767">
        <v>0</v>
      </c>
      <c r="H6793" s="767">
        <v>118545.13</v>
      </c>
      <c r="I6793" s="768" t="s">
        <v>1866</v>
      </c>
    </row>
    <row r="6794" spans="1:9" x14ac:dyDescent="0.25">
      <c r="A6794" s="753"/>
      <c r="C6794" s="131" t="s">
        <v>292</v>
      </c>
      <c r="D6794" s="131">
        <v>16</v>
      </c>
      <c r="E6794" s="131" t="s">
        <v>1080</v>
      </c>
      <c r="F6794" s="767">
        <v>-128273.5</v>
      </c>
      <c r="G6794" s="767">
        <v>0</v>
      </c>
      <c r="H6794" s="767">
        <v>-128273.5</v>
      </c>
      <c r="I6794" s="768" t="s">
        <v>1868</v>
      </c>
    </row>
    <row r="6795" spans="1:9" x14ac:dyDescent="0.25">
      <c r="A6795" s="753"/>
      <c r="C6795" s="131" t="s">
        <v>1174</v>
      </c>
      <c r="D6795" s="131">
        <v>16</v>
      </c>
      <c r="E6795" s="131" t="s">
        <v>1081</v>
      </c>
      <c r="F6795" s="767">
        <v>115038.03</v>
      </c>
      <c r="G6795" s="767">
        <v>0</v>
      </c>
      <c r="H6795" s="767">
        <v>115038.03</v>
      </c>
      <c r="I6795" s="768" t="s">
        <v>1869</v>
      </c>
    </row>
    <row r="6796" spans="1:9" x14ac:dyDescent="0.25">
      <c r="A6796" s="753"/>
      <c r="C6796" s="131" t="s">
        <v>297</v>
      </c>
      <c r="D6796" s="131">
        <v>16</v>
      </c>
      <c r="E6796" s="131" t="s">
        <v>297</v>
      </c>
      <c r="F6796" s="767">
        <v>-156342</v>
      </c>
      <c r="G6796" s="767">
        <v>0</v>
      </c>
      <c r="H6796" s="767">
        <v>-156342</v>
      </c>
      <c r="I6796" s="768" t="s">
        <v>1871</v>
      </c>
    </row>
    <row r="6797" spans="1:9" x14ac:dyDescent="0.25">
      <c r="A6797" s="753"/>
      <c r="C6797" s="131" t="s">
        <v>1083</v>
      </c>
      <c r="D6797" s="131">
        <v>16</v>
      </c>
      <c r="E6797" s="131" t="s">
        <v>1083</v>
      </c>
      <c r="F6797" s="767">
        <v>147709.57999999999</v>
      </c>
      <c r="G6797" s="767">
        <v>0</v>
      </c>
      <c r="H6797" s="767">
        <v>147709.57999999999</v>
      </c>
      <c r="I6797" s="768" t="s">
        <v>1872</v>
      </c>
    </row>
    <row r="6798" spans="1:9" x14ac:dyDescent="0.25">
      <c r="A6798" s="753"/>
      <c r="C6798" s="131" t="s">
        <v>299</v>
      </c>
      <c r="D6798" s="131">
        <v>16</v>
      </c>
      <c r="E6798" s="131" t="s">
        <v>299</v>
      </c>
      <c r="F6798" s="767">
        <v>-363200</v>
      </c>
      <c r="G6798" s="767">
        <v>0</v>
      </c>
      <c r="H6798" s="767">
        <v>-363200</v>
      </c>
      <c r="I6798" s="768" t="s">
        <v>1874</v>
      </c>
    </row>
    <row r="6799" spans="1:9" x14ac:dyDescent="0.25">
      <c r="A6799" s="753"/>
      <c r="C6799" s="131" t="s">
        <v>1180</v>
      </c>
      <c r="D6799" s="131">
        <v>16</v>
      </c>
      <c r="E6799" s="131" t="s">
        <v>1180</v>
      </c>
      <c r="F6799" s="767">
        <v>343503.43</v>
      </c>
      <c r="G6799" s="767">
        <v>0</v>
      </c>
      <c r="H6799" s="767">
        <v>343503.43</v>
      </c>
      <c r="I6799" s="768" t="s">
        <v>1875</v>
      </c>
    </row>
    <row r="6800" spans="1:9" x14ac:dyDescent="0.25">
      <c r="A6800" s="753"/>
      <c r="C6800" s="131">
        <v>409</v>
      </c>
      <c r="D6800" s="131">
        <v>16</v>
      </c>
      <c r="E6800" s="131">
        <v>409</v>
      </c>
      <c r="F6800" s="767">
        <v>-363098.13</v>
      </c>
      <c r="G6800" s="767">
        <v>-188223.59</v>
      </c>
      <c r="H6800" s="767">
        <v>-551321.72</v>
      </c>
      <c r="I6800" s="768" t="s">
        <v>1725</v>
      </c>
    </row>
    <row r="6801" spans="1:9" x14ac:dyDescent="0.25">
      <c r="A6801" s="753"/>
      <c r="C6801" s="131">
        <v>609</v>
      </c>
      <c r="D6801" s="131">
        <v>16</v>
      </c>
      <c r="E6801" s="131">
        <v>609</v>
      </c>
      <c r="F6801" s="767">
        <v>341003.75</v>
      </c>
      <c r="G6801" s="767">
        <v>179636.18</v>
      </c>
      <c r="H6801" s="767">
        <v>520639.93</v>
      </c>
      <c r="I6801" s="768" t="s">
        <v>1725</v>
      </c>
    </row>
    <row r="6802" spans="1:9" x14ac:dyDescent="0.25">
      <c r="A6802" s="753"/>
      <c r="C6802" s="131" t="s">
        <v>1102</v>
      </c>
      <c r="D6802" s="131">
        <v>16</v>
      </c>
      <c r="E6802" s="131" t="s">
        <v>1102</v>
      </c>
      <c r="F6802" s="767">
        <v>-90100.5</v>
      </c>
      <c r="G6802" s="767">
        <v>-79723.5</v>
      </c>
      <c r="H6802" s="767">
        <v>-169824</v>
      </c>
      <c r="I6802" s="768" t="s">
        <v>1726</v>
      </c>
    </row>
    <row r="6803" spans="1:9" x14ac:dyDescent="0.25">
      <c r="A6803" s="753"/>
      <c r="C6803" s="131" t="s">
        <v>1103</v>
      </c>
      <c r="D6803" s="131">
        <v>16</v>
      </c>
      <c r="E6803" s="131" t="s">
        <v>1103</v>
      </c>
      <c r="F6803" s="767">
        <v>84965.15</v>
      </c>
      <c r="G6803" s="767">
        <v>74349.23</v>
      </c>
      <c r="H6803" s="767">
        <v>159314.38</v>
      </c>
      <c r="I6803" s="768" t="s">
        <v>1726</v>
      </c>
    </row>
    <row r="6804" spans="1:9" x14ac:dyDescent="0.25">
      <c r="A6804" s="753"/>
      <c r="C6804" s="131">
        <v>418</v>
      </c>
      <c r="D6804" s="131">
        <v>16</v>
      </c>
      <c r="E6804" s="131">
        <v>418</v>
      </c>
      <c r="F6804" s="767">
        <v>-1440981.45</v>
      </c>
      <c r="G6804" s="767">
        <v>0</v>
      </c>
      <c r="H6804" s="767">
        <v>-1440981.45</v>
      </c>
      <c r="I6804" s="768" t="s">
        <v>1773</v>
      </c>
    </row>
    <row r="6805" spans="1:9" x14ac:dyDescent="0.25">
      <c r="A6805" s="753"/>
      <c r="C6805" s="131">
        <v>418</v>
      </c>
      <c r="D6805" s="131">
        <v>16</v>
      </c>
      <c r="E6805" s="131" t="s">
        <v>144</v>
      </c>
      <c r="F6805" s="767">
        <v>-927552.69</v>
      </c>
      <c r="G6805" s="767">
        <v>0</v>
      </c>
      <c r="H6805" s="767">
        <v>-927552.69</v>
      </c>
      <c r="I6805" s="768" t="s">
        <v>1774</v>
      </c>
    </row>
    <row r="6806" spans="1:9" x14ac:dyDescent="0.25">
      <c r="A6806" s="753"/>
      <c r="C6806" s="131">
        <v>618</v>
      </c>
      <c r="D6806" s="131">
        <v>16</v>
      </c>
      <c r="E6806" s="131">
        <v>618</v>
      </c>
      <c r="F6806" s="767">
        <v>1398430.52</v>
      </c>
      <c r="G6806" s="767">
        <v>0</v>
      </c>
      <c r="H6806" s="767">
        <v>1398430.52</v>
      </c>
      <c r="I6806" s="768" t="s">
        <v>1775</v>
      </c>
    </row>
    <row r="6807" spans="1:9" x14ac:dyDescent="0.25">
      <c r="A6807" s="753"/>
      <c r="C6807" s="131">
        <v>618</v>
      </c>
      <c r="D6807" s="131">
        <v>16</v>
      </c>
      <c r="E6807" s="131" t="s">
        <v>1056</v>
      </c>
      <c r="F6807" s="767">
        <v>905230.46</v>
      </c>
      <c r="G6807" s="767">
        <v>0</v>
      </c>
      <c r="H6807" s="767">
        <v>905230.46</v>
      </c>
      <c r="I6807" s="768" t="s">
        <v>1776</v>
      </c>
    </row>
    <row r="6808" spans="1:9" x14ac:dyDescent="0.25">
      <c r="A6808" s="753"/>
      <c r="C6808" s="131">
        <v>419</v>
      </c>
      <c r="D6808" s="131">
        <v>16</v>
      </c>
      <c r="E6808" s="131">
        <v>419</v>
      </c>
      <c r="F6808" s="767">
        <v>-253973.5</v>
      </c>
      <c r="G6808" s="767">
        <v>-71375.3</v>
      </c>
      <c r="H6808" s="767">
        <v>-325348.8</v>
      </c>
      <c r="I6808" s="768" t="s">
        <v>1778</v>
      </c>
    </row>
    <row r="6809" spans="1:9" x14ac:dyDescent="0.25">
      <c r="A6809" s="753"/>
      <c r="C6809" s="131">
        <v>619</v>
      </c>
      <c r="D6809" s="131">
        <v>16</v>
      </c>
      <c r="E6809" s="131">
        <v>619</v>
      </c>
      <c r="F6809" s="767">
        <v>241009.33</v>
      </c>
      <c r="G6809" s="767">
        <v>70959.12</v>
      </c>
      <c r="H6809" s="767">
        <v>311968.45</v>
      </c>
      <c r="I6809" s="768" t="s">
        <v>1779</v>
      </c>
    </row>
    <row r="6810" spans="1:9" x14ac:dyDescent="0.25">
      <c r="A6810" s="753"/>
      <c r="C6810" s="131" t="s">
        <v>226</v>
      </c>
      <c r="D6810" s="131">
        <v>16</v>
      </c>
      <c r="E6810" s="131" t="s">
        <v>226</v>
      </c>
      <c r="F6810" s="767">
        <v>-324517</v>
      </c>
      <c r="G6810" s="767">
        <v>-35867.599999999999</v>
      </c>
      <c r="H6810" s="767">
        <v>-360384.6</v>
      </c>
      <c r="I6810" s="768" t="s">
        <v>1780</v>
      </c>
    </row>
    <row r="6811" spans="1:9" x14ac:dyDescent="0.25">
      <c r="A6811" s="753"/>
      <c r="C6811" s="131" t="s">
        <v>1126</v>
      </c>
      <c r="D6811" s="131">
        <v>16</v>
      </c>
      <c r="E6811" s="131" t="s">
        <v>1126</v>
      </c>
      <c r="F6811" s="767">
        <v>-89737.82</v>
      </c>
      <c r="G6811" s="767">
        <v>-10469.99</v>
      </c>
      <c r="H6811" s="767">
        <v>-100207.81</v>
      </c>
      <c r="I6811" s="768" t="s">
        <v>1793</v>
      </c>
    </row>
    <row r="6812" spans="1:9" x14ac:dyDescent="0.25">
      <c r="A6812" s="753"/>
      <c r="C6812" s="131" t="s">
        <v>1126</v>
      </c>
      <c r="D6812" s="131">
        <v>16</v>
      </c>
      <c r="E6812" s="131" t="s">
        <v>1170</v>
      </c>
      <c r="F6812" s="767">
        <v>-1769.38</v>
      </c>
      <c r="G6812" s="767">
        <v>0</v>
      </c>
      <c r="H6812" s="767">
        <v>-1769.38</v>
      </c>
      <c r="I6812" s="768" t="s">
        <v>1794</v>
      </c>
    </row>
    <row r="6813" spans="1:9" x14ac:dyDescent="0.25">
      <c r="A6813" s="753"/>
      <c r="C6813" s="131" t="s">
        <v>1126</v>
      </c>
      <c r="D6813" s="131">
        <v>16</v>
      </c>
      <c r="E6813" s="131" t="s">
        <v>1795</v>
      </c>
      <c r="F6813" s="767">
        <v>-118382</v>
      </c>
      <c r="G6813" s="767">
        <v>-10194</v>
      </c>
      <c r="H6813" s="767">
        <v>-128576</v>
      </c>
      <c r="I6813" s="768" t="s">
        <v>1796</v>
      </c>
    </row>
    <row r="6814" spans="1:9" x14ac:dyDescent="0.25">
      <c r="A6814" s="753"/>
      <c r="C6814" s="131" t="s">
        <v>1126</v>
      </c>
      <c r="D6814" s="131">
        <v>16</v>
      </c>
      <c r="E6814" s="131" t="s">
        <v>1797</v>
      </c>
      <c r="F6814" s="767">
        <v>-10120</v>
      </c>
      <c r="G6814" s="767">
        <v>0</v>
      </c>
      <c r="H6814" s="767">
        <v>-10120</v>
      </c>
      <c r="I6814" s="768" t="s">
        <v>1798</v>
      </c>
    </row>
    <row r="6815" spans="1:9" x14ac:dyDescent="0.25">
      <c r="A6815" s="753"/>
      <c r="C6815" s="131" t="s">
        <v>1126</v>
      </c>
      <c r="D6815" s="131">
        <v>16</v>
      </c>
      <c r="E6815" s="131" t="s">
        <v>1799</v>
      </c>
      <c r="F6815" s="767">
        <v>-8310</v>
      </c>
      <c r="G6815" s="767">
        <v>0</v>
      </c>
      <c r="H6815" s="767">
        <v>-8310</v>
      </c>
      <c r="I6815" s="768" t="s">
        <v>1800</v>
      </c>
    </row>
    <row r="6816" spans="1:9" x14ac:dyDescent="0.25">
      <c r="A6816" s="753"/>
      <c r="C6816" s="131" t="s">
        <v>1126</v>
      </c>
      <c r="D6816" s="131">
        <v>16</v>
      </c>
      <c r="E6816" s="131" t="s">
        <v>1149</v>
      </c>
      <c r="F6816" s="767">
        <v>-196190.88</v>
      </c>
      <c r="G6816" s="767">
        <v>-18865</v>
      </c>
      <c r="H6816" s="767">
        <v>-215055.88</v>
      </c>
      <c r="I6816" s="768" t="s">
        <v>1801</v>
      </c>
    </row>
    <row r="6817" spans="1:9" x14ac:dyDescent="0.25">
      <c r="A6817" s="753"/>
      <c r="C6817" s="131" t="s">
        <v>1126</v>
      </c>
      <c r="D6817" s="131">
        <v>16</v>
      </c>
      <c r="E6817" s="131" t="s">
        <v>1802</v>
      </c>
      <c r="F6817" s="767">
        <v>-4815</v>
      </c>
      <c r="G6817" s="767">
        <v>0</v>
      </c>
      <c r="H6817" s="767">
        <v>-4815</v>
      </c>
      <c r="I6817" s="768" t="s">
        <v>1803</v>
      </c>
    </row>
    <row r="6818" spans="1:9" x14ac:dyDescent="0.25">
      <c r="A6818" s="753"/>
      <c r="C6818" s="131" t="s">
        <v>1126</v>
      </c>
      <c r="D6818" s="131">
        <v>16</v>
      </c>
      <c r="E6818" s="131" t="s">
        <v>973</v>
      </c>
      <c r="F6818" s="767">
        <v>-108290</v>
      </c>
      <c r="G6818" s="767">
        <v>-13685</v>
      </c>
      <c r="H6818" s="767">
        <v>-121975</v>
      </c>
      <c r="I6818" s="768" t="s">
        <v>1804</v>
      </c>
    </row>
    <row r="6819" spans="1:9" x14ac:dyDescent="0.25">
      <c r="A6819" s="753"/>
      <c r="C6819" s="131" t="s">
        <v>1126</v>
      </c>
      <c r="D6819" s="131">
        <v>16</v>
      </c>
      <c r="E6819" s="131" t="s">
        <v>126</v>
      </c>
      <c r="F6819" s="767">
        <v>-41380.5</v>
      </c>
      <c r="G6819" s="767">
        <v>-3046</v>
      </c>
      <c r="H6819" s="767">
        <v>-44426.5</v>
      </c>
      <c r="I6819" s="768" t="s">
        <v>1805</v>
      </c>
    </row>
    <row r="6820" spans="1:9" x14ac:dyDescent="0.25">
      <c r="A6820" s="753"/>
      <c r="C6820" s="131" t="s">
        <v>1127</v>
      </c>
      <c r="D6820" s="131">
        <v>16</v>
      </c>
      <c r="E6820" s="131" t="s">
        <v>1127</v>
      </c>
      <c r="F6820" s="767">
        <v>18783.349999999999</v>
      </c>
      <c r="G6820" s="767">
        <v>1934.9</v>
      </c>
      <c r="H6820" s="767">
        <v>20718.25</v>
      </c>
      <c r="I6820" s="768" t="s">
        <v>1806</v>
      </c>
    </row>
    <row r="6821" spans="1:9" x14ac:dyDescent="0.25">
      <c r="A6821" s="753"/>
      <c r="C6821" s="131" t="s">
        <v>1127</v>
      </c>
      <c r="D6821" s="131">
        <v>16</v>
      </c>
      <c r="E6821" s="131" t="s">
        <v>1807</v>
      </c>
      <c r="F6821" s="767">
        <v>87942</v>
      </c>
      <c r="G6821" s="767">
        <v>7464</v>
      </c>
      <c r="H6821" s="767">
        <v>95406</v>
      </c>
      <c r="I6821" s="768" t="s">
        <v>1808</v>
      </c>
    </row>
    <row r="6822" spans="1:9" x14ac:dyDescent="0.25">
      <c r="A6822" s="753"/>
      <c r="C6822" s="131" t="s">
        <v>1127</v>
      </c>
      <c r="D6822" s="131">
        <v>16</v>
      </c>
      <c r="E6822" s="131" t="s">
        <v>1809</v>
      </c>
      <c r="F6822" s="767">
        <v>7084</v>
      </c>
      <c r="G6822" s="767">
        <v>0</v>
      </c>
      <c r="H6822" s="767">
        <v>7084</v>
      </c>
      <c r="I6822" s="768" t="s">
        <v>1810</v>
      </c>
    </row>
    <row r="6823" spans="1:9" x14ac:dyDescent="0.25">
      <c r="A6823" s="753"/>
      <c r="C6823" s="131" t="s">
        <v>1127</v>
      </c>
      <c r="D6823" s="131">
        <v>16</v>
      </c>
      <c r="E6823" s="131" t="s">
        <v>1811</v>
      </c>
      <c r="F6823" s="767">
        <v>5210</v>
      </c>
      <c r="G6823" s="767">
        <v>0</v>
      </c>
      <c r="H6823" s="767">
        <v>5210</v>
      </c>
      <c r="I6823" s="768" t="s">
        <v>1812</v>
      </c>
    </row>
    <row r="6824" spans="1:9" x14ac:dyDescent="0.25">
      <c r="A6824" s="753"/>
      <c r="C6824" s="131" t="s">
        <v>1127</v>
      </c>
      <c r="D6824" s="131">
        <v>16</v>
      </c>
      <c r="E6824" s="131" t="s">
        <v>1150</v>
      </c>
      <c r="F6824" s="767">
        <v>82708.88</v>
      </c>
      <c r="G6824" s="767">
        <v>7700</v>
      </c>
      <c r="H6824" s="767">
        <v>90408.88</v>
      </c>
      <c r="I6824" s="768" t="s">
        <v>1813</v>
      </c>
    </row>
    <row r="6825" spans="1:9" x14ac:dyDescent="0.25">
      <c r="A6825" s="753"/>
      <c r="C6825" s="131" t="s">
        <v>1127</v>
      </c>
      <c r="D6825" s="131">
        <v>16</v>
      </c>
      <c r="E6825" s="131" t="s">
        <v>1814</v>
      </c>
      <c r="F6825" s="767">
        <v>2355.4</v>
      </c>
      <c r="G6825" s="767">
        <v>0</v>
      </c>
      <c r="H6825" s="767">
        <v>2355.4</v>
      </c>
      <c r="I6825" s="768" t="s">
        <v>1815</v>
      </c>
    </row>
    <row r="6826" spans="1:9" x14ac:dyDescent="0.25">
      <c r="A6826" s="753"/>
      <c r="C6826" s="131" t="s">
        <v>1127</v>
      </c>
      <c r="D6826" s="131">
        <v>16</v>
      </c>
      <c r="E6826" s="131" t="s">
        <v>1058</v>
      </c>
      <c r="F6826" s="767">
        <v>26863</v>
      </c>
      <c r="G6826" s="767">
        <v>2009.95</v>
      </c>
      <c r="H6826" s="767">
        <v>28872.95</v>
      </c>
      <c r="I6826" s="768" t="s">
        <v>1816</v>
      </c>
    </row>
    <row r="6827" spans="1:9" x14ac:dyDescent="0.25">
      <c r="A6827" s="753"/>
      <c r="C6827" s="131" t="s">
        <v>1129</v>
      </c>
      <c r="D6827" s="131">
        <v>16</v>
      </c>
      <c r="E6827" s="131" t="s">
        <v>1129</v>
      </c>
      <c r="F6827" s="767">
        <v>-114317.94</v>
      </c>
      <c r="G6827" s="767">
        <v>-15368</v>
      </c>
      <c r="H6827" s="767">
        <v>-129685.94</v>
      </c>
      <c r="I6827" s="768" t="s">
        <v>1818</v>
      </c>
    </row>
    <row r="6828" spans="1:9" x14ac:dyDescent="0.25">
      <c r="A6828" s="753"/>
      <c r="C6828" s="131" t="s">
        <v>1130</v>
      </c>
      <c r="D6828" s="131">
        <v>16</v>
      </c>
      <c r="E6828" s="131" t="s">
        <v>1130</v>
      </c>
      <c r="F6828" s="767">
        <v>64063</v>
      </c>
      <c r="G6828" s="767">
        <v>10427</v>
      </c>
      <c r="H6828" s="767">
        <v>74490</v>
      </c>
      <c r="I6828" s="768" t="s">
        <v>1819</v>
      </c>
    </row>
    <row r="6829" spans="1:9" x14ac:dyDescent="0.25">
      <c r="A6829" s="753"/>
      <c r="C6829" s="131" t="s">
        <v>1132</v>
      </c>
      <c r="D6829" s="131">
        <v>16</v>
      </c>
      <c r="E6829" s="131" t="s">
        <v>1132</v>
      </c>
      <c r="F6829" s="767">
        <v>-31815.1</v>
      </c>
      <c r="G6829" s="767">
        <v>-3545.2</v>
      </c>
      <c r="H6829" s="767">
        <v>-35360.300000000003</v>
      </c>
      <c r="I6829" s="768" t="s">
        <v>1821</v>
      </c>
    </row>
    <row r="6830" spans="1:9" x14ac:dyDescent="0.25">
      <c r="A6830" s="753"/>
      <c r="C6830" s="131" t="s">
        <v>1133</v>
      </c>
      <c r="D6830" s="131">
        <v>16</v>
      </c>
      <c r="E6830" s="131" t="s">
        <v>1133</v>
      </c>
      <c r="F6830" s="767">
        <v>22107.3</v>
      </c>
      <c r="G6830" s="767">
        <v>2729.1</v>
      </c>
      <c r="H6830" s="767">
        <v>24836.400000000001</v>
      </c>
      <c r="I6830" s="768" t="s">
        <v>1822</v>
      </c>
    </row>
    <row r="6831" spans="1:9" x14ac:dyDescent="0.25">
      <c r="A6831" s="753">
        <v>702928</v>
      </c>
      <c r="B6831" s="130">
        <v>8260</v>
      </c>
      <c r="E6831" s="131"/>
    </row>
    <row r="6832" spans="1:9" x14ac:dyDescent="0.25">
      <c r="A6832" s="753">
        <v>703312</v>
      </c>
      <c r="B6832" s="130">
        <v>24</v>
      </c>
      <c r="E6832" s="131"/>
    </row>
    <row r="6833" spans="1:9" x14ac:dyDescent="0.25">
      <c r="A6833" s="753">
        <v>703314</v>
      </c>
      <c r="B6833" s="130">
        <v>1963853</v>
      </c>
      <c r="E6833" s="131"/>
    </row>
    <row r="6834" spans="1:9" x14ac:dyDescent="0.25">
      <c r="A6834" s="753">
        <v>703316</v>
      </c>
      <c r="B6834" s="130">
        <v>191395</v>
      </c>
      <c r="C6834" s="131" t="s">
        <v>233</v>
      </c>
      <c r="D6834" s="131">
        <v>16</v>
      </c>
      <c r="E6834" s="131" t="s">
        <v>233</v>
      </c>
      <c r="F6834" s="767">
        <v>-49508.31</v>
      </c>
      <c r="G6834" s="767">
        <v>0</v>
      </c>
      <c r="H6834" s="767">
        <v>-49508.31</v>
      </c>
      <c r="I6834" s="768" t="s">
        <v>1824</v>
      </c>
    </row>
    <row r="6835" spans="1:9" x14ac:dyDescent="0.25">
      <c r="A6835" s="753"/>
      <c r="C6835" s="131" t="s">
        <v>1135</v>
      </c>
      <c r="D6835" s="131">
        <v>16</v>
      </c>
      <c r="E6835" s="131" t="s">
        <v>1135</v>
      </c>
      <c r="F6835" s="767">
        <v>44968.42</v>
      </c>
      <c r="G6835" s="767">
        <v>0</v>
      </c>
      <c r="H6835" s="767">
        <v>44968.42</v>
      </c>
      <c r="I6835" s="768" t="s">
        <v>1825</v>
      </c>
    </row>
    <row r="6836" spans="1:9" x14ac:dyDescent="0.25">
      <c r="A6836" s="753"/>
      <c r="C6836" s="131" t="s">
        <v>234</v>
      </c>
      <c r="D6836" s="131">
        <v>16</v>
      </c>
      <c r="E6836" s="131" t="s">
        <v>234</v>
      </c>
      <c r="F6836" s="767">
        <v>-66243.350000000006</v>
      </c>
      <c r="G6836" s="767">
        <v>0</v>
      </c>
      <c r="H6836" s="767">
        <v>-66243.350000000006</v>
      </c>
      <c r="I6836" s="768" t="s">
        <v>1827</v>
      </c>
    </row>
    <row r="6837" spans="1:9" x14ac:dyDescent="0.25">
      <c r="A6837" s="753"/>
      <c r="C6837" s="131" t="s">
        <v>1138</v>
      </c>
      <c r="D6837" s="131">
        <v>16</v>
      </c>
      <c r="E6837" s="131" t="s">
        <v>1138</v>
      </c>
      <c r="F6837" s="767">
        <v>64976.959999999999</v>
      </c>
      <c r="G6837" s="767">
        <v>0</v>
      </c>
      <c r="H6837" s="767">
        <v>64976.959999999999</v>
      </c>
      <c r="I6837" s="768" t="s">
        <v>1828</v>
      </c>
    </row>
    <row r="6838" spans="1:9" x14ac:dyDescent="0.25">
      <c r="A6838" s="753"/>
      <c r="C6838" s="131" t="s">
        <v>385</v>
      </c>
      <c r="D6838" s="131">
        <v>16</v>
      </c>
      <c r="E6838" s="131" t="s">
        <v>385</v>
      </c>
      <c r="F6838" s="767">
        <v>-88209.5</v>
      </c>
      <c r="G6838" s="767">
        <v>0</v>
      </c>
      <c r="H6838" s="767">
        <v>-88209.5</v>
      </c>
      <c r="I6838" s="768" t="s">
        <v>2283</v>
      </c>
    </row>
    <row r="6839" spans="1:9" x14ac:dyDescent="0.25">
      <c r="A6839" s="753"/>
      <c r="C6839" s="131" t="s">
        <v>1136</v>
      </c>
      <c r="D6839" s="131">
        <v>16</v>
      </c>
      <c r="E6839" s="131" t="s">
        <v>1136</v>
      </c>
      <c r="F6839" s="767">
        <v>84914.34</v>
      </c>
      <c r="G6839" s="767">
        <v>0</v>
      </c>
      <c r="H6839" s="767">
        <v>84914.34</v>
      </c>
      <c r="I6839" s="768" t="s">
        <v>1829</v>
      </c>
    </row>
    <row r="6840" spans="1:9" x14ac:dyDescent="0.25">
      <c r="A6840" s="753"/>
      <c r="C6840" s="131" t="s">
        <v>100</v>
      </c>
      <c r="D6840" s="131">
        <v>16</v>
      </c>
      <c r="E6840" s="131" t="s">
        <v>100</v>
      </c>
      <c r="F6840" s="767">
        <v>-63527.8</v>
      </c>
      <c r="G6840" s="767">
        <v>0</v>
      </c>
      <c r="H6840" s="767">
        <v>-63527.8</v>
      </c>
      <c r="I6840" s="768" t="s">
        <v>1831</v>
      </c>
    </row>
    <row r="6841" spans="1:9" x14ac:dyDescent="0.25">
      <c r="A6841" s="753"/>
      <c r="C6841" s="131" t="s">
        <v>1142</v>
      </c>
      <c r="D6841" s="131">
        <v>16</v>
      </c>
      <c r="E6841" s="131" t="s">
        <v>1142</v>
      </c>
      <c r="F6841" s="767">
        <v>62923.61</v>
      </c>
      <c r="G6841" s="767">
        <v>0</v>
      </c>
      <c r="H6841" s="767">
        <v>62923.61</v>
      </c>
      <c r="I6841" s="768" t="s">
        <v>1832</v>
      </c>
    </row>
    <row r="6842" spans="1:9" x14ac:dyDescent="0.25">
      <c r="A6842" s="753"/>
      <c r="C6842" s="131" t="s">
        <v>255</v>
      </c>
      <c r="D6842" s="131">
        <v>16</v>
      </c>
      <c r="E6842" s="131" t="s">
        <v>255</v>
      </c>
      <c r="F6842" s="767">
        <v>-295643.12</v>
      </c>
      <c r="G6842" s="767">
        <v>0</v>
      </c>
      <c r="H6842" s="767">
        <v>-295643.12</v>
      </c>
      <c r="I6842" s="768" t="s">
        <v>1833</v>
      </c>
    </row>
    <row r="6843" spans="1:9" x14ac:dyDescent="0.25">
      <c r="A6843" s="753"/>
      <c r="C6843" s="131" t="s">
        <v>1145</v>
      </c>
      <c r="D6843" s="131">
        <v>16</v>
      </c>
      <c r="E6843" s="131" t="s">
        <v>1145</v>
      </c>
      <c r="F6843" s="767">
        <v>278307.76</v>
      </c>
      <c r="G6843" s="767">
        <v>0</v>
      </c>
      <c r="H6843" s="767">
        <v>278307.76</v>
      </c>
      <c r="I6843" s="768" t="s">
        <v>1833</v>
      </c>
    </row>
    <row r="6844" spans="1:9" x14ac:dyDescent="0.25">
      <c r="A6844" s="753"/>
      <c r="C6844" s="131" t="s">
        <v>101</v>
      </c>
      <c r="D6844" s="131">
        <v>16</v>
      </c>
      <c r="E6844" s="131" t="s">
        <v>101</v>
      </c>
      <c r="F6844" s="767">
        <v>-80066.53</v>
      </c>
      <c r="G6844" s="767">
        <v>0</v>
      </c>
      <c r="H6844" s="767">
        <v>-80066.53</v>
      </c>
      <c r="I6844" s="768" t="s">
        <v>1834</v>
      </c>
    </row>
    <row r="6845" spans="1:9" x14ac:dyDescent="0.25">
      <c r="A6845" s="753"/>
      <c r="C6845" s="131" t="s">
        <v>1147</v>
      </c>
      <c r="D6845" s="131">
        <v>16</v>
      </c>
      <c r="E6845" s="131" t="s">
        <v>1147</v>
      </c>
      <c r="F6845" s="767">
        <v>76375.27</v>
      </c>
      <c r="G6845" s="767">
        <v>0</v>
      </c>
      <c r="H6845" s="767">
        <v>76375.27</v>
      </c>
      <c r="I6845" s="768" t="s">
        <v>1834</v>
      </c>
    </row>
    <row r="6846" spans="1:9" x14ac:dyDescent="0.25">
      <c r="A6846" s="753"/>
      <c r="C6846" s="131" t="s">
        <v>235</v>
      </c>
      <c r="D6846" s="131">
        <v>16</v>
      </c>
      <c r="E6846" s="131" t="s">
        <v>235</v>
      </c>
      <c r="F6846" s="767">
        <v>0</v>
      </c>
      <c r="G6846" s="767">
        <v>-181349.96</v>
      </c>
      <c r="H6846" s="767">
        <v>-181349.96</v>
      </c>
      <c r="I6846" s="768" t="s">
        <v>2286</v>
      </c>
    </row>
    <row r="6847" spans="1:9" x14ac:dyDescent="0.25">
      <c r="A6847" s="753"/>
      <c r="C6847" s="131" t="s">
        <v>2287</v>
      </c>
      <c r="D6847" s="131">
        <v>16</v>
      </c>
      <c r="E6847" s="131" t="s">
        <v>2287</v>
      </c>
      <c r="F6847" s="767">
        <v>0</v>
      </c>
      <c r="G6847" s="767">
        <v>175112.67</v>
      </c>
      <c r="H6847" s="767">
        <v>175112.67</v>
      </c>
      <c r="I6847" s="768" t="s">
        <v>2288</v>
      </c>
    </row>
    <row r="6848" spans="1:9" x14ac:dyDescent="0.25">
      <c r="A6848" s="753"/>
      <c r="C6848" s="131" t="s">
        <v>364</v>
      </c>
      <c r="D6848" s="131">
        <v>16</v>
      </c>
      <c r="E6848" s="131" t="s">
        <v>364</v>
      </c>
      <c r="F6848" s="767">
        <v>-120423.5</v>
      </c>
      <c r="G6848" s="767">
        <v>-107635.36</v>
      </c>
      <c r="H6848" s="767">
        <v>-228058.86</v>
      </c>
      <c r="I6848" s="768" t="s">
        <v>2291</v>
      </c>
    </row>
    <row r="6849" spans="1:9" x14ac:dyDescent="0.25">
      <c r="A6849" s="753"/>
      <c r="C6849" s="131" t="s">
        <v>2292</v>
      </c>
      <c r="D6849" s="131">
        <v>16</v>
      </c>
      <c r="E6849" s="131" t="s">
        <v>2292</v>
      </c>
      <c r="F6849" s="767">
        <v>111575</v>
      </c>
      <c r="G6849" s="767">
        <v>100537.06</v>
      </c>
      <c r="H6849" s="767">
        <v>212112.06</v>
      </c>
      <c r="I6849" s="768" t="s">
        <v>2293</v>
      </c>
    </row>
    <row r="6850" spans="1:9" x14ac:dyDescent="0.25">
      <c r="A6850" s="753"/>
      <c r="C6850" s="131" t="s">
        <v>371</v>
      </c>
      <c r="D6850" s="131">
        <v>16</v>
      </c>
      <c r="E6850" s="131" t="s">
        <v>371</v>
      </c>
      <c r="F6850" s="767">
        <v>-106923.5</v>
      </c>
      <c r="G6850" s="767">
        <v>0</v>
      </c>
      <c r="H6850" s="767">
        <v>-106923.5</v>
      </c>
      <c r="I6850" s="768" t="s">
        <v>1836</v>
      </c>
    </row>
    <row r="6851" spans="1:9" x14ac:dyDescent="0.25">
      <c r="A6851" s="753"/>
      <c r="C6851" s="131" t="s">
        <v>1152</v>
      </c>
      <c r="D6851" s="131">
        <v>16</v>
      </c>
      <c r="E6851" s="131" t="s">
        <v>1152</v>
      </c>
      <c r="F6851" s="767">
        <v>102290.17</v>
      </c>
      <c r="G6851" s="767">
        <v>0</v>
      </c>
      <c r="H6851" s="767">
        <v>102290.17</v>
      </c>
      <c r="I6851" s="768" t="s">
        <v>1837</v>
      </c>
    </row>
    <row r="6852" spans="1:9" x14ac:dyDescent="0.25">
      <c r="A6852" s="753"/>
      <c r="C6852" s="131" t="s">
        <v>0</v>
      </c>
      <c r="D6852" s="131">
        <v>16</v>
      </c>
      <c r="E6852" s="131" t="s">
        <v>0</v>
      </c>
      <c r="F6852" s="767">
        <v>-90273.5</v>
      </c>
      <c r="G6852" s="767">
        <v>0</v>
      </c>
      <c r="H6852" s="767">
        <v>-90273.5</v>
      </c>
      <c r="I6852" s="768" t="s">
        <v>1839</v>
      </c>
    </row>
    <row r="6853" spans="1:9" x14ac:dyDescent="0.25">
      <c r="A6853" s="753"/>
      <c r="C6853" s="131" t="s">
        <v>1117</v>
      </c>
      <c r="D6853" s="131">
        <v>16</v>
      </c>
      <c r="E6853" s="131" t="s">
        <v>1117</v>
      </c>
      <c r="F6853" s="767">
        <v>82763.5</v>
      </c>
      <c r="G6853" s="767">
        <v>0</v>
      </c>
      <c r="H6853" s="767">
        <v>82763.5</v>
      </c>
      <c r="I6853" s="768" t="s">
        <v>1840</v>
      </c>
    </row>
    <row r="6854" spans="1:9" x14ac:dyDescent="0.25">
      <c r="A6854" s="753"/>
      <c r="C6854" s="131" t="s">
        <v>388</v>
      </c>
      <c r="D6854" s="131">
        <v>16</v>
      </c>
      <c r="E6854" s="131" t="s">
        <v>388</v>
      </c>
      <c r="F6854" s="767">
        <v>-488096.67</v>
      </c>
      <c r="G6854" s="767">
        <v>-138273.37</v>
      </c>
      <c r="H6854" s="767">
        <v>-626370.04</v>
      </c>
      <c r="I6854" s="768" t="s">
        <v>1842</v>
      </c>
    </row>
    <row r="6855" spans="1:9" x14ac:dyDescent="0.25">
      <c r="A6855" s="753"/>
      <c r="C6855" s="131" t="s">
        <v>1157</v>
      </c>
      <c r="D6855" s="131">
        <v>16</v>
      </c>
      <c r="E6855" s="131" t="s">
        <v>1157</v>
      </c>
      <c r="F6855" s="767">
        <v>453839.9</v>
      </c>
      <c r="G6855" s="767">
        <v>126082.57</v>
      </c>
      <c r="H6855" s="767">
        <v>579922.47</v>
      </c>
      <c r="I6855" s="768" t="s">
        <v>1843</v>
      </c>
    </row>
    <row r="6856" spans="1:9" x14ac:dyDescent="0.25">
      <c r="A6856" s="753"/>
      <c r="C6856" s="131" t="s">
        <v>372</v>
      </c>
      <c r="D6856" s="131">
        <v>16</v>
      </c>
      <c r="E6856" s="131" t="s">
        <v>372</v>
      </c>
      <c r="F6856" s="767">
        <v>-1072320</v>
      </c>
      <c r="G6856" s="767">
        <v>-324698.42</v>
      </c>
      <c r="H6856" s="767">
        <v>-1397018.42</v>
      </c>
      <c r="I6856" s="768" t="s">
        <v>1845</v>
      </c>
    </row>
    <row r="6857" spans="1:9" x14ac:dyDescent="0.25">
      <c r="A6857" s="753"/>
      <c r="C6857" s="131" t="s">
        <v>1159</v>
      </c>
      <c r="D6857" s="131">
        <v>16</v>
      </c>
      <c r="E6857" s="131" t="s">
        <v>1159</v>
      </c>
      <c r="F6857" s="767">
        <v>1004366.9</v>
      </c>
      <c r="G6857" s="767">
        <v>299603.12</v>
      </c>
      <c r="H6857" s="767">
        <v>1303970.02</v>
      </c>
      <c r="I6857" s="768" t="s">
        <v>1846</v>
      </c>
    </row>
    <row r="6858" spans="1:9" x14ac:dyDescent="0.25">
      <c r="A6858" s="753"/>
      <c r="C6858" s="131" t="s">
        <v>389</v>
      </c>
      <c r="D6858" s="131">
        <v>16</v>
      </c>
      <c r="E6858" s="131" t="s">
        <v>389</v>
      </c>
      <c r="F6858" s="767">
        <v>-160941.5</v>
      </c>
      <c r="G6858" s="767">
        <v>0</v>
      </c>
      <c r="H6858" s="767">
        <v>-160941.5</v>
      </c>
      <c r="I6858" s="768" t="s">
        <v>2296</v>
      </c>
    </row>
    <row r="6859" spans="1:9" x14ac:dyDescent="0.25">
      <c r="A6859" s="753"/>
      <c r="C6859" s="131" t="s">
        <v>2297</v>
      </c>
      <c r="D6859" s="131">
        <v>16</v>
      </c>
      <c r="E6859" s="131" t="s">
        <v>2297</v>
      </c>
      <c r="F6859" s="767">
        <v>156088.57999999999</v>
      </c>
      <c r="G6859" s="767">
        <v>0</v>
      </c>
      <c r="H6859" s="767">
        <v>156088.57999999999</v>
      </c>
      <c r="I6859" s="768" t="s">
        <v>2298</v>
      </c>
    </row>
    <row r="6860" spans="1:9" x14ac:dyDescent="0.25">
      <c r="A6860" s="753"/>
      <c r="C6860" s="131" t="s">
        <v>373</v>
      </c>
      <c r="D6860" s="131">
        <v>16</v>
      </c>
      <c r="E6860" s="131" t="s">
        <v>373</v>
      </c>
      <c r="F6860" s="767">
        <v>-345515.77</v>
      </c>
      <c r="G6860" s="767">
        <v>0</v>
      </c>
      <c r="H6860" s="767">
        <v>-345515.77</v>
      </c>
      <c r="I6860" s="768" t="s">
        <v>2301</v>
      </c>
    </row>
    <row r="6861" spans="1:9" x14ac:dyDescent="0.25">
      <c r="A6861" s="753"/>
      <c r="C6861" s="131" t="s">
        <v>2302</v>
      </c>
      <c r="D6861" s="131">
        <v>16</v>
      </c>
      <c r="E6861" s="131" t="s">
        <v>2302</v>
      </c>
      <c r="F6861" s="767">
        <v>339379.44</v>
      </c>
      <c r="G6861" s="767">
        <v>0</v>
      </c>
      <c r="H6861" s="767">
        <v>339379.44</v>
      </c>
      <c r="I6861" s="768" t="s">
        <v>2303</v>
      </c>
    </row>
    <row r="6862" spans="1:9" x14ac:dyDescent="0.25">
      <c r="A6862" s="753"/>
      <c r="C6862" s="131" t="s">
        <v>365</v>
      </c>
      <c r="D6862" s="131">
        <v>16</v>
      </c>
      <c r="E6862" s="131" t="s">
        <v>365</v>
      </c>
      <c r="F6862" s="767">
        <v>-242245.5</v>
      </c>
      <c r="G6862" s="767">
        <v>0</v>
      </c>
      <c r="H6862" s="767">
        <v>-242245.5</v>
      </c>
      <c r="I6862" s="768" t="s">
        <v>1850</v>
      </c>
    </row>
    <row r="6863" spans="1:9" x14ac:dyDescent="0.25">
      <c r="A6863" s="753"/>
      <c r="C6863" s="131" t="s">
        <v>365</v>
      </c>
      <c r="D6863" s="131">
        <v>16</v>
      </c>
      <c r="E6863" s="131" t="s">
        <v>1139</v>
      </c>
      <c r="F6863" s="767">
        <v>-72260.61</v>
      </c>
      <c r="G6863" s="767">
        <v>0</v>
      </c>
      <c r="H6863" s="767">
        <v>-72260.61</v>
      </c>
      <c r="I6863" s="768" t="s">
        <v>1851</v>
      </c>
    </row>
    <row r="6864" spans="1:9" x14ac:dyDescent="0.25">
      <c r="A6864" s="753"/>
      <c r="C6864" s="131" t="s">
        <v>1161</v>
      </c>
      <c r="D6864" s="131">
        <v>16</v>
      </c>
      <c r="E6864" s="131" t="s">
        <v>1161</v>
      </c>
      <c r="F6864" s="767">
        <v>225357.57</v>
      </c>
      <c r="G6864" s="767">
        <v>0</v>
      </c>
      <c r="H6864" s="767">
        <v>225357.57</v>
      </c>
      <c r="I6864" s="768" t="s">
        <v>1852</v>
      </c>
    </row>
    <row r="6865" spans="1:9" x14ac:dyDescent="0.25">
      <c r="A6865" s="753"/>
      <c r="C6865" s="131" t="s">
        <v>1161</v>
      </c>
      <c r="D6865" s="131">
        <v>16</v>
      </c>
      <c r="E6865" s="131" t="s">
        <v>1140</v>
      </c>
      <c r="F6865" s="767">
        <v>65199.61</v>
      </c>
      <c r="G6865" s="767">
        <v>0</v>
      </c>
      <c r="H6865" s="767">
        <v>65199.61</v>
      </c>
      <c r="I6865" s="768" t="s">
        <v>1853</v>
      </c>
    </row>
    <row r="6866" spans="1:9" x14ac:dyDescent="0.25">
      <c r="A6866" s="753"/>
      <c r="C6866" s="131" t="s">
        <v>416</v>
      </c>
      <c r="D6866" s="131">
        <v>16</v>
      </c>
      <c r="E6866" s="131" t="s">
        <v>416</v>
      </c>
      <c r="F6866" s="767">
        <v>-97623.5</v>
      </c>
      <c r="G6866" s="767">
        <v>0</v>
      </c>
      <c r="H6866" s="767">
        <v>-97623.5</v>
      </c>
      <c r="I6866" s="768" t="s">
        <v>1854</v>
      </c>
    </row>
    <row r="6867" spans="1:9" x14ac:dyDescent="0.25">
      <c r="A6867" s="753"/>
      <c r="C6867" s="131" t="s">
        <v>1163</v>
      </c>
      <c r="D6867" s="131">
        <v>16</v>
      </c>
      <c r="E6867" s="131" t="s">
        <v>1163</v>
      </c>
      <c r="F6867" s="767">
        <v>90757.33</v>
      </c>
      <c r="G6867" s="767">
        <v>0</v>
      </c>
      <c r="H6867" s="767">
        <v>90757.33</v>
      </c>
      <c r="I6867" s="768" t="s">
        <v>1854</v>
      </c>
    </row>
    <row r="6868" spans="1:9" x14ac:dyDescent="0.25">
      <c r="A6868" s="753"/>
      <c r="C6868" s="131" t="s">
        <v>256</v>
      </c>
      <c r="D6868" s="131">
        <v>16</v>
      </c>
      <c r="E6868" s="131" t="s">
        <v>256</v>
      </c>
      <c r="F6868" s="767">
        <v>-121994.74</v>
      </c>
      <c r="G6868" s="767">
        <v>0</v>
      </c>
      <c r="H6868" s="767">
        <v>-121994.74</v>
      </c>
      <c r="I6868" s="768" t="s">
        <v>1856</v>
      </c>
    </row>
    <row r="6869" spans="1:9" x14ac:dyDescent="0.25">
      <c r="A6869" s="753"/>
      <c r="C6869" s="131" t="s">
        <v>1165</v>
      </c>
      <c r="D6869" s="131">
        <v>16</v>
      </c>
      <c r="E6869" s="131" t="s">
        <v>1165</v>
      </c>
      <c r="F6869" s="767">
        <v>116172.84</v>
      </c>
      <c r="G6869" s="767">
        <v>0</v>
      </c>
      <c r="H6869" s="767">
        <v>116172.84</v>
      </c>
      <c r="I6869" s="768" t="s">
        <v>1857</v>
      </c>
    </row>
    <row r="6870" spans="1:9" x14ac:dyDescent="0.25">
      <c r="A6870" s="753"/>
      <c r="C6870" s="131" t="s">
        <v>366</v>
      </c>
      <c r="D6870" s="131">
        <v>16</v>
      </c>
      <c r="E6870" s="131" t="s">
        <v>366</v>
      </c>
      <c r="F6870" s="767">
        <v>-133336.91</v>
      </c>
      <c r="G6870" s="767">
        <v>0</v>
      </c>
      <c r="H6870" s="767">
        <v>-133336.91</v>
      </c>
      <c r="I6870" s="768" t="s">
        <v>1859</v>
      </c>
    </row>
    <row r="6871" spans="1:9" x14ac:dyDescent="0.25">
      <c r="A6871" s="753"/>
      <c r="C6871" s="131" t="s">
        <v>1155</v>
      </c>
      <c r="D6871" s="131">
        <v>16</v>
      </c>
      <c r="E6871" s="131" t="s">
        <v>1155</v>
      </c>
      <c r="F6871" s="767">
        <v>124643.41</v>
      </c>
      <c r="G6871" s="767">
        <v>0</v>
      </c>
      <c r="H6871" s="767">
        <v>124643.41</v>
      </c>
      <c r="I6871" s="768" t="s">
        <v>1860</v>
      </c>
    </row>
    <row r="6872" spans="1:9" x14ac:dyDescent="0.25">
      <c r="A6872" s="753"/>
      <c r="C6872" s="131" t="s">
        <v>391</v>
      </c>
      <c r="D6872" s="131">
        <v>16</v>
      </c>
      <c r="E6872" s="131" t="s">
        <v>391</v>
      </c>
      <c r="F6872" s="767">
        <v>-227978.65</v>
      </c>
      <c r="G6872" s="767">
        <v>0</v>
      </c>
      <c r="H6872" s="767">
        <v>-227978.65</v>
      </c>
      <c r="I6872" s="768" t="s">
        <v>1862</v>
      </c>
    </row>
    <row r="6873" spans="1:9" x14ac:dyDescent="0.25">
      <c r="A6873" s="753"/>
      <c r="C6873" s="131" t="s">
        <v>1168</v>
      </c>
      <c r="D6873" s="131">
        <v>16</v>
      </c>
      <c r="E6873" s="131" t="s">
        <v>1168</v>
      </c>
      <c r="F6873" s="767">
        <v>216450.03</v>
      </c>
      <c r="G6873" s="767">
        <v>0</v>
      </c>
      <c r="H6873" s="767">
        <v>216450.03</v>
      </c>
      <c r="I6873" s="768" t="s">
        <v>1863</v>
      </c>
    </row>
    <row r="6874" spans="1:9" x14ac:dyDescent="0.25">
      <c r="A6874" s="753"/>
      <c r="C6874" s="131">
        <v>415</v>
      </c>
      <c r="D6874" s="131">
        <v>16</v>
      </c>
      <c r="E6874" s="131">
        <v>415</v>
      </c>
      <c r="F6874" s="767">
        <v>0</v>
      </c>
      <c r="G6874" s="767">
        <v>-140922.95000000001</v>
      </c>
      <c r="H6874" s="767">
        <v>-140922.95000000001</v>
      </c>
      <c r="I6874" s="768" t="s">
        <v>2306</v>
      </c>
    </row>
    <row r="6875" spans="1:9" x14ac:dyDescent="0.25">
      <c r="A6875" s="753"/>
      <c r="C6875" s="131">
        <v>615</v>
      </c>
      <c r="D6875" s="131">
        <v>16</v>
      </c>
      <c r="E6875" s="131">
        <v>615</v>
      </c>
      <c r="F6875" s="767">
        <v>0</v>
      </c>
      <c r="G6875" s="767">
        <v>135011.85</v>
      </c>
      <c r="H6875" s="767">
        <v>135011.85</v>
      </c>
      <c r="I6875" s="768" t="s">
        <v>2307</v>
      </c>
    </row>
    <row r="6876" spans="1:9" x14ac:dyDescent="0.25">
      <c r="A6876" s="753"/>
      <c r="C6876" s="131" t="s">
        <v>394</v>
      </c>
      <c r="D6876" s="131">
        <v>16</v>
      </c>
      <c r="E6876" s="131" t="s">
        <v>394</v>
      </c>
      <c r="F6876" s="767">
        <v>-118545.13</v>
      </c>
      <c r="G6876" s="767">
        <v>0</v>
      </c>
      <c r="H6876" s="767">
        <v>-118545.13</v>
      </c>
      <c r="I6876" s="768" t="s">
        <v>1865</v>
      </c>
    </row>
    <row r="6877" spans="1:9" x14ac:dyDescent="0.25">
      <c r="A6877" s="753"/>
      <c r="C6877" s="131" t="s">
        <v>1122</v>
      </c>
      <c r="D6877" s="131">
        <v>16</v>
      </c>
      <c r="E6877" s="131" t="s">
        <v>1122</v>
      </c>
      <c r="F6877" s="767">
        <v>118545.13</v>
      </c>
      <c r="G6877" s="767">
        <v>0</v>
      </c>
      <c r="H6877" s="767">
        <v>118545.13</v>
      </c>
      <c r="I6877" s="768" t="s">
        <v>1866</v>
      </c>
    </row>
    <row r="6878" spans="1:9" x14ac:dyDescent="0.25">
      <c r="A6878" s="753"/>
      <c r="C6878" s="131" t="s">
        <v>292</v>
      </c>
      <c r="D6878" s="131">
        <v>16</v>
      </c>
      <c r="E6878" s="131" t="s">
        <v>1080</v>
      </c>
      <c r="F6878" s="767">
        <v>-128273.5</v>
      </c>
      <c r="G6878" s="767">
        <v>0</v>
      </c>
      <c r="H6878" s="767">
        <v>-128273.5</v>
      </c>
      <c r="I6878" s="768" t="s">
        <v>1868</v>
      </c>
    </row>
    <row r="6879" spans="1:9" x14ac:dyDescent="0.25">
      <c r="A6879" s="753"/>
      <c r="C6879" s="131" t="s">
        <v>1174</v>
      </c>
      <c r="D6879" s="131">
        <v>16</v>
      </c>
      <c r="E6879" s="131" t="s">
        <v>1081</v>
      </c>
      <c r="F6879" s="767">
        <v>115038.03</v>
      </c>
      <c r="G6879" s="767">
        <v>0</v>
      </c>
      <c r="H6879" s="767">
        <v>115038.03</v>
      </c>
      <c r="I6879" s="768" t="s">
        <v>1869</v>
      </c>
    </row>
    <row r="6880" spans="1:9" x14ac:dyDescent="0.25">
      <c r="A6880" s="753"/>
      <c r="C6880" s="131" t="s">
        <v>297</v>
      </c>
      <c r="D6880" s="131">
        <v>16</v>
      </c>
      <c r="E6880" s="131" t="s">
        <v>297</v>
      </c>
      <c r="F6880" s="767">
        <v>-156342</v>
      </c>
      <c r="G6880" s="767">
        <v>0</v>
      </c>
      <c r="H6880" s="767">
        <v>-156342</v>
      </c>
      <c r="I6880" s="768" t="s">
        <v>1871</v>
      </c>
    </row>
    <row r="6881" spans="1:9" x14ac:dyDescent="0.25">
      <c r="A6881" s="753"/>
      <c r="C6881" s="131" t="s">
        <v>1083</v>
      </c>
      <c r="D6881" s="131">
        <v>16</v>
      </c>
      <c r="E6881" s="131" t="s">
        <v>1083</v>
      </c>
      <c r="F6881" s="767">
        <v>147709.57999999999</v>
      </c>
      <c r="G6881" s="767">
        <v>0</v>
      </c>
      <c r="H6881" s="767">
        <v>147709.57999999999</v>
      </c>
      <c r="I6881" s="768" t="s">
        <v>1872</v>
      </c>
    </row>
    <row r="6882" spans="1:9" x14ac:dyDescent="0.25">
      <c r="A6882" s="753"/>
      <c r="C6882" s="131" t="s">
        <v>299</v>
      </c>
      <c r="D6882" s="131">
        <v>16</v>
      </c>
      <c r="E6882" s="131" t="s">
        <v>299</v>
      </c>
      <c r="F6882" s="767">
        <v>-363200</v>
      </c>
      <c r="G6882" s="767">
        <v>0</v>
      </c>
      <c r="H6882" s="767">
        <v>-363200</v>
      </c>
      <c r="I6882" s="768" t="s">
        <v>1874</v>
      </c>
    </row>
    <row r="6883" spans="1:9" x14ac:dyDescent="0.25">
      <c r="A6883" s="753"/>
      <c r="C6883" s="131" t="s">
        <v>1180</v>
      </c>
      <c r="D6883" s="131">
        <v>16</v>
      </c>
      <c r="E6883" s="131" t="s">
        <v>1180</v>
      </c>
      <c r="F6883" s="767">
        <v>343503.43</v>
      </c>
      <c r="G6883" s="767">
        <v>0</v>
      </c>
      <c r="H6883" s="767">
        <v>343503.43</v>
      </c>
      <c r="I6883" s="768" t="s">
        <v>1875</v>
      </c>
    </row>
    <row r="6884" spans="1:9" x14ac:dyDescent="0.25">
      <c r="A6884" s="753"/>
      <c r="C6884" s="131">
        <v>416</v>
      </c>
      <c r="D6884" s="131">
        <v>16</v>
      </c>
      <c r="E6884" s="131">
        <v>416</v>
      </c>
      <c r="F6884" s="767">
        <v>-1003631.7</v>
      </c>
      <c r="G6884" s="767">
        <v>-238444</v>
      </c>
      <c r="H6884" s="767">
        <v>-1242075.7</v>
      </c>
      <c r="I6884" s="768" t="s">
        <v>1720</v>
      </c>
    </row>
    <row r="6885" spans="1:9" x14ac:dyDescent="0.25">
      <c r="A6885" s="753"/>
      <c r="C6885" s="131">
        <v>616</v>
      </c>
      <c r="D6885" s="131">
        <v>16</v>
      </c>
      <c r="E6885" s="131">
        <v>616</v>
      </c>
      <c r="F6885" s="767">
        <v>941860.05</v>
      </c>
      <c r="G6885" s="767">
        <v>224614.34</v>
      </c>
      <c r="H6885" s="767">
        <v>1166474.3899999999</v>
      </c>
      <c r="I6885" s="768" t="s">
        <v>1721</v>
      </c>
    </row>
    <row r="6886" spans="1:9" x14ac:dyDescent="0.25">
      <c r="A6886" s="753"/>
      <c r="C6886" s="131" t="s">
        <v>400</v>
      </c>
      <c r="D6886" s="131">
        <v>16</v>
      </c>
      <c r="E6886" s="131" t="s">
        <v>400</v>
      </c>
      <c r="F6886" s="767">
        <v>-139749.68</v>
      </c>
      <c r="G6886" s="767">
        <v>-74470.399999999994</v>
      </c>
      <c r="H6886" s="767">
        <v>-214220.08</v>
      </c>
      <c r="I6886" s="768" t="s">
        <v>1723</v>
      </c>
    </row>
    <row r="6887" spans="1:9" x14ac:dyDescent="0.25">
      <c r="A6887" s="753"/>
      <c r="C6887" s="131" t="s">
        <v>1100</v>
      </c>
      <c r="D6887" s="131">
        <v>16</v>
      </c>
      <c r="E6887" s="131" t="s">
        <v>1100</v>
      </c>
      <c r="F6887" s="767">
        <v>131422.87</v>
      </c>
      <c r="G6887" s="767">
        <v>69814.75</v>
      </c>
      <c r="H6887" s="767">
        <v>201237.62</v>
      </c>
      <c r="I6887" s="768" t="s">
        <v>1724</v>
      </c>
    </row>
    <row r="6888" spans="1:9" x14ac:dyDescent="0.25">
      <c r="A6888" s="753"/>
      <c r="C6888" s="131">
        <v>409</v>
      </c>
      <c r="D6888" s="131">
        <v>16</v>
      </c>
      <c r="E6888" s="131">
        <v>409</v>
      </c>
      <c r="F6888" s="767">
        <v>-363098.13</v>
      </c>
      <c r="G6888" s="767">
        <v>-188223.59</v>
      </c>
      <c r="H6888" s="767">
        <v>-551321.72</v>
      </c>
      <c r="I6888" s="768" t="s">
        <v>1725</v>
      </c>
    </row>
    <row r="6889" spans="1:9" x14ac:dyDescent="0.25">
      <c r="A6889" s="753"/>
      <c r="C6889" s="131">
        <v>609</v>
      </c>
      <c r="D6889" s="131">
        <v>16</v>
      </c>
      <c r="E6889" s="131">
        <v>609</v>
      </c>
      <c r="F6889" s="767">
        <v>341003.75</v>
      </c>
      <c r="G6889" s="767">
        <v>179636.18</v>
      </c>
      <c r="H6889" s="767">
        <v>520639.93</v>
      </c>
      <c r="I6889" s="768" t="s">
        <v>1725</v>
      </c>
    </row>
    <row r="6890" spans="1:9" x14ac:dyDescent="0.25">
      <c r="A6890" s="753"/>
      <c r="C6890" s="131" t="s">
        <v>1102</v>
      </c>
      <c r="D6890" s="131">
        <v>16</v>
      </c>
      <c r="E6890" s="131" t="s">
        <v>1102</v>
      </c>
      <c r="F6890" s="767">
        <v>-90100.5</v>
      </c>
      <c r="G6890" s="767">
        <v>-79723.5</v>
      </c>
      <c r="H6890" s="767">
        <v>-169824</v>
      </c>
      <c r="I6890" s="768" t="s">
        <v>1726</v>
      </c>
    </row>
    <row r="6891" spans="1:9" x14ac:dyDescent="0.25">
      <c r="A6891" s="753"/>
      <c r="C6891" s="131" t="s">
        <v>1103</v>
      </c>
      <c r="D6891" s="131">
        <v>16</v>
      </c>
      <c r="E6891" s="131" t="s">
        <v>1103</v>
      </c>
      <c r="F6891" s="767">
        <v>84965.15</v>
      </c>
      <c r="G6891" s="767">
        <v>74349.23</v>
      </c>
      <c r="H6891" s="767">
        <v>159314.38</v>
      </c>
      <c r="I6891" s="768" t="s">
        <v>1726</v>
      </c>
    </row>
    <row r="6892" spans="1:9" x14ac:dyDescent="0.25">
      <c r="A6892" s="753"/>
      <c r="C6892" s="131" t="s">
        <v>104</v>
      </c>
      <c r="D6892" s="131">
        <v>16</v>
      </c>
      <c r="E6892" s="131" t="s">
        <v>104</v>
      </c>
      <c r="F6892" s="767">
        <v>-1584890.7</v>
      </c>
      <c r="G6892" s="767">
        <v>0</v>
      </c>
      <c r="H6892" s="767">
        <v>-1584890.7</v>
      </c>
      <c r="I6892" s="768" t="s">
        <v>1728</v>
      </c>
    </row>
    <row r="6893" spans="1:9" x14ac:dyDescent="0.25">
      <c r="A6893" s="753"/>
      <c r="C6893" s="131" t="s">
        <v>1106</v>
      </c>
      <c r="D6893" s="131">
        <v>16</v>
      </c>
      <c r="E6893" s="131" t="s">
        <v>1106</v>
      </c>
      <c r="F6893" s="767">
        <v>1486270.54</v>
      </c>
      <c r="G6893" s="767">
        <v>0</v>
      </c>
      <c r="H6893" s="767">
        <v>1486270.54</v>
      </c>
      <c r="I6893" s="768" t="s">
        <v>1729</v>
      </c>
    </row>
    <row r="6894" spans="1:9" x14ac:dyDescent="0.25">
      <c r="A6894" s="753"/>
      <c r="C6894" s="131" t="s">
        <v>282</v>
      </c>
      <c r="D6894" s="131">
        <v>16</v>
      </c>
      <c r="E6894" s="131" t="s">
        <v>282</v>
      </c>
      <c r="F6894" s="767">
        <v>-355284</v>
      </c>
      <c r="G6894" s="767">
        <v>0</v>
      </c>
      <c r="H6894" s="767">
        <v>-355284</v>
      </c>
      <c r="I6894" s="768" t="s">
        <v>1731</v>
      </c>
    </row>
    <row r="6895" spans="1:9" x14ac:dyDescent="0.25">
      <c r="A6895" s="753"/>
      <c r="C6895" s="131" t="s">
        <v>1107</v>
      </c>
      <c r="D6895" s="131">
        <v>16</v>
      </c>
      <c r="E6895" s="131" t="s">
        <v>1107</v>
      </c>
      <c r="F6895" s="767">
        <v>333495.65000000002</v>
      </c>
      <c r="G6895" s="767">
        <v>0</v>
      </c>
      <c r="H6895" s="767">
        <v>333495.65000000002</v>
      </c>
      <c r="I6895" s="768" t="s">
        <v>1732</v>
      </c>
    </row>
    <row r="6896" spans="1:9" x14ac:dyDescent="0.25">
      <c r="A6896" s="753"/>
      <c r="C6896" s="131" t="s">
        <v>340</v>
      </c>
      <c r="D6896" s="131">
        <v>16</v>
      </c>
      <c r="E6896" s="131" t="s">
        <v>340</v>
      </c>
      <c r="F6896" s="767">
        <v>-482797.12</v>
      </c>
      <c r="G6896" s="767">
        <v>-236789.98</v>
      </c>
      <c r="H6896" s="767">
        <v>-719587.1</v>
      </c>
      <c r="I6896" s="768" t="s">
        <v>1734</v>
      </c>
    </row>
    <row r="6897" spans="1:9" x14ac:dyDescent="0.25">
      <c r="A6897" s="753"/>
      <c r="C6897" s="131" t="s">
        <v>1108</v>
      </c>
      <c r="D6897" s="131">
        <v>16</v>
      </c>
      <c r="E6897" s="131" t="s">
        <v>1108</v>
      </c>
      <c r="F6897" s="767">
        <v>453323.44</v>
      </c>
      <c r="G6897" s="767">
        <v>217365.05</v>
      </c>
      <c r="H6897" s="767">
        <v>670688.49</v>
      </c>
      <c r="I6897" s="768" t="s">
        <v>1735</v>
      </c>
    </row>
    <row r="6898" spans="1:9" x14ac:dyDescent="0.25">
      <c r="A6898" s="753"/>
      <c r="C6898" s="131" t="s">
        <v>301</v>
      </c>
      <c r="D6898" s="131">
        <v>16</v>
      </c>
      <c r="E6898" s="131" t="s">
        <v>301</v>
      </c>
      <c r="F6898" s="767">
        <v>-109302.93</v>
      </c>
      <c r="G6898" s="767">
        <v>0</v>
      </c>
      <c r="H6898" s="767">
        <v>-109302.93</v>
      </c>
      <c r="I6898" s="768" t="s">
        <v>2272</v>
      </c>
    </row>
    <row r="6899" spans="1:9" x14ac:dyDescent="0.25">
      <c r="A6899" s="753"/>
      <c r="C6899" s="131" t="s">
        <v>2273</v>
      </c>
      <c r="D6899" s="131">
        <v>16</v>
      </c>
      <c r="E6899" s="131" t="s">
        <v>2273</v>
      </c>
      <c r="F6899" s="767">
        <v>109633.12</v>
      </c>
      <c r="G6899" s="767">
        <v>0</v>
      </c>
      <c r="H6899" s="767">
        <v>109633.12</v>
      </c>
      <c r="I6899" s="768" t="s">
        <v>2274</v>
      </c>
    </row>
    <row r="6900" spans="1:9" x14ac:dyDescent="0.25">
      <c r="A6900" s="753"/>
      <c r="C6900" s="131" t="s">
        <v>237</v>
      </c>
      <c r="D6900" s="131">
        <v>16</v>
      </c>
      <c r="E6900" s="131" t="s">
        <v>237</v>
      </c>
      <c r="F6900" s="767">
        <v>-222837.66</v>
      </c>
      <c r="G6900" s="767">
        <v>0</v>
      </c>
      <c r="H6900" s="767">
        <v>-222837.66</v>
      </c>
      <c r="I6900" s="768" t="s">
        <v>1737</v>
      </c>
    </row>
    <row r="6901" spans="1:9" x14ac:dyDescent="0.25">
      <c r="A6901" s="753"/>
      <c r="C6901" s="131" t="s">
        <v>1094</v>
      </c>
      <c r="D6901" s="131">
        <v>16</v>
      </c>
      <c r="E6901" s="131" t="s">
        <v>1094</v>
      </c>
      <c r="F6901" s="767">
        <v>208571.21</v>
      </c>
      <c r="G6901" s="767">
        <v>0</v>
      </c>
      <c r="H6901" s="767">
        <v>208571.21</v>
      </c>
      <c r="I6901" s="768" t="s">
        <v>1738</v>
      </c>
    </row>
    <row r="6902" spans="1:9" x14ac:dyDescent="0.25">
      <c r="A6902" s="753"/>
      <c r="C6902" s="131" t="s">
        <v>258</v>
      </c>
      <c r="D6902" s="131">
        <v>16</v>
      </c>
      <c r="E6902" s="131" t="s">
        <v>258</v>
      </c>
      <c r="F6902" s="767">
        <v>-180770</v>
      </c>
      <c r="G6902" s="767">
        <v>0</v>
      </c>
      <c r="H6902" s="767">
        <v>-180770</v>
      </c>
      <c r="I6902" s="768" t="s">
        <v>1741</v>
      </c>
    </row>
    <row r="6903" spans="1:9" x14ac:dyDescent="0.25">
      <c r="A6903" s="753"/>
      <c r="C6903" s="131" t="s">
        <v>1742</v>
      </c>
      <c r="D6903" s="131">
        <v>16</v>
      </c>
      <c r="E6903" s="131" t="s">
        <v>1742</v>
      </c>
      <c r="F6903" s="767">
        <v>168281.09</v>
      </c>
      <c r="G6903" s="767">
        <v>0</v>
      </c>
      <c r="H6903" s="767">
        <v>168281.09</v>
      </c>
      <c r="I6903" s="768" t="s">
        <v>1743</v>
      </c>
    </row>
    <row r="6904" spans="1:9" x14ac:dyDescent="0.25">
      <c r="A6904" s="753"/>
      <c r="C6904" s="131" t="s">
        <v>105</v>
      </c>
      <c r="D6904" s="131">
        <v>16</v>
      </c>
      <c r="E6904" s="131" t="s">
        <v>105</v>
      </c>
      <c r="F6904" s="767">
        <v>-751239.23</v>
      </c>
      <c r="G6904" s="767">
        <v>-106773.5</v>
      </c>
      <c r="H6904" s="767">
        <v>-858012.73</v>
      </c>
      <c r="I6904" s="768" t="s">
        <v>1745</v>
      </c>
    </row>
    <row r="6905" spans="1:9" x14ac:dyDescent="0.25">
      <c r="A6905" s="753"/>
      <c r="C6905" s="131" t="s">
        <v>1110</v>
      </c>
      <c r="D6905" s="131">
        <v>16</v>
      </c>
      <c r="E6905" s="131" t="s">
        <v>1110</v>
      </c>
      <c r="F6905" s="767">
        <v>714996.42</v>
      </c>
      <c r="G6905" s="767">
        <v>102975</v>
      </c>
      <c r="H6905" s="767">
        <v>817971.42</v>
      </c>
      <c r="I6905" s="768" t="s">
        <v>1746</v>
      </c>
    </row>
    <row r="6906" spans="1:9" x14ac:dyDescent="0.25">
      <c r="A6906" s="753"/>
      <c r="C6906" s="131" t="s">
        <v>401</v>
      </c>
      <c r="D6906" s="131">
        <v>16</v>
      </c>
      <c r="E6906" s="131" t="s">
        <v>401</v>
      </c>
      <c r="F6906" s="767">
        <v>-976653.2</v>
      </c>
      <c r="G6906" s="767">
        <v>0</v>
      </c>
      <c r="H6906" s="767">
        <v>-976653.2</v>
      </c>
      <c r="I6906" s="768" t="s">
        <v>1748</v>
      </c>
    </row>
    <row r="6907" spans="1:9" x14ac:dyDescent="0.25">
      <c r="A6907" s="753"/>
      <c r="C6907" s="131" t="s">
        <v>1112</v>
      </c>
      <c r="D6907" s="131">
        <v>16</v>
      </c>
      <c r="E6907" s="131" t="s">
        <v>1112</v>
      </c>
      <c r="F6907" s="767">
        <v>912448.95</v>
      </c>
      <c r="G6907" s="767">
        <v>0</v>
      </c>
      <c r="H6907" s="767">
        <v>912448.95</v>
      </c>
      <c r="I6907" s="768" t="s">
        <v>1749</v>
      </c>
    </row>
    <row r="6908" spans="1:9" x14ac:dyDescent="0.25">
      <c r="A6908" s="753"/>
      <c r="C6908" s="131">
        <v>447</v>
      </c>
      <c r="D6908" s="131">
        <v>16</v>
      </c>
      <c r="E6908" s="131">
        <v>447</v>
      </c>
      <c r="F6908" s="767">
        <v>-151506.5</v>
      </c>
      <c r="G6908" s="767">
        <v>0</v>
      </c>
      <c r="H6908" s="767">
        <v>-151506.5</v>
      </c>
      <c r="I6908" s="768" t="s">
        <v>1751</v>
      </c>
    </row>
    <row r="6909" spans="1:9" x14ac:dyDescent="0.25">
      <c r="A6909" s="753"/>
      <c r="C6909" s="131">
        <v>647</v>
      </c>
      <c r="D6909" s="131">
        <v>16</v>
      </c>
      <c r="E6909" s="131">
        <v>647</v>
      </c>
      <c r="F6909" s="767">
        <v>145006.09</v>
      </c>
      <c r="G6909" s="767">
        <v>0</v>
      </c>
      <c r="H6909" s="767">
        <v>145006.09</v>
      </c>
      <c r="I6909" s="768" t="s">
        <v>1752</v>
      </c>
    </row>
    <row r="6910" spans="1:9" x14ac:dyDescent="0.25">
      <c r="A6910" s="753"/>
      <c r="C6910" s="131" t="s">
        <v>106</v>
      </c>
      <c r="D6910" s="131">
        <v>16</v>
      </c>
      <c r="E6910" s="131" t="s">
        <v>106</v>
      </c>
      <c r="F6910" s="767">
        <v>-227426</v>
      </c>
      <c r="G6910" s="767">
        <v>0</v>
      </c>
      <c r="H6910" s="767">
        <v>-227426</v>
      </c>
      <c r="I6910" s="768" t="s">
        <v>1754</v>
      </c>
    </row>
    <row r="6911" spans="1:9" x14ac:dyDescent="0.25">
      <c r="A6911" s="753"/>
      <c r="C6911" s="131" t="s">
        <v>1143</v>
      </c>
      <c r="D6911" s="131">
        <v>16</v>
      </c>
      <c r="E6911" s="131" t="s">
        <v>1143</v>
      </c>
      <c r="F6911" s="767">
        <v>214312.85</v>
      </c>
      <c r="G6911" s="767">
        <v>0</v>
      </c>
      <c r="H6911" s="767">
        <v>214312.85</v>
      </c>
      <c r="I6911" s="768" t="s">
        <v>1755</v>
      </c>
    </row>
    <row r="6912" spans="1:9" x14ac:dyDescent="0.25">
      <c r="A6912" s="753"/>
      <c r="C6912" s="131" t="s">
        <v>405</v>
      </c>
      <c r="D6912" s="131">
        <v>16</v>
      </c>
      <c r="E6912" s="131" t="s">
        <v>405</v>
      </c>
      <c r="F6912" s="767">
        <v>-235967</v>
      </c>
      <c r="G6912" s="767">
        <v>0</v>
      </c>
      <c r="H6912" s="767">
        <v>-235967</v>
      </c>
      <c r="I6912" s="768" t="s">
        <v>1757</v>
      </c>
    </row>
    <row r="6913" spans="1:9" x14ac:dyDescent="0.25">
      <c r="A6913" s="753"/>
      <c r="C6913" s="131" t="s">
        <v>1116</v>
      </c>
      <c r="D6913" s="131">
        <v>16</v>
      </c>
      <c r="E6913" s="131" t="s">
        <v>1116</v>
      </c>
      <c r="F6913" s="767">
        <v>220347.51999999999</v>
      </c>
      <c r="G6913" s="767">
        <v>0</v>
      </c>
      <c r="H6913" s="767">
        <v>220347.51999999999</v>
      </c>
      <c r="I6913" s="768" t="s">
        <v>1758</v>
      </c>
    </row>
    <row r="6914" spans="1:9" x14ac:dyDescent="0.25">
      <c r="A6914" s="753"/>
      <c r="C6914" s="131">
        <v>480</v>
      </c>
      <c r="D6914" s="131">
        <v>16</v>
      </c>
      <c r="E6914" s="131">
        <v>480</v>
      </c>
      <c r="F6914" s="767">
        <v>-273292.68</v>
      </c>
      <c r="G6914" s="767">
        <v>0</v>
      </c>
      <c r="H6914" s="767">
        <v>-273292.68</v>
      </c>
      <c r="I6914" s="768" t="s">
        <v>1760</v>
      </c>
    </row>
    <row r="6915" spans="1:9" x14ac:dyDescent="0.25">
      <c r="A6915" s="753"/>
      <c r="C6915" s="131">
        <v>680</v>
      </c>
      <c r="D6915" s="131">
        <v>16</v>
      </c>
      <c r="E6915" s="131">
        <v>680</v>
      </c>
      <c r="F6915" s="767">
        <v>269709.11</v>
      </c>
      <c r="G6915" s="767">
        <v>0</v>
      </c>
      <c r="H6915" s="767">
        <v>269709.11</v>
      </c>
      <c r="I6915" s="768" t="s">
        <v>1761</v>
      </c>
    </row>
    <row r="6916" spans="1:9" x14ac:dyDescent="0.25">
      <c r="A6916" s="753"/>
      <c r="C6916" s="131" t="s">
        <v>406</v>
      </c>
      <c r="D6916" s="131">
        <v>16</v>
      </c>
      <c r="E6916" s="131" t="s">
        <v>406</v>
      </c>
      <c r="F6916" s="767">
        <v>-309378.09999999998</v>
      </c>
      <c r="G6916" s="767">
        <v>0</v>
      </c>
      <c r="H6916" s="767">
        <v>-309378.09999999998</v>
      </c>
      <c r="I6916" s="768" t="s">
        <v>1764</v>
      </c>
    </row>
    <row r="6917" spans="1:9" x14ac:dyDescent="0.25">
      <c r="A6917" s="753"/>
      <c r="C6917" s="131" t="s">
        <v>1119</v>
      </c>
      <c r="D6917" s="131">
        <v>16</v>
      </c>
      <c r="E6917" s="131" t="s">
        <v>1119</v>
      </c>
      <c r="F6917" s="767">
        <v>291459.78000000003</v>
      </c>
      <c r="G6917" s="767">
        <v>0</v>
      </c>
      <c r="H6917" s="767">
        <v>291459.78000000003</v>
      </c>
      <c r="I6917" s="768" t="s">
        <v>1765</v>
      </c>
    </row>
    <row r="6918" spans="1:9" x14ac:dyDescent="0.25">
      <c r="A6918" s="753"/>
      <c r="C6918" s="131">
        <v>481</v>
      </c>
      <c r="D6918" s="131">
        <v>16</v>
      </c>
      <c r="E6918" s="131">
        <v>481</v>
      </c>
      <c r="F6918" s="767">
        <v>-237027.97</v>
      </c>
      <c r="G6918" s="767">
        <v>0</v>
      </c>
      <c r="H6918" s="767">
        <v>-237027.97</v>
      </c>
      <c r="I6918" s="768" t="s">
        <v>408</v>
      </c>
    </row>
    <row r="6919" spans="1:9" x14ac:dyDescent="0.25">
      <c r="A6919" s="753"/>
      <c r="C6919" s="131">
        <v>681</v>
      </c>
      <c r="D6919" s="131">
        <v>16</v>
      </c>
      <c r="E6919" s="131">
        <v>681</v>
      </c>
      <c r="F6919" s="767">
        <v>233811.43</v>
      </c>
      <c r="G6919" s="767">
        <v>0</v>
      </c>
      <c r="H6919" s="767">
        <v>233811.43</v>
      </c>
      <c r="I6919" s="768" t="s">
        <v>408</v>
      </c>
    </row>
    <row r="6920" spans="1:9" x14ac:dyDescent="0.25">
      <c r="A6920" s="753"/>
      <c r="C6920" s="131" t="s">
        <v>410</v>
      </c>
      <c r="D6920" s="131">
        <v>16</v>
      </c>
      <c r="E6920" s="131" t="s">
        <v>410</v>
      </c>
      <c r="F6920" s="767">
        <v>-246468.25</v>
      </c>
      <c r="G6920" s="767">
        <v>0</v>
      </c>
      <c r="H6920" s="767">
        <v>-246468.25</v>
      </c>
      <c r="I6920" s="768" t="s">
        <v>1767</v>
      </c>
    </row>
    <row r="6921" spans="1:9" x14ac:dyDescent="0.25">
      <c r="A6921" s="753"/>
      <c r="C6921" s="131" t="s">
        <v>1120</v>
      </c>
      <c r="D6921" s="131">
        <v>16</v>
      </c>
      <c r="E6921" s="131" t="s">
        <v>1120</v>
      </c>
      <c r="F6921" s="767">
        <v>235559.82</v>
      </c>
      <c r="G6921" s="767">
        <v>0</v>
      </c>
      <c r="H6921" s="767">
        <v>235559.82</v>
      </c>
      <c r="I6921" s="768" t="s">
        <v>1767</v>
      </c>
    </row>
    <row r="6922" spans="1:9" x14ac:dyDescent="0.25">
      <c r="A6922" s="753"/>
      <c r="C6922" s="131" t="s">
        <v>376</v>
      </c>
      <c r="D6922" s="131">
        <v>16</v>
      </c>
      <c r="E6922" s="131" t="s">
        <v>376</v>
      </c>
      <c r="F6922" s="767">
        <v>-98510.95</v>
      </c>
      <c r="G6922" s="767">
        <v>0</v>
      </c>
      <c r="H6922" s="767">
        <v>-98510.95</v>
      </c>
      <c r="I6922" s="768" t="s">
        <v>2278</v>
      </c>
    </row>
    <row r="6923" spans="1:9" x14ac:dyDescent="0.25">
      <c r="A6923" s="753"/>
      <c r="C6923" s="131" t="s">
        <v>2279</v>
      </c>
      <c r="D6923" s="131">
        <v>16</v>
      </c>
      <c r="E6923" s="131" t="s">
        <v>2279</v>
      </c>
      <c r="F6923" s="767">
        <v>97615</v>
      </c>
      <c r="G6923" s="767">
        <v>0</v>
      </c>
      <c r="H6923" s="767">
        <v>97615</v>
      </c>
      <c r="I6923" s="768" t="s">
        <v>2280</v>
      </c>
    </row>
    <row r="6924" spans="1:9" x14ac:dyDescent="0.25">
      <c r="A6924" s="753"/>
      <c r="C6924" s="131" t="s">
        <v>378</v>
      </c>
      <c r="D6924" s="131">
        <v>16</v>
      </c>
      <c r="E6924" s="131" t="s">
        <v>378</v>
      </c>
      <c r="F6924" s="767">
        <v>-323316.75</v>
      </c>
      <c r="G6924" s="767">
        <v>0</v>
      </c>
      <c r="H6924" s="767">
        <v>-323316.75</v>
      </c>
      <c r="I6924" s="768" t="s">
        <v>1769</v>
      </c>
    </row>
    <row r="6925" spans="1:9" x14ac:dyDescent="0.25">
      <c r="A6925" s="753"/>
      <c r="C6925" s="131" t="s">
        <v>1121</v>
      </c>
      <c r="D6925" s="131">
        <v>16</v>
      </c>
      <c r="E6925" s="131" t="s">
        <v>1121</v>
      </c>
      <c r="F6925" s="767">
        <v>316233.65000000002</v>
      </c>
      <c r="G6925" s="767">
        <v>0</v>
      </c>
      <c r="H6925" s="767">
        <v>316233.65000000002</v>
      </c>
      <c r="I6925" s="768" t="s">
        <v>1770</v>
      </c>
    </row>
    <row r="6926" spans="1:9" x14ac:dyDescent="0.25">
      <c r="A6926" s="753"/>
      <c r="C6926" s="131">
        <v>418</v>
      </c>
      <c r="D6926" s="131">
        <v>16</v>
      </c>
      <c r="E6926" s="131">
        <v>418</v>
      </c>
      <c r="F6926" s="767">
        <v>-1440981.45</v>
      </c>
      <c r="G6926" s="767">
        <v>0</v>
      </c>
      <c r="H6926" s="767">
        <v>-1440981.45</v>
      </c>
      <c r="I6926" s="768" t="s">
        <v>1773</v>
      </c>
    </row>
    <row r="6927" spans="1:9" x14ac:dyDescent="0.25">
      <c r="A6927" s="753"/>
      <c r="C6927" s="131">
        <v>418</v>
      </c>
      <c r="D6927" s="131">
        <v>16</v>
      </c>
      <c r="E6927" s="131" t="s">
        <v>144</v>
      </c>
      <c r="F6927" s="767">
        <v>-927552.69</v>
      </c>
      <c r="G6927" s="767">
        <v>0</v>
      </c>
      <c r="H6927" s="767">
        <v>-927552.69</v>
      </c>
      <c r="I6927" s="768" t="s">
        <v>1774</v>
      </c>
    </row>
    <row r="6928" spans="1:9" x14ac:dyDescent="0.25">
      <c r="A6928" s="753"/>
      <c r="C6928" s="131">
        <v>618</v>
      </c>
      <c r="D6928" s="131">
        <v>16</v>
      </c>
      <c r="E6928" s="131">
        <v>618</v>
      </c>
      <c r="F6928" s="767">
        <v>1398430.52</v>
      </c>
      <c r="G6928" s="767">
        <v>0</v>
      </c>
      <c r="H6928" s="767">
        <v>1398430.52</v>
      </c>
      <c r="I6928" s="768" t="s">
        <v>1775</v>
      </c>
    </row>
    <row r="6929" spans="1:9" x14ac:dyDescent="0.25">
      <c r="A6929" s="753"/>
      <c r="C6929" s="131">
        <v>618</v>
      </c>
      <c r="D6929" s="131">
        <v>16</v>
      </c>
      <c r="E6929" s="131" t="s">
        <v>1056</v>
      </c>
      <c r="F6929" s="767">
        <v>905230.46</v>
      </c>
      <c r="G6929" s="767">
        <v>0</v>
      </c>
      <c r="H6929" s="767">
        <v>905230.46</v>
      </c>
      <c r="I6929" s="768" t="s">
        <v>1776</v>
      </c>
    </row>
    <row r="6930" spans="1:9" x14ac:dyDescent="0.25">
      <c r="A6930" s="753"/>
      <c r="C6930" s="131">
        <v>419</v>
      </c>
      <c r="D6930" s="131">
        <v>16</v>
      </c>
      <c r="E6930" s="131">
        <v>419</v>
      </c>
      <c r="F6930" s="767">
        <v>-253973.5</v>
      </c>
      <c r="G6930" s="767">
        <v>-71375.3</v>
      </c>
      <c r="H6930" s="767">
        <v>-325348.8</v>
      </c>
      <c r="I6930" s="768" t="s">
        <v>1778</v>
      </c>
    </row>
    <row r="6931" spans="1:9" x14ac:dyDescent="0.25">
      <c r="A6931" s="753"/>
      <c r="C6931" s="131">
        <v>619</v>
      </c>
      <c r="D6931" s="131">
        <v>16</v>
      </c>
      <c r="E6931" s="131">
        <v>619</v>
      </c>
      <c r="F6931" s="767">
        <v>241009.33</v>
      </c>
      <c r="G6931" s="767">
        <v>70959.12</v>
      </c>
      <c r="H6931" s="767">
        <v>311968.45</v>
      </c>
      <c r="I6931" s="768" t="s">
        <v>1779</v>
      </c>
    </row>
    <row r="6932" spans="1:9" x14ac:dyDescent="0.25">
      <c r="A6932" s="753"/>
      <c r="C6932" s="131" t="s">
        <v>226</v>
      </c>
      <c r="D6932" s="131">
        <v>16</v>
      </c>
      <c r="E6932" s="131" t="s">
        <v>226</v>
      </c>
      <c r="F6932" s="767">
        <v>-324517</v>
      </c>
      <c r="G6932" s="767">
        <v>-35867.599999999999</v>
      </c>
      <c r="H6932" s="767">
        <v>-360384.6</v>
      </c>
      <c r="I6932" s="768" t="s">
        <v>1780</v>
      </c>
    </row>
    <row r="6933" spans="1:9" x14ac:dyDescent="0.25">
      <c r="A6933" s="753"/>
      <c r="C6933" s="131" t="s">
        <v>1126</v>
      </c>
      <c r="D6933" s="131">
        <v>16</v>
      </c>
      <c r="E6933" s="131" t="s">
        <v>1126</v>
      </c>
      <c r="F6933" s="767">
        <v>-89737.82</v>
      </c>
      <c r="G6933" s="767">
        <v>-10469.99</v>
      </c>
      <c r="H6933" s="767">
        <v>-100207.81</v>
      </c>
      <c r="I6933" s="768" t="s">
        <v>1793</v>
      </c>
    </row>
    <row r="6934" spans="1:9" x14ac:dyDescent="0.25">
      <c r="A6934" s="753"/>
      <c r="C6934" s="131" t="s">
        <v>1126</v>
      </c>
      <c r="D6934" s="131">
        <v>16</v>
      </c>
      <c r="E6934" s="131" t="s">
        <v>1170</v>
      </c>
      <c r="F6934" s="767">
        <v>-1769.38</v>
      </c>
      <c r="G6934" s="767">
        <v>0</v>
      </c>
      <c r="H6934" s="767">
        <v>-1769.38</v>
      </c>
      <c r="I6934" s="768" t="s">
        <v>1794</v>
      </c>
    </row>
    <row r="6935" spans="1:9" x14ac:dyDescent="0.25">
      <c r="A6935" s="753"/>
      <c r="C6935" s="131" t="s">
        <v>1126</v>
      </c>
      <c r="D6935" s="131">
        <v>16</v>
      </c>
      <c r="E6935" s="131" t="s">
        <v>1795</v>
      </c>
      <c r="F6935" s="767">
        <v>-118382</v>
      </c>
      <c r="G6935" s="767">
        <v>-10194</v>
      </c>
      <c r="H6935" s="767">
        <v>-128576</v>
      </c>
      <c r="I6935" s="768" t="s">
        <v>1796</v>
      </c>
    </row>
    <row r="6936" spans="1:9" x14ac:dyDescent="0.25">
      <c r="A6936" s="753"/>
      <c r="C6936" s="131" t="s">
        <v>1126</v>
      </c>
      <c r="D6936" s="131">
        <v>16</v>
      </c>
      <c r="E6936" s="131" t="s">
        <v>1797</v>
      </c>
      <c r="F6936" s="767">
        <v>-10120</v>
      </c>
      <c r="G6936" s="767">
        <v>0</v>
      </c>
      <c r="H6936" s="767">
        <v>-10120</v>
      </c>
      <c r="I6936" s="768" t="s">
        <v>1798</v>
      </c>
    </row>
    <row r="6937" spans="1:9" x14ac:dyDescent="0.25">
      <c r="A6937" s="753"/>
      <c r="C6937" s="131" t="s">
        <v>1126</v>
      </c>
      <c r="D6937" s="131">
        <v>16</v>
      </c>
      <c r="E6937" s="131" t="s">
        <v>1799</v>
      </c>
      <c r="F6937" s="767">
        <v>-8310</v>
      </c>
      <c r="G6937" s="767">
        <v>0</v>
      </c>
      <c r="H6937" s="767">
        <v>-8310</v>
      </c>
      <c r="I6937" s="768" t="s">
        <v>1800</v>
      </c>
    </row>
    <row r="6938" spans="1:9" x14ac:dyDescent="0.25">
      <c r="A6938" s="753"/>
      <c r="C6938" s="131" t="s">
        <v>1126</v>
      </c>
      <c r="D6938" s="131">
        <v>16</v>
      </c>
      <c r="E6938" s="131" t="s">
        <v>1149</v>
      </c>
      <c r="F6938" s="767">
        <v>-196190.88</v>
      </c>
      <c r="G6938" s="767">
        <v>-18865</v>
      </c>
      <c r="H6938" s="767">
        <v>-215055.88</v>
      </c>
      <c r="I6938" s="768" t="s">
        <v>1801</v>
      </c>
    </row>
    <row r="6939" spans="1:9" x14ac:dyDescent="0.25">
      <c r="A6939" s="753"/>
      <c r="C6939" s="131" t="s">
        <v>1126</v>
      </c>
      <c r="D6939" s="131">
        <v>16</v>
      </c>
      <c r="E6939" s="131" t="s">
        <v>1802</v>
      </c>
      <c r="F6939" s="767">
        <v>-4815</v>
      </c>
      <c r="G6939" s="767">
        <v>0</v>
      </c>
      <c r="H6939" s="767">
        <v>-4815</v>
      </c>
      <c r="I6939" s="768" t="s">
        <v>1803</v>
      </c>
    </row>
    <row r="6940" spans="1:9" x14ac:dyDescent="0.25">
      <c r="A6940" s="753"/>
      <c r="C6940" s="131" t="s">
        <v>1126</v>
      </c>
      <c r="D6940" s="131">
        <v>16</v>
      </c>
      <c r="E6940" s="131" t="s">
        <v>973</v>
      </c>
      <c r="F6940" s="767">
        <v>-108290</v>
      </c>
      <c r="G6940" s="767">
        <v>-13685</v>
      </c>
      <c r="H6940" s="767">
        <v>-121975</v>
      </c>
      <c r="I6940" s="768" t="s">
        <v>1804</v>
      </c>
    </row>
    <row r="6941" spans="1:9" x14ac:dyDescent="0.25">
      <c r="A6941" s="753"/>
      <c r="C6941" s="131" t="s">
        <v>1126</v>
      </c>
      <c r="D6941" s="131">
        <v>16</v>
      </c>
      <c r="E6941" s="131" t="s">
        <v>126</v>
      </c>
      <c r="F6941" s="767">
        <v>-41380.5</v>
      </c>
      <c r="G6941" s="767">
        <v>-3046</v>
      </c>
      <c r="H6941" s="767">
        <v>-44426.5</v>
      </c>
      <c r="I6941" s="768" t="s">
        <v>1805</v>
      </c>
    </row>
    <row r="6942" spans="1:9" x14ac:dyDescent="0.25">
      <c r="A6942" s="753"/>
      <c r="C6942" s="131" t="s">
        <v>1127</v>
      </c>
      <c r="D6942" s="131">
        <v>16</v>
      </c>
      <c r="E6942" s="131" t="s">
        <v>1127</v>
      </c>
      <c r="F6942" s="767">
        <v>18783.349999999999</v>
      </c>
      <c r="G6942" s="767">
        <v>1934.9</v>
      </c>
      <c r="H6942" s="767">
        <v>20718.25</v>
      </c>
      <c r="I6942" s="768" t="s">
        <v>1806</v>
      </c>
    </row>
    <row r="6943" spans="1:9" x14ac:dyDescent="0.25">
      <c r="A6943" s="753"/>
      <c r="C6943" s="131" t="s">
        <v>1127</v>
      </c>
      <c r="D6943" s="131">
        <v>16</v>
      </c>
      <c r="E6943" s="131" t="s">
        <v>1807</v>
      </c>
      <c r="F6943" s="767">
        <v>87942</v>
      </c>
      <c r="G6943" s="767">
        <v>7464</v>
      </c>
      <c r="H6943" s="767">
        <v>95406</v>
      </c>
      <c r="I6943" s="768" t="s">
        <v>1808</v>
      </c>
    </row>
    <row r="6944" spans="1:9" x14ac:dyDescent="0.25">
      <c r="A6944" s="753"/>
      <c r="C6944" s="131" t="s">
        <v>1127</v>
      </c>
      <c r="D6944" s="131">
        <v>16</v>
      </c>
      <c r="E6944" s="131" t="s">
        <v>1809</v>
      </c>
      <c r="F6944" s="767">
        <v>7084</v>
      </c>
      <c r="G6944" s="767">
        <v>0</v>
      </c>
      <c r="H6944" s="767">
        <v>7084</v>
      </c>
      <c r="I6944" s="768" t="s">
        <v>1810</v>
      </c>
    </row>
    <row r="6945" spans="1:9" x14ac:dyDescent="0.25">
      <c r="A6945" s="753"/>
      <c r="C6945" s="131" t="s">
        <v>1127</v>
      </c>
      <c r="D6945" s="131">
        <v>16</v>
      </c>
      <c r="E6945" s="131" t="s">
        <v>1811</v>
      </c>
      <c r="F6945" s="767">
        <v>5210</v>
      </c>
      <c r="G6945" s="767">
        <v>0</v>
      </c>
      <c r="H6945" s="767">
        <v>5210</v>
      </c>
      <c r="I6945" s="768" t="s">
        <v>1812</v>
      </c>
    </row>
    <row r="6946" spans="1:9" x14ac:dyDescent="0.25">
      <c r="A6946" s="753"/>
      <c r="C6946" s="131" t="s">
        <v>1127</v>
      </c>
      <c r="D6946" s="131">
        <v>16</v>
      </c>
      <c r="E6946" s="131" t="s">
        <v>1150</v>
      </c>
      <c r="F6946" s="767">
        <v>82708.88</v>
      </c>
      <c r="G6946" s="767">
        <v>7700</v>
      </c>
      <c r="H6946" s="767">
        <v>90408.88</v>
      </c>
      <c r="I6946" s="768" t="s">
        <v>1813</v>
      </c>
    </row>
    <row r="6947" spans="1:9" x14ac:dyDescent="0.25">
      <c r="A6947" s="753"/>
      <c r="C6947" s="131" t="s">
        <v>1127</v>
      </c>
      <c r="D6947" s="131">
        <v>16</v>
      </c>
      <c r="E6947" s="131" t="s">
        <v>1814</v>
      </c>
      <c r="F6947" s="767">
        <v>2355.4</v>
      </c>
      <c r="G6947" s="767">
        <v>0</v>
      </c>
      <c r="H6947" s="767">
        <v>2355.4</v>
      </c>
      <c r="I6947" s="768" t="s">
        <v>1815</v>
      </c>
    </row>
    <row r="6948" spans="1:9" x14ac:dyDescent="0.25">
      <c r="A6948" s="753"/>
      <c r="C6948" s="131" t="s">
        <v>1127</v>
      </c>
      <c r="D6948" s="131">
        <v>16</v>
      </c>
      <c r="E6948" s="131" t="s">
        <v>1058</v>
      </c>
      <c r="F6948" s="767">
        <v>26863</v>
      </c>
      <c r="G6948" s="767">
        <v>2009.95</v>
      </c>
      <c r="H6948" s="767">
        <v>28872.95</v>
      </c>
      <c r="I6948" s="768" t="s">
        <v>1816</v>
      </c>
    </row>
    <row r="6949" spans="1:9" x14ac:dyDescent="0.25">
      <c r="A6949" s="753"/>
      <c r="C6949" s="131" t="s">
        <v>1129</v>
      </c>
      <c r="D6949" s="131">
        <v>16</v>
      </c>
      <c r="E6949" s="131" t="s">
        <v>1129</v>
      </c>
      <c r="F6949" s="767">
        <v>-114317.94</v>
      </c>
      <c r="G6949" s="767">
        <v>-15368</v>
      </c>
      <c r="H6949" s="767">
        <v>-129685.94</v>
      </c>
      <c r="I6949" s="768" t="s">
        <v>1818</v>
      </c>
    </row>
    <row r="6950" spans="1:9" x14ac:dyDescent="0.25">
      <c r="A6950" s="753"/>
      <c r="C6950" s="131" t="s">
        <v>1130</v>
      </c>
      <c r="D6950" s="131">
        <v>16</v>
      </c>
      <c r="E6950" s="131" t="s">
        <v>1130</v>
      </c>
      <c r="F6950" s="767">
        <v>64063</v>
      </c>
      <c r="G6950" s="767">
        <v>10427</v>
      </c>
      <c r="H6950" s="767">
        <v>74490</v>
      </c>
      <c r="I6950" s="768" t="s">
        <v>1819</v>
      </c>
    </row>
    <row r="6951" spans="1:9" x14ac:dyDescent="0.25">
      <c r="A6951" s="753"/>
      <c r="C6951" s="131" t="s">
        <v>1132</v>
      </c>
      <c r="D6951" s="131">
        <v>16</v>
      </c>
      <c r="E6951" s="131" t="s">
        <v>1132</v>
      </c>
      <c r="F6951" s="767">
        <v>-31815.1</v>
      </c>
      <c r="G6951" s="767">
        <v>-3545.2</v>
      </c>
      <c r="H6951" s="767">
        <v>-35360.300000000003</v>
      </c>
      <c r="I6951" s="768" t="s">
        <v>1821</v>
      </c>
    </row>
    <row r="6952" spans="1:9" x14ac:dyDescent="0.25">
      <c r="A6952" s="753"/>
      <c r="C6952" s="131" t="s">
        <v>1133</v>
      </c>
      <c r="D6952" s="131">
        <v>16</v>
      </c>
      <c r="E6952" s="131" t="s">
        <v>1133</v>
      </c>
      <c r="F6952" s="767">
        <v>22107.3</v>
      </c>
      <c r="G6952" s="767">
        <v>2729.1</v>
      </c>
      <c r="H6952" s="767">
        <v>24836.400000000001</v>
      </c>
      <c r="I6952" s="768" t="s">
        <v>1822</v>
      </c>
    </row>
    <row r="6953" spans="1:9" x14ac:dyDescent="0.25">
      <c r="A6953" s="753">
        <v>703318</v>
      </c>
      <c r="B6953" s="130">
        <v>7975</v>
      </c>
      <c r="E6953" s="131"/>
    </row>
    <row r="6954" spans="1:9" x14ac:dyDescent="0.25">
      <c r="A6954" s="753">
        <v>703322</v>
      </c>
      <c r="B6954" s="130">
        <v>208</v>
      </c>
      <c r="E6954" s="131"/>
    </row>
    <row r="6955" spans="1:9" x14ac:dyDescent="0.25">
      <c r="A6955" s="753">
        <v>703324</v>
      </c>
      <c r="B6955" s="130">
        <v>18364238</v>
      </c>
      <c r="E6955" s="131"/>
    </row>
    <row r="6956" spans="1:9" x14ac:dyDescent="0.25">
      <c r="A6956" s="753">
        <v>703326</v>
      </c>
      <c r="B6956" s="130">
        <v>1718038</v>
      </c>
      <c r="C6956" s="131">
        <v>416</v>
      </c>
      <c r="D6956" s="131">
        <v>16</v>
      </c>
      <c r="E6956" s="131">
        <v>416</v>
      </c>
      <c r="F6956" s="767">
        <v>-1003631.7</v>
      </c>
      <c r="G6956" s="767">
        <v>-238444</v>
      </c>
      <c r="H6956" s="767">
        <v>-1242075.7</v>
      </c>
      <c r="I6956" s="768" t="s">
        <v>1720</v>
      </c>
    </row>
    <row r="6957" spans="1:9" x14ac:dyDescent="0.25">
      <c r="A6957" s="753"/>
      <c r="C6957" s="131">
        <v>616</v>
      </c>
      <c r="D6957" s="131">
        <v>16</v>
      </c>
      <c r="E6957" s="131">
        <v>616</v>
      </c>
      <c r="F6957" s="767">
        <v>941860.05</v>
      </c>
      <c r="G6957" s="767">
        <v>224614.34</v>
      </c>
      <c r="H6957" s="767">
        <v>1166474.3899999999</v>
      </c>
      <c r="I6957" s="768" t="s">
        <v>1721</v>
      </c>
    </row>
    <row r="6958" spans="1:9" x14ac:dyDescent="0.25">
      <c r="A6958" s="753"/>
      <c r="C6958" s="131" t="s">
        <v>400</v>
      </c>
      <c r="D6958" s="131">
        <v>16</v>
      </c>
      <c r="E6958" s="131" t="s">
        <v>400</v>
      </c>
      <c r="F6958" s="767">
        <v>-139749.68</v>
      </c>
      <c r="G6958" s="767">
        <v>-74470.399999999994</v>
      </c>
      <c r="H6958" s="767">
        <v>-214220.08</v>
      </c>
      <c r="I6958" s="768" t="s">
        <v>1723</v>
      </c>
    </row>
    <row r="6959" spans="1:9" x14ac:dyDescent="0.25">
      <c r="A6959" s="753"/>
      <c r="C6959" s="131" t="s">
        <v>1100</v>
      </c>
      <c r="D6959" s="131">
        <v>16</v>
      </c>
      <c r="E6959" s="131" t="s">
        <v>1100</v>
      </c>
      <c r="F6959" s="767">
        <v>131422.87</v>
      </c>
      <c r="G6959" s="767">
        <v>69814.75</v>
      </c>
      <c r="H6959" s="767">
        <v>201237.62</v>
      </c>
      <c r="I6959" s="768" t="s">
        <v>1724</v>
      </c>
    </row>
    <row r="6960" spans="1:9" x14ac:dyDescent="0.25">
      <c r="A6960" s="753"/>
      <c r="C6960" s="131" t="s">
        <v>104</v>
      </c>
      <c r="D6960" s="131">
        <v>16</v>
      </c>
      <c r="E6960" s="131" t="s">
        <v>104</v>
      </c>
      <c r="F6960" s="767">
        <v>-1584890.7</v>
      </c>
      <c r="G6960" s="767">
        <v>0</v>
      </c>
      <c r="H6960" s="767">
        <v>-1584890.7</v>
      </c>
      <c r="I6960" s="768" t="s">
        <v>1728</v>
      </c>
    </row>
    <row r="6961" spans="1:9" x14ac:dyDescent="0.25">
      <c r="A6961" s="753"/>
      <c r="C6961" s="131" t="s">
        <v>1106</v>
      </c>
      <c r="D6961" s="131">
        <v>16</v>
      </c>
      <c r="E6961" s="131" t="s">
        <v>1106</v>
      </c>
      <c r="F6961" s="767">
        <v>1486270.54</v>
      </c>
      <c r="G6961" s="767">
        <v>0</v>
      </c>
      <c r="H6961" s="767">
        <v>1486270.54</v>
      </c>
      <c r="I6961" s="768" t="s">
        <v>1729</v>
      </c>
    </row>
    <row r="6962" spans="1:9" x14ac:dyDescent="0.25">
      <c r="A6962" s="753"/>
      <c r="C6962" s="131" t="s">
        <v>282</v>
      </c>
      <c r="D6962" s="131">
        <v>16</v>
      </c>
      <c r="E6962" s="131" t="s">
        <v>282</v>
      </c>
      <c r="F6962" s="767">
        <v>-355284</v>
      </c>
      <c r="G6962" s="767">
        <v>0</v>
      </c>
      <c r="H6962" s="767">
        <v>-355284</v>
      </c>
      <c r="I6962" s="768" t="s">
        <v>1731</v>
      </c>
    </row>
    <row r="6963" spans="1:9" x14ac:dyDescent="0.25">
      <c r="A6963" s="753"/>
      <c r="C6963" s="131" t="s">
        <v>1107</v>
      </c>
      <c r="D6963" s="131">
        <v>16</v>
      </c>
      <c r="E6963" s="131" t="s">
        <v>1107</v>
      </c>
      <c r="F6963" s="767">
        <v>333495.65000000002</v>
      </c>
      <c r="G6963" s="767">
        <v>0</v>
      </c>
      <c r="H6963" s="767">
        <v>333495.65000000002</v>
      </c>
      <c r="I6963" s="768" t="s">
        <v>1732</v>
      </c>
    </row>
    <row r="6964" spans="1:9" x14ac:dyDescent="0.25">
      <c r="A6964" s="753"/>
      <c r="C6964" s="131" t="s">
        <v>340</v>
      </c>
      <c r="D6964" s="131">
        <v>16</v>
      </c>
      <c r="E6964" s="131" t="s">
        <v>340</v>
      </c>
      <c r="F6964" s="767">
        <v>-482797.12</v>
      </c>
      <c r="G6964" s="767">
        <v>-236789.98</v>
      </c>
      <c r="H6964" s="767">
        <v>-719587.1</v>
      </c>
      <c r="I6964" s="768" t="s">
        <v>1734</v>
      </c>
    </row>
    <row r="6965" spans="1:9" x14ac:dyDescent="0.25">
      <c r="A6965" s="753"/>
      <c r="C6965" s="131" t="s">
        <v>1108</v>
      </c>
      <c r="D6965" s="131">
        <v>16</v>
      </c>
      <c r="E6965" s="131" t="s">
        <v>1108</v>
      </c>
      <c r="F6965" s="767">
        <v>453323.44</v>
      </c>
      <c r="G6965" s="767">
        <v>217365.05</v>
      </c>
      <c r="H6965" s="767">
        <v>670688.49</v>
      </c>
      <c r="I6965" s="768" t="s">
        <v>1735</v>
      </c>
    </row>
    <row r="6966" spans="1:9" x14ac:dyDescent="0.25">
      <c r="A6966" s="753"/>
      <c r="C6966" s="131" t="s">
        <v>301</v>
      </c>
      <c r="D6966" s="131">
        <v>16</v>
      </c>
      <c r="E6966" s="131" t="s">
        <v>301</v>
      </c>
      <c r="F6966" s="767">
        <v>-109302.93</v>
      </c>
      <c r="G6966" s="767">
        <v>0</v>
      </c>
      <c r="H6966" s="767">
        <v>-109302.93</v>
      </c>
      <c r="I6966" s="768" t="s">
        <v>2272</v>
      </c>
    </row>
    <row r="6967" spans="1:9" x14ac:dyDescent="0.25">
      <c r="A6967" s="753"/>
      <c r="C6967" s="131" t="s">
        <v>2273</v>
      </c>
      <c r="D6967" s="131">
        <v>16</v>
      </c>
      <c r="E6967" s="131" t="s">
        <v>2273</v>
      </c>
      <c r="F6967" s="767">
        <v>109633.12</v>
      </c>
      <c r="G6967" s="767">
        <v>0</v>
      </c>
      <c r="H6967" s="767">
        <v>109633.12</v>
      </c>
      <c r="I6967" s="768" t="s">
        <v>2274</v>
      </c>
    </row>
    <row r="6968" spans="1:9" x14ac:dyDescent="0.25">
      <c r="A6968" s="753"/>
      <c r="C6968" s="131" t="s">
        <v>237</v>
      </c>
      <c r="D6968" s="131">
        <v>16</v>
      </c>
      <c r="E6968" s="131" t="s">
        <v>237</v>
      </c>
      <c r="F6968" s="767">
        <v>-222837.66</v>
      </c>
      <c r="G6968" s="767">
        <v>0</v>
      </c>
      <c r="H6968" s="767">
        <v>-222837.66</v>
      </c>
      <c r="I6968" s="768" t="s">
        <v>1737</v>
      </c>
    </row>
    <row r="6969" spans="1:9" x14ac:dyDescent="0.25">
      <c r="A6969" s="753"/>
      <c r="C6969" s="131" t="s">
        <v>1094</v>
      </c>
      <c r="D6969" s="131">
        <v>16</v>
      </c>
      <c r="E6969" s="131" t="s">
        <v>1094</v>
      </c>
      <c r="F6969" s="767">
        <v>208571.21</v>
      </c>
      <c r="G6969" s="767">
        <v>0</v>
      </c>
      <c r="H6969" s="767">
        <v>208571.21</v>
      </c>
      <c r="I6969" s="768" t="s">
        <v>1738</v>
      </c>
    </row>
    <row r="6970" spans="1:9" x14ac:dyDescent="0.25">
      <c r="A6970" s="753"/>
      <c r="C6970" s="131" t="s">
        <v>258</v>
      </c>
      <c r="D6970" s="131">
        <v>16</v>
      </c>
      <c r="E6970" s="131" t="s">
        <v>258</v>
      </c>
      <c r="F6970" s="767">
        <v>-180770</v>
      </c>
      <c r="G6970" s="767">
        <v>0</v>
      </c>
      <c r="H6970" s="767">
        <v>-180770</v>
      </c>
      <c r="I6970" s="768" t="s">
        <v>1741</v>
      </c>
    </row>
    <row r="6971" spans="1:9" x14ac:dyDescent="0.25">
      <c r="A6971" s="753"/>
      <c r="C6971" s="131" t="s">
        <v>1742</v>
      </c>
      <c r="D6971" s="131">
        <v>16</v>
      </c>
      <c r="E6971" s="131" t="s">
        <v>1742</v>
      </c>
      <c r="F6971" s="767">
        <v>168281.09</v>
      </c>
      <c r="G6971" s="767">
        <v>0</v>
      </c>
      <c r="H6971" s="767">
        <v>168281.09</v>
      </c>
      <c r="I6971" s="768" t="s">
        <v>1743</v>
      </c>
    </row>
    <row r="6972" spans="1:9" x14ac:dyDescent="0.25">
      <c r="A6972" s="753"/>
      <c r="C6972" s="131" t="s">
        <v>105</v>
      </c>
      <c r="D6972" s="131">
        <v>16</v>
      </c>
      <c r="E6972" s="131" t="s">
        <v>105</v>
      </c>
      <c r="F6972" s="767">
        <v>-751239.23</v>
      </c>
      <c r="G6972" s="767">
        <v>-106773.5</v>
      </c>
      <c r="H6972" s="767">
        <v>-858012.73</v>
      </c>
      <c r="I6972" s="768" t="s">
        <v>1745</v>
      </c>
    </row>
    <row r="6973" spans="1:9" x14ac:dyDescent="0.25">
      <c r="A6973" s="753"/>
      <c r="C6973" s="131" t="s">
        <v>1110</v>
      </c>
      <c r="D6973" s="131">
        <v>16</v>
      </c>
      <c r="E6973" s="131" t="s">
        <v>1110</v>
      </c>
      <c r="F6973" s="767">
        <v>714996.42</v>
      </c>
      <c r="G6973" s="767">
        <v>102975</v>
      </c>
      <c r="H6973" s="767">
        <v>817971.42</v>
      </c>
      <c r="I6973" s="768" t="s">
        <v>1746</v>
      </c>
    </row>
    <row r="6974" spans="1:9" x14ac:dyDescent="0.25">
      <c r="A6974" s="753"/>
      <c r="C6974" s="131" t="s">
        <v>401</v>
      </c>
      <c r="D6974" s="131">
        <v>16</v>
      </c>
      <c r="E6974" s="131" t="s">
        <v>401</v>
      </c>
      <c r="F6974" s="767">
        <v>-976653.2</v>
      </c>
      <c r="G6974" s="767">
        <v>0</v>
      </c>
      <c r="H6974" s="767">
        <v>-976653.2</v>
      </c>
      <c r="I6974" s="768" t="s">
        <v>1748</v>
      </c>
    </row>
    <row r="6975" spans="1:9" x14ac:dyDescent="0.25">
      <c r="A6975" s="753"/>
      <c r="C6975" s="131" t="s">
        <v>1112</v>
      </c>
      <c r="D6975" s="131">
        <v>16</v>
      </c>
      <c r="E6975" s="131" t="s">
        <v>1112</v>
      </c>
      <c r="F6975" s="767">
        <v>912448.95</v>
      </c>
      <c r="G6975" s="767">
        <v>0</v>
      </c>
      <c r="H6975" s="767">
        <v>912448.95</v>
      </c>
      <c r="I6975" s="768" t="s">
        <v>1749</v>
      </c>
    </row>
    <row r="6976" spans="1:9" x14ac:dyDescent="0.25">
      <c r="A6976" s="753"/>
      <c r="C6976" s="131">
        <v>447</v>
      </c>
      <c r="D6976" s="131">
        <v>16</v>
      </c>
      <c r="E6976" s="131">
        <v>447</v>
      </c>
      <c r="F6976" s="767">
        <v>-151506.5</v>
      </c>
      <c r="G6976" s="767">
        <v>0</v>
      </c>
      <c r="H6976" s="767">
        <v>-151506.5</v>
      </c>
      <c r="I6976" s="768" t="s">
        <v>1751</v>
      </c>
    </row>
    <row r="6977" spans="1:9" x14ac:dyDescent="0.25">
      <c r="A6977" s="753"/>
      <c r="C6977" s="131">
        <v>647</v>
      </c>
      <c r="D6977" s="131">
        <v>16</v>
      </c>
      <c r="E6977" s="131">
        <v>647</v>
      </c>
      <c r="F6977" s="767">
        <v>145006.09</v>
      </c>
      <c r="G6977" s="767">
        <v>0</v>
      </c>
      <c r="H6977" s="767">
        <v>145006.09</v>
      </c>
      <c r="I6977" s="768" t="s">
        <v>1752</v>
      </c>
    </row>
    <row r="6978" spans="1:9" x14ac:dyDescent="0.25">
      <c r="A6978" s="753"/>
      <c r="C6978" s="131" t="s">
        <v>106</v>
      </c>
      <c r="D6978" s="131">
        <v>16</v>
      </c>
      <c r="E6978" s="131" t="s">
        <v>106</v>
      </c>
      <c r="F6978" s="767">
        <v>-227426</v>
      </c>
      <c r="G6978" s="767">
        <v>0</v>
      </c>
      <c r="H6978" s="767">
        <v>-227426</v>
      </c>
      <c r="I6978" s="768" t="s">
        <v>1754</v>
      </c>
    </row>
    <row r="6979" spans="1:9" x14ac:dyDescent="0.25">
      <c r="A6979" s="753"/>
      <c r="C6979" s="131" t="s">
        <v>1143</v>
      </c>
      <c r="D6979" s="131">
        <v>16</v>
      </c>
      <c r="E6979" s="131" t="s">
        <v>1143</v>
      </c>
      <c r="F6979" s="767">
        <v>214312.85</v>
      </c>
      <c r="G6979" s="767">
        <v>0</v>
      </c>
      <c r="H6979" s="767">
        <v>214312.85</v>
      </c>
      <c r="I6979" s="768" t="s">
        <v>1755</v>
      </c>
    </row>
    <row r="6980" spans="1:9" x14ac:dyDescent="0.25">
      <c r="A6980" s="753"/>
      <c r="C6980" s="131" t="s">
        <v>405</v>
      </c>
      <c r="D6980" s="131">
        <v>16</v>
      </c>
      <c r="E6980" s="131" t="s">
        <v>405</v>
      </c>
      <c r="F6980" s="767">
        <v>-235967</v>
      </c>
      <c r="G6980" s="767">
        <v>0</v>
      </c>
      <c r="H6980" s="767">
        <v>-235967</v>
      </c>
      <c r="I6980" s="768" t="s">
        <v>1757</v>
      </c>
    </row>
    <row r="6981" spans="1:9" x14ac:dyDescent="0.25">
      <c r="A6981" s="753"/>
      <c r="C6981" s="131" t="s">
        <v>1116</v>
      </c>
      <c r="D6981" s="131">
        <v>16</v>
      </c>
      <c r="E6981" s="131" t="s">
        <v>1116</v>
      </c>
      <c r="F6981" s="767">
        <v>220347.51999999999</v>
      </c>
      <c r="G6981" s="767">
        <v>0</v>
      </c>
      <c r="H6981" s="767">
        <v>220347.51999999999</v>
      </c>
      <c r="I6981" s="768" t="s">
        <v>1758</v>
      </c>
    </row>
    <row r="6982" spans="1:9" x14ac:dyDescent="0.25">
      <c r="A6982" s="753"/>
      <c r="C6982" s="131">
        <v>480</v>
      </c>
      <c r="D6982" s="131">
        <v>16</v>
      </c>
      <c r="E6982" s="131">
        <v>480</v>
      </c>
      <c r="F6982" s="767">
        <v>-273292.68</v>
      </c>
      <c r="G6982" s="767">
        <v>0</v>
      </c>
      <c r="H6982" s="767">
        <v>-273292.68</v>
      </c>
      <c r="I6982" s="768" t="s">
        <v>1760</v>
      </c>
    </row>
    <row r="6983" spans="1:9" x14ac:dyDescent="0.25">
      <c r="A6983" s="753"/>
      <c r="C6983" s="131">
        <v>680</v>
      </c>
      <c r="D6983" s="131">
        <v>16</v>
      </c>
      <c r="E6983" s="131">
        <v>680</v>
      </c>
      <c r="F6983" s="767">
        <v>269709.11</v>
      </c>
      <c r="G6983" s="767">
        <v>0</v>
      </c>
      <c r="H6983" s="767">
        <v>269709.11</v>
      </c>
      <c r="I6983" s="768" t="s">
        <v>1761</v>
      </c>
    </row>
    <row r="6984" spans="1:9" x14ac:dyDescent="0.25">
      <c r="A6984" s="753"/>
      <c r="C6984" s="131" t="s">
        <v>406</v>
      </c>
      <c r="D6984" s="131">
        <v>16</v>
      </c>
      <c r="E6984" s="131" t="s">
        <v>406</v>
      </c>
      <c r="F6984" s="767">
        <v>-309378.09999999998</v>
      </c>
      <c r="G6984" s="767">
        <v>0</v>
      </c>
      <c r="H6984" s="767">
        <v>-309378.09999999998</v>
      </c>
      <c r="I6984" s="768" t="s">
        <v>1764</v>
      </c>
    </row>
    <row r="6985" spans="1:9" x14ac:dyDescent="0.25">
      <c r="A6985" s="753"/>
      <c r="C6985" s="131" t="s">
        <v>1119</v>
      </c>
      <c r="D6985" s="131">
        <v>16</v>
      </c>
      <c r="E6985" s="131" t="s">
        <v>1119</v>
      </c>
      <c r="F6985" s="767">
        <v>291459.78000000003</v>
      </c>
      <c r="G6985" s="767">
        <v>0</v>
      </c>
      <c r="H6985" s="767">
        <v>291459.78000000003</v>
      </c>
      <c r="I6985" s="768" t="s">
        <v>1765</v>
      </c>
    </row>
    <row r="6986" spans="1:9" x14ac:dyDescent="0.25">
      <c r="A6986" s="753"/>
      <c r="C6986" s="131">
        <v>481</v>
      </c>
      <c r="D6986" s="131">
        <v>16</v>
      </c>
      <c r="E6986" s="131">
        <v>481</v>
      </c>
      <c r="F6986" s="767">
        <v>-237027.97</v>
      </c>
      <c r="G6986" s="767">
        <v>0</v>
      </c>
      <c r="H6986" s="767">
        <v>-237027.97</v>
      </c>
      <c r="I6986" s="768" t="s">
        <v>408</v>
      </c>
    </row>
    <row r="6987" spans="1:9" x14ac:dyDescent="0.25">
      <c r="A6987" s="753"/>
      <c r="C6987" s="131">
        <v>681</v>
      </c>
      <c r="D6987" s="131">
        <v>16</v>
      </c>
      <c r="E6987" s="131">
        <v>681</v>
      </c>
      <c r="F6987" s="767">
        <v>233811.43</v>
      </c>
      <c r="G6987" s="767">
        <v>0</v>
      </c>
      <c r="H6987" s="767">
        <v>233811.43</v>
      </c>
      <c r="I6987" s="768" t="s">
        <v>408</v>
      </c>
    </row>
    <row r="6988" spans="1:9" x14ac:dyDescent="0.25">
      <c r="A6988" s="753"/>
      <c r="C6988" s="131" t="s">
        <v>410</v>
      </c>
      <c r="D6988" s="131">
        <v>16</v>
      </c>
      <c r="E6988" s="131" t="s">
        <v>410</v>
      </c>
      <c r="F6988" s="767">
        <v>-246468.25</v>
      </c>
      <c r="G6988" s="767">
        <v>0</v>
      </c>
      <c r="H6988" s="767">
        <v>-246468.25</v>
      </c>
      <c r="I6988" s="768" t="s">
        <v>1767</v>
      </c>
    </row>
    <row r="6989" spans="1:9" x14ac:dyDescent="0.25">
      <c r="A6989" s="753"/>
      <c r="C6989" s="131" t="s">
        <v>1120</v>
      </c>
      <c r="D6989" s="131">
        <v>16</v>
      </c>
      <c r="E6989" s="131" t="s">
        <v>1120</v>
      </c>
      <c r="F6989" s="767">
        <v>235559.82</v>
      </c>
      <c r="G6989" s="767">
        <v>0</v>
      </c>
      <c r="H6989" s="767">
        <v>235559.82</v>
      </c>
      <c r="I6989" s="768" t="s">
        <v>1767</v>
      </c>
    </row>
    <row r="6990" spans="1:9" x14ac:dyDescent="0.25">
      <c r="A6990" s="753"/>
      <c r="C6990" s="131" t="s">
        <v>376</v>
      </c>
      <c r="D6990" s="131">
        <v>16</v>
      </c>
      <c r="E6990" s="131" t="s">
        <v>376</v>
      </c>
      <c r="F6990" s="767">
        <v>-98510.95</v>
      </c>
      <c r="G6990" s="767">
        <v>0</v>
      </c>
      <c r="H6990" s="767">
        <v>-98510.95</v>
      </c>
      <c r="I6990" s="768" t="s">
        <v>2278</v>
      </c>
    </row>
    <row r="6991" spans="1:9" x14ac:dyDescent="0.25">
      <c r="A6991" s="753"/>
      <c r="C6991" s="131" t="s">
        <v>2279</v>
      </c>
      <c r="D6991" s="131">
        <v>16</v>
      </c>
      <c r="E6991" s="131" t="s">
        <v>2279</v>
      </c>
      <c r="F6991" s="767">
        <v>97615</v>
      </c>
      <c r="G6991" s="767">
        <v>0</v>
      </c>
      <c r="H6991" s="767">
        <v>97615</v>
      </c>
      <c r="I6991" s="768" t="s">
        <v>2280</v>
      </c>
    </row>
    <row r="6992" spans="1:9" x14ac:dyDescent="0.25">
      <c r="A6992" s="753"/>
      <c r="C6992" s="131" t="s">
        <v>378</v>
      </c>
      <c r="D6992" s="131">
        <v>16</v>
      </c>
      <c r="E6992" s="131" t="s">
        <v>378</v>
      </c>
      <c r="F6992" s="767">
        <v>-323316.75</v>
      </c>
      <c r="G6992" s="767">
        <v>0</v>
      </c>
      <c r="H6992" s="767">
        <v>-323316.75</v>
      </c>
      <c r="I6992" s="768" t="s">
        <v>1769</v>
      </c>
    </row>
    <row r="6993" spans="1:9" x14ac:dyDescent="0.25">
      <c r="A6993" s="753"/>
      <c r="C6993" s="131" t="s">
        <v>1121</v>
      </c>
      <c r="D6993" s="131">
        <v>16</v>
      </c>
      <c r="E6993" s="131" t="s">
        <v>1121</v>
      </c>
      <c r="F6993" s="767">
        <v>316233.65000000002</v>
      </c>
      <c r="G6993" s="767">
        <v>0</v>
      </c>
      <c r="H6993" s="767">
        <v>316233.65000000002</v>
      </c>
      <c r="I6993" s="768" t="s">
        <v>1770</v>
      </c>
    </row>
    <row r="6994" spans="1:9" x14ac:dyDescent="0.25">
      <c r="A6994" s="753"/>
      <c r="C6994" s="131" t="s">
        <v>233</v>
      </c>
      <c r="D6994" s="131">
        <v>16</v>
      </c>
      <c r="E6994" s="131" t="s">
        <v>233</v>
      </c>
      <c r="F6994" s="767">
        <v>-49508.31</v>
      </c>
      <c r="G6994" s="767">
        <v>0</v>
      </c>
      <c r="H6994" s="767">
        <v>-49508.31</v>
      </c>
      <c r="I6994" s="768" t="s">
        <v>1824</v>
      </c>
    </row>
    <row r="6995" spans="1:9" x14ac:dyDescent="0.25">
      <c r="A6995" s="753"/>
      <c r="C6995" s="131" t="s">
        <v>1135</v>
      </c>
      <c r="D6995" s="131">
        <v>16</v>
      </c>
      <c r="E6995" s="131" t="s">
        <v>1135</v>
      </c>
      <c r="F6995" s="767">
        <v>44968.42</v>
      </c>
      <c r="G6995" s="767">
        <v>0</v>
      </c>
      <c r="H6995" s="767">
        <v>44968.42</v>
      </c>
      <c r="I6995" s="768" t="s">
        <v>1825</v>
      </c>
    </row>
    <row r="6996" spans="1:9" x14ac:dyDescent="0.25">
      <c r="A6996" s="753"/>
      <c r="C6996" s="131" t="s">
        <v>234</v>
      </c>
      <c r="D6996" s="131">
        <v>16</v>
      </c>
      <c r="E6996" s="131" t="s">
        <v>234</v>
      </c>
      <c r="F6996" s="767">
        <v>-66243.350000000006</v>
      </c>
      <c r="G6996" s="767">
        <v>0</v>
      </c>
      <c r="H6996" s="767">
        <v>-66243.350000000006</v>
      </c>
      <c r="I6996" s="768" t="s">
        <v>1827</v>
      </c>
    </row>
    <row r="6997" spans="1:9" x14ac:dyDescent="0.25">
      <c r="A6997" s="753"/>
      <c r="C6997" s="131" t="s">
        <v>1138</v>
      </c>
      <c r="D6997" s="131">
        <v>16</v>
      </c>
      <c r="E6997" s="131" t="s">
        <v>1138</v>
      </c>
      <c r="F6997" s="767">
        <v>64976.959999999999</v>
      </c>
      <c r="G6997" s="767">
        <v>0</v>
      </c>
      <c r="H6997" s="767">
        <v>64976.959999999999</v>
      </c>
      <c r="I6997" s="768" t="s">
        <v>1828</v>
      </c>
    </row>
    <row r="6998" spans="1:9" x14ac:dyDescent="0.25">
      <c r="A6998" s="753"/>
      <c r="C6998" s="131" t="s">
        <v>385</v>
      </c>
      <c r="D6998" s="131">
        <v>16</v>
      </c>
      <c r="E6998" s="131" t="s">
        <v>385</v>
      </c>
      <c r="F6998" s="767">
        <v>-88209.5</v>
      </c>
      <c r="G6998" s="767">
        <v>0</v>
      </c>
      <c r="H6998" s="767">
        <v>-88209.5</v>
      </c>
      <c r="I6998" s="768" t="s">
        <v>2283</v>
      </c>
    </row>
    <row r="6999" spans="1:9" x14ac:dyDescent="0.25">
      <c r="A6999" s="753"/>
      <c r="C6999" s="131" t="s">
        <v>1136</v>
      </c>
      <c r="D6999" s="131">
        <v>16</v>
      </c>
      <c r="E6999" s="131" t="s">
        <v>1136</v>
      </c>
      <c r="F6999" s="767">
        <v>84914.34</v>
      </c>
      <c r="G6999" s="767">
        <v>0</v>
      </c>
      <c r="H6999" s="767">
        <v>84914.34</v>
      </c>
      <c r="I6999" s="768" t="s">
        <v>1829</v>
      </c>
    </row>
    <row r="7000" spans="1:9" x14ac:dyDescent="0.25">
      <c r="A7000" s="753"/>
      <c r="C7000" s="131" t="s">
        <v>100</v>
      </c>
      <c r="D7000" s="131">
        <v>16</v>
      </c>
      <c r="E7000" s="131" t="s">
        <v>100</v>
      </c>
      <c r="F7000" s="767">
        <v>-63527.8</v>
      </c>
      <c r="G7000" s="767">
        <v>0</v>
      </c>
      <c r="H7000" s="767">
        <v>-63527.8</v>
      </c>
      <c r="I7000" s="768" t="s">
        <v>1831</v>
      </c>
    </row>
    <row r="7001" spans="1:9" x14ac:dyDescent="0.25">
      <c r="A7001" s="753"/>
      <c r="C7001" s="131" t="s">
        <v>1142</v>
      </c>
      <c r="D7001" s="131">
        <v>16</v>
      </c>
      <c r="E7001" s="131" t="s">
        <v>1142</v>
      </c>
      <c r="F7001" s="767">
        <v>62923.61</v>
      </c>
      <c r="G7001" s="767">
        <v>0</v>
      </c>
      <c r="H7001" s="767">
        <v>62923.61</v>
      </c>
      <c r="I7001" s="768" t="s">
        <v>1832</v>
      </c>
    </row>
    <row r="7002" spans="1:9" x14ac:dyDescent="0.25">
      <c r="A7002" s="753"/>
      <c r="C7002" s="131" t="s">
        <v>255</v>
      </c>
      <c r="D7002" s="131">
        <v>16</v>
      </c>
      <c r="E7002" s="131" t="s">
        <v>255</v>
      </c>
      <c r="F7002" s="767">
        <v>-295643.12</v>
      </c>
      <c r="G7002" s="767">
        <v>0</v>
      </c>
      <c r="H7002" s="767">
        <v>-295643.12</v>
      </c>
      <c r="I7002" s="768" t="s">
        <v>1833</v>
      </c>
    </row>
    <row r="7003" spans="1:9" x14ac:dyDescent="0.25">
      <c r="A7003" s="753"/>
      <c r="C7003" s="131" t="s">
        <v>1145</v>
      </c>
      <c r="D7003" s="131">
        <v>16</v>
      </c>
      <c r="E7003" s="131" t="s">
        <v>1145</v>
      </c>
      <c r="F7003" s="767">
        <v>278307.76</v>
      </c>
      <c r="G7003" s="767">
        <v>0</v>
      </c>
      <c r="H7003" s="767">
        <v>278307.76</v>
      </c>
      <c r="I7003" s="768" t="s">
        <v>1833</v>
      </c>
    </row>
    <row r="7004" spans="1:9" x14ac:dyDescent="0.25">
      <c r="A7004" s="753"/>
      <c r="C7004" s="131" t="s">
        <v>101</v>
      </c>
      <c r="D7004" s="131">
        <v>16</v>
      </c>
      <c r="E7004" s="131" t="s">
        <v>101</v>
      </c>
      <c r="F7004" s="767">
        <v>-80066.53</v>
      </c>
      <c r="G7004" s="767">
        <v>0</v>
      </c>
      <c r="H7004" s="767">
        <v>-80066.53</v>
      </c>
      <c r="I7004" s="768" t="s">
        <v>1834</v>
      </c>
    </row>
    <row r="7005" spans="1:9" x14ac:dyDescent="0.25">
      <c r="A7005" s="753"/>
      <c r="C7005" s="131" t="s">
        <v>1147</v>
      </c>
      <c r="D7005" s="131">
        <v>16</v>
      </c>
      <c r="E7005" s="131" t="s">
        <v>1147</v>
      </c>
      <c r="F7005" s="767">
        <v>76375.27</v>
      </c>
      <c r="G7005" s="767">
        <v>0</v>
      </c>
      <c r="H7005" s="767">
        <v>76375.27</v>
      </c>
      <c r="I7005" s="768" t="s">
        <v>1834</v>
      </c>
    </row>
    <row r="7006" spans="1:9" x14ac:dyDescent="0.25">
      <c r="A7006" s="753"/>
      <c r="C7006" s="131" t="s">
        <v>235</v>
      </c>
      <c r="D7006" s="131">
        <v>16</v>
      </c>
      <c r="E7006" s="131" t="s">
        <v>235</v>
      </c>
      <c r="F7006" s="767">
        <v>0</v>
      </c>
      <c r="G7006" s="767">
        <v>-181349.96</v>
      </c>
      <c r="H7006" s="767">
        <v>-181349.96</v>
      </c>
      <c r="I7006" s="768" t="s">
        <v>2286</v>
      </c>
    </row>
    <row r="7007" spans="1:9" x14ac:dyDescent="0.25">
      <c r="A7007" s="753"/>
      <c r="C7007" s="131" t="s">
        <v>2287</v>
      </c>
      <c r="D7007" s="131">
        <v>16</v>
      </c>
      <c r="E7007" s="131" t="s">
        <v>2287</v>
      </c>
      <c r="F7007" s="767">
        <v>0</v>
      </c>
      <c r="G7007" s="767">
        <v>175112.67</v>
      </c>
      <c r="H7007" s="767">
        <v>175112.67</v>
      </c>
      <c r="I7007" s="768" t="s">
        <v>2288</v>
      </c>
    </row>
    <row r="7008" spans="1:9" x14ac:dyDescent="0.25">
      <c r="A7008" s="753"/>
      <c r="C7008" s="131" t="s">
        <v>364</v>
      </c>
      <c r="D7008" s="131">
        <v>16</v>
      </c>
      <c r="E7008" s="131" t="s">
        <v>364</v>
      </c>
      <c r="F7008" s="767">
        <v>-120423.5</v>
      </c>
      <c r="G7008" s="767">
        <v>-107635.36</v>
      </c>
      <c r="H7008" s="767">
        <v>-228058.86</v>
      </c>
      <c r="I7008" s="768" t="s">
        <v>2291</v>
      </c>
    </row>
    <row r="7009" spans="1:9" x14ac:dyDescent="0.25">
      <c r="A7009" s="753"/>
      <c r="C7009" s="131" t="s">
        <v>2292</v>
      </c>
      <c r="D7009" s="131">
        <v>16</v>
      </c>
      <c r="E7009" s="131" t="s">
        <v>2292</v>
      </c>
      <c r="F7009" s="767">
        <v>111575</v>
      </c>
      <c r="G7009" s="767">
        <v>100537.06</v>
      </c>
      <c r="H7009" s="767">
        <v>212112.06</v>
      </c>
      <c r="I7009" s="768" t="s">
        <v>2293</v>
      </c>
    </row>
    <row r="7010" spans="1:9" x14ac:dyDescent="0.25">
      <c r="A7010" s="753"/>
      <c r="C7010" s="131" t="s">
        <v>371</v>
      </c>
      <c r="D7010" s="131">
        <v>16</v>
      </c>
      <c r="E7010" s="131" t="s">
        <v>371</v>
      </c>
      <c r="F7010" s="767">
        <v>-106923.5</v>
      </c>
      <c r="G7010" s="767">
        <v>0</v>
      </c>
      <c r="H7010" s="767">
        <v>-106923.5</v>
      </c>
      <c r="I7010" s="768" t="s">
        <v>1836</v>
      </c>
    </row>
    <row r="7011" spans="1:9" x14ac:dyDescent="0.25">
      <c r="A7011" s="753"/>
      <c r="C7011" s="131" t="s">
        <v>1152</v>
      </c>
      <c r="D7011" s="131">
        <v>16</v>
      </c>
      <c r="E7011" s="131" t="s">
        <v>1152</v>
      </c>
      <c r="F7011" s="767">
        <v>102290.17</v>
      </c>
      <c r="G7011" s="767">
        <v>0</v>
      </c>
      <c r="H7011" s="767">
        <v>102290.17</v>
      </c>
      <c r="I7011" s="768" t="s">
        <v>1837</v>
      </c>
    </row>
    <row r="7012" spans="1:9" x14ac:dyDescent="0.25">
      <c r="A7012" s="753"/>
      <c r="C7012" s="131" t="s">
        <v>0</v>
      </c>
      <c r="D7012" s="131">
        <v>16</v>
      </c>
      <c r="E7012" s="131" t="s">
        <v>0</v>
      </c>
      <c r="F7012" s="767">
        <v>-90273.5</v>
      </c>
      <c r="G7012" s="767">
        <v>0</v>
      </c>
      <c r="H7012" s="767">
        <v>-90273.5</v>
      </c>
      <c r="I7012" s="768" t="s">
        <v>1839</v>
      </c>
    </row>
    <row r="7013" spans="1:9" x14ac:dyDescent="0.25">
      <c r="A7013" s="753"/>
      <c r="C7013" s="131" t="s">
        <v>1117</v>
      </c>
      <c r="D7013" s="131">
        <v>16</v>
      </c>
      <c r="E7013" s="131" t="s">
        <v>1117</v>
      </c>
      <c r="F7013" s="767">
        <v>82763.5</v>
      </c>
      <c r="G7013" s="767">
        <v>0</v>
      </c>
      <c r="H7013" s="767">
        <v>82763.5</v>
      </c>
      <c r="I7013" s="768" t="s">
        <v>1840</v>
      </c>
    </row>
    <row r="7014" spans="1:9" x14ac:dyDescent="0.25">
      <c r="A7014" s="753"/>
      <c r="C7014" s="131" t="s">
        <v>388</v>
      </c>
      <c r="D7014" s="131">
        <v>16</v>
      </c>
      <c r="E7014" s="131" t="s">
        <v>388</v>
      </c>
      <c r="F7014" s="767">
        <v>-488096.67</v>
      </c>
      <c r="G7014" s="767">
        <v>-138273.37</v>
      </c>
      <c r="H7014" s="767">
        <v>-626370.04</v>
      </c>
      <c r="I7014" s="768" t="s">
        <v>1842</v>
      </c>
    </row>
    <row r="7015" spans="1:9" x14ac:dyDescent="0.25">
      <c r="A7015" s="753"/>
      <c r="C7015" s="131" t="s">
        <v>1157</v>
      </c>
      <c r="D7015" s="131">
        <v>16</v>
      </c>
      <c r="E7015" s="131" t="s">
        <v>1157</v>
      </c>
      <c r="F7015" s="767">
        <v>453839.9</v>
      </c>
      <c r="G7015" s="767">
        <v>126082.57</v>
      </c>
      <c r="H7015" s="767">
        <v>579922.47</v>
      </c>
      <c r="I7015" s="768" t="s">
        <v>1843</v>
      </c>
    </row>
    <row r="7016" spans="1:9" x14ac:dyDescent="0.25">
      <c r="A7016" s="753"/>
      <c r="C7016" s="131" t="s">
        <v>372</v>
      </c>
      <c r="D7016" s="131">
        <v>16</v>
      </c>
      <c r="E7016" s="131" t="s">
        <v>372</v>
      </c>
      <c r="F7016" s="767">
        <v>-1072320</v>
      </c>
      <c r="G7016" s="767">
        <v>-324698.42</v>
      </c>
      <c r="H7016" s="767">
        <v>-1397018.42</v>
      </c>
      <c r="I7016" s="768" t="s">
        <v>1845</v>
      </c>
    </row>
    <row r="7017" spans="1:9" x14ac:dyDescent="0.25">
      <c r="A7017" s="753"/>
      <c r="C7017" s="131" t="s">
        <v>1159</v>
      </c>
      <c r="D7017" s="131">
        <v>16</v>
      </c>
      <c r="E7017" s="131" t="s">
        <v>1159</v>
      </c>
      <c r="F7017" s="767">
        <v>1004366.9</v>
      </c>
      <c r="G7017" s="767">
        <v>299603.12</v>
      </c>
      <c r="H7017" s="767">
        <v>1303970.02</v>
      </c>
      <c r="I7017" s="768" t="s">
        <v>1846</v>
      </c>
    </row>
    <row r="7018" spans="1:9" x14ac:dyDescent="0.25">
      <c r="A7018" s="753"/>
      <c r="C7018" s="131" t="s">
        <v>389</v>
      </c>
      <c r="D7018" s="131">
        <v>16</v>
      </c>
      <c r="E7018" s="131" t="s">
        <v>389</v>
      </c>
      <c r="F7018" s="767">
        <v>-160941.5</v>
      </c>
      <c r="G7018" s="767">
        <v>0</v>
      </c>
      <c r="H7018" s="767">
        <v>-160941.5</v>
      </c>
      <c r="I7018" s="768" t="s">
        <v>2296</v>
      </c>
    </row>
    <row r="7019" spans="1:9" x14ac:dyDescent="0.25">
      <c r="A7019" s="753"/>
      <c r="C7019" s="131" t="s">
        <v>2297</v>
      </c>
      <c r="D7019" s="131">
        <v>16</v>
      </c>
      <c r="E7019" s="131" t="s">
        <v>2297</v>
      </c>
      <c r="F7019" s="767">
        <v>156088.57999999999</v>
      </c>
      <c r="G7019" s="767">
        <v>0</v>
      </c>
      <c r="H7019" s="767">
        <v>156088.57999999999</v>
      </c>
      <c r="I7019" s="768" t="s">
        <v>2298</v>
      </c>
    </row>
    <row r="7020" spans="1:9" x14ac:dyDescent="0.25">
      <c r="A7020" s="753"/>
      <c r="C7020" s="131" t="s">
        <v>373</v>
      </c>
      <c r="D7020" s="131">
        <v>16</v>
      </c>
      <c r="E7020" s="131" t="s">
        <v>373</v>
      </c>
      <c r="F7020" s="767">
        <v>-345515.77</v>
      </c>
      <c r="G7020" s="767">
        <v>0</v>
      </c>
      <c r="H7020" s="767">
        <v>-345515.77</v>
      </c>
      <c r="I7020" s="768" t="s">
        <v>2301</v>
      </c>
    </row>
    <row r="7021" spans="1:9" x14ac:dyDescent="0.25">
      <c r="A7021" s="753"/>
      <c r="C7021" s="131" t="s">
        <v>2302</v>
      </c>
      <c r="D7021" s="131">
        <v>16</v>
      </c>
      <c r="E7021" s="131" t="s">
        <v>2302</v>
      </c>
      <c r="F7021" s="767">
        <v>339379.44</v>
      </c>
      <c r="G7021" s="767">
        <v>0</v>
      </c>
      <c r="H7021" s="767">
        <v>339379.44</v>
      </c>
      <c r="I7021" s="768" t="s">
        <v>2303</v>
      </c>
    </row>
    <row r="7022" spans="1:9" x14ac:dyDescent="0.25">
      <c r="A7022" s="753"/>
      <c r="C7022" s="131" t="s">
        <v>365</v>
      </c>
      <c r="D7022" s="131">
        <v>16</v>
      </c>
      <c r="E7022" s="131" t="s">
        <v>365</v>
      </c>
      <c r="F7022" s="767">
        <v>-242245.5</v>
      </c>
      <c r="G7022" s="767">
        <v>0</v>
      </c>
      <c r="H7022" s="767">
        <v>-242245.5</v>
      </c>
      <c r="I7022" s="768" t="s">
        <v>1850</v>
      </c>
    </row>
    <row r="7023" spans="1:9" x14ac:dyDescent="0.25">
      <c r="A7023" s="753"/>
      <c r="C7023" s="131" t="s">
        <v>365</v>
      </c>
      <c r="D7023" s="131">
        <v>16</v>
      </c>
      <c r="E7023" s="131" t="s">
        <v>1139</v>
      </c>
      <c r="F7023" s="767">
        <v>-72260.61</v>
      </c>
      <c r="G7023" s="767">
        <v>0</v>
      </c>
      <c r="H7023" s="767">
        <v>-72260.61</v>
      </c>
      <c r="I7023" s="768" t="s">
        <v>1851</v>
      </c>
    </row>
    <row r="7024" spans="1:9" x14ac:dyDescent="0.25">
      <c r="A7024" s="753"/>
      <c r="C7024" s="131" t="s">
        <v>1161</v>
      </c>
      <c r="D7024" s="131">
        <v>16</v>
      </c>
      <c r="E7024" s="131" t="s">
        <v>1161</v>
      </c>
      <c r="F7024" s="767">
        <v>225357.57</v>
      </c>
      <c r="G7024" s="767">
        <v>0</v>
      </c>
      <c r="H7024" s="767">
        <v>225357.57</v>
      </c>
      <c r="I7024" s="768" t="s">
        <v>1852</v>
      </c>
    </row>
    <row r="7025" spans="1:9" x14ac:dyDescent="0.25">
      <c r="A7025" s="753"/>
      <c r="C7025" s="131" t="s">
        <v>1161</v>
      </c>
      <c r="D7025" s="131">
        <v>16</v>
      </c>
      <c r="E7025" s="131" t="s">
        <v>1140</v>
      </c>
      <c r="F7025" s="767">
        <v>65199.61</v>
      </c>
      <c r="G7025" s="767">
        <v>0</v>
      </c>
      <c r="H7025" s="767">
        <v>65199.61</v>
      </c>
      <c r="I7025" s="768" t="s">
        <v>1853</v>
      </c>
    </row>
    <row r="7026" spans="1:9" x14ac:dyDescent="0.25">
      <c r="A7026" s="753"/>
      <c r="C7026" s="131" t="s">
        <v>416</v>
      </c>
      <c r="D7026" s="131">
        <v>16</v>
      </c>
      <c r="E7026" s="131" t="s">
        <v>416</v>
      </c>
      <c r="F7026" s="767">
        <v>-97623.5</v>
      </c>
      <c r="G7026" s="767">
        <v>0</v>
      </c>
      <c r="H7026" s="767">
        <v>-97623.5</v>
      </c>
      <c r="I7026" s="768" t="s">
        <v>1854</v>
      </c>
    </row>
    <row r="7027" spans="1:9" x14ac:dyDescent="0.25">
      <c r="A7027" s="753"/>
      <c r="C7027" s="131" t="s">
        <v>1163</v>
      </c>
      <c r="D7027" s="131">
        <v>16</v>
      </c>
      <c r="E7027" s="131" t="s">
        <v>1163</v>
      </c>
      <c r="F7027" s="767">
        <v>90757.33</v>
      </c>
      <c r="G7027" s="767">
        <v>0</v>
      </c>
      <c r="H7027" s="767">
        <v>90757.33</v>
      </c>
      <c r="I7027" s="768" t="s">
        <v>1854</v>
      </c>
    </row>
    <row r="7028" spans="1:9" x14ac:dyDescent="0.25">
      <c r="A7028" s="753"/>
      <c r="C7028" s="131" t="s">
        <v>256</v>
      </c>
      <c r="D7028" s="131">
        <v>16</v>
      </c>
      <c r="E7028" s="131" t="s">
        <v>256</v>
      </c>
      <c r="F7028" s="767">
        <v>-121994.74</v>
      </c>
      <c r="G7028" s="767">
        <v>0</v>
      </c>
      <c r="H7028" s="767">
        <v>-121994.74</v>
      </c>
      <c r="I7028" s="768" t="s">
        <v>1856</v>
      </c>
    </row>
    <row r="7029" spans="1:9" x14ac:dyDescent="0.25">
      <c r="A7029" s="753"/>
      <c r="C7029" s="131" t="s">
        <v>1165</v>
      </c>
      <c r="D7029" s="131">
        <v>16</v>
      </c>
      <c r="E7029" s="131" t="s">
        <v>1165</v>
      </c>
      <c r="F7029" s="767">
        <v>116172.84</v>
      </c>
      <c r="G7029" s="767">
        <v>0</v>
      </c>
      <c r="H7029" s="767">
        <v>116172.84</v>
      </c>
      <c r="I7029" s="768" t="s">
        <v>1857</v>
      </c>
    </row>
    <row r="7030" spans="1:9" x14ac:dyDescent="0.25">
      <c r="A7030" s="753"/>
      <c r="C7030" s="131" t="s">
        <v>366</v>
      </c>
      <c r="D7030" s="131">
        <v>16</v>
      </c>
      <c r="E7030" s="131" t="s">
        <v>366</v>
      </c>
      <c r="F7030" s="767">
        <v>-133336.91</v>
      </c>
      <c r="G7030" s="767">
        <v>0</v>
      </c>
      <c r="H7030" s="767">
        <v>-133336.91</v>
      </c>
      <c r="I7030" s="768" t="s">
        <v>1859</v>
      </c>
    </row>
    <row r="7031" spans="1:9" x14ac:dyDescent="0.25">
      <c r="A7031" s="753"/>
      <c r="C7031" s="131" t="s">
        <v>1155</v>
      </c>
      <c r="D7031" s="131">
        <v>16</v>
      </c>
      <c r="E7031" s="131" t="s">
        <v>1155</v>
      </c>
      <c r="F7031" s="767">
        <v>124643.41</v>
      </c>
      <c r="G7031" s="767">
        <v>0</v>
      </c>
      <c r="H7031" s="767">
        <v>124643.41</v>
      </c>
      <c r="I7031" s="768" t="s">
        <v>1860</v>
      </c>
    </row>
    <row r="7032" spans="1:9" x14ac:dyDescent="0.25">
      <c r="A7032" s="753"/>
      <c r="C7032" s="131" t="s">
        <v>391</v>
      </c>
      <c r="D7032" s="131">
        <v>16</v>
      </c>
      <c r="E7032" s="131" t="s">
        <v>391</v>
      </c>
      <c r="F7032" s="767">
        <v>-227978.65</v>
      </c>
      <c r="G7032" s="767">
        <v>0</v>
      </c>
      <c r="H7032" s="767">
        <v>-227978.65</v>
      </c>
      <c r="I7032" s="768" t="s">
        <v>1862</v>
      </c>
    </row>
    <row r="7033" spans="1:9" x14ac:dyDescent="0.25">
      <c r="A7033" s="753"/>
      <c r="C7033" s="131" t="s">
        <v>1168</v>
      </c>
      <c r="D7033" s="131">
        <v>16</v>
      </c>
      <c r="E7033" s="131" t="s">
        <v>1168</v>
      </c>
      <c r="F7033" s="767">
        <v>216450.03</v>
      </c>
      <c r="G7033" s="767">
        <v>0</v>
      </c>
      <c r="H7033" s="767">
        <v>216450.03</v>
      </c>
      <c r="I7033" s="768" t="s">
        <v>1863</v>
      </c>
    </row>
    <row r="7034" spans="1:9" x14ac:dyDescent="0.25">
      <c r="A7034" s="753"/>
      <c r="C7034" s="131">
        <v>415</v>
      </c>
      <c r="D7034" s="131">
        <v>16</v>
      </c>
      <c r="E7034" s="131">
        <v>415</v>
      </c>
      <c r="F7034" s="767">
        <v>0</v>
      </c>
      <c r="G7034" s="767">
        <v>-140922.95000000001</v>
      </c>
      <c r="H7034" s="767">
        <v>-140922.95000000001</v>
      </c>
      <c r="I7034" s="768" t="s">
        <v>2306</v>
      </c>
    </row>
    <row r="7035" spans="1:9" x14ac:dyDescent="0.25">
      <c r="A7035" s="753"/>
      <c r="C7035" s="131">
        <v>615</v>
      </c>
      <c r="D7035" s="131">
        <v>16</v>
      </c>
      <c r="E7035" s="131">
        <v>615</v>
      </c>
      <c r="F7035" s="767">
        <v>0</v>
      </c>
      <c r="G7035" s="767">
        <v>135011.85</v>
      </c>
      <c r="H7035" s="767">
        <v>135011.85</v>
      </c>
      <c r="I7035" s="768" t="s">
        <v>2307</v>
      </c>
    </row>
    <row r="7036" spans="1:9" x14ac:dyDescent="0.25">
      <c r="A7036" s="753"/>
      <c r="C7036" s="131" t="s">
        <v>394</v>
      </c>
      <c r="D7036" s="131">
        <v>16</v>
      </c>
      <c r="E7036" s="131" t="s">
        <v>394</v>
      </c>
      <c r="F7036" s="767">
        <v>-118545.13</v>
      </c>
      <c r="G7036" s="767">
        <v>0</v>
      </c>
      <c r="H7036" s="767">
        <v>-118545.13</v>
      </c>
      <c r="I7036" s="768" t="s">
        <v>1865</v>
      </c>
    </row>
    <row r="7037" spans="1:9" x14ac:dyDescent="0.25">
      <c r="A7037" s="753"/>
      <c r="C7037" s="131" t="s">
        <v>1122</v>
      </c>
      <c r="D7037" s="131">
        <v>16</v>
      </c>
      <c r="E7037" s="131" t="s">
        <v>1122</v>
      </c>
      <c r="F7037" s="767">
        <v>118545.13</v>
      </c>
      <c r="G7037" s="767">
        <v>0</v>
      </c>
      <c r="H7037" s="767">
        <v>118545.13</v>
      </c>
      <c r="I7037" s="768" t="s">
        <v>1866</v>
      </c>
    </row>
    <row r="7038" spans="1:9" x14ac:dyDescent="0.25">
      <c r="A7038" s="753"/>
      <c r="C7038" s="131" t="s">
        <v>292</v>
      </c>
      <c r="D7038" s="131">
        <v>16</v>
      </c>
      <c r="E7038" s="131" t="s">
        <v>1080</v>
      </c>
      <c r="F7038" s="767">
        <v>-128273.5</v>
      </c>
      <c r="G7038" s="767">
        <v>0</v>
      </c>
      <c r="H7038" s="767">
        <v>-128273.5</v>
      </c>
      <c r="I7038" s="768" t="s">
        <v>1868</v>
      </c>
    </row>
    <row r="7039" spans="1:9" x14ac:dyDescent="0.25">
      <c r="A7039" s="753"/>
      <c r="C7039" s="131" t="s">
        <v>1174</v>
      </c>
      <c r="D7039" s="131">
        <v>16</v>
      </c>
      <c r="E7039" s="131" t="s">
        <v>1081</v>
      </c>
      <c r="F7039" s="767">
        <v>115038.03</v>
      </c>
      <c r="G7039" s="767">
        <v>0</v>
      </c>
      <c r="H7039" s="767">
        <v>115038.03</v>
      </c>
      <c r="I7039" s="768" t="s">
        <v>1869</v>
      </c>
    </row>
    <row r="7040" spans="1:9" x14ac:dyDescent="0.25">
      <c r="A7040" s="753"/>
      <c r="C7040" s="131" t="s">
        <v>297</v>
      </c>
      <c r="D7040" s="131">
        <v>16</v>
      </c>
      <c r="E7040" s="131" t="s">
        <v>297</v>
      </c>
      <c r="F7040" s="767">
        <v>-156342</v>
      </c>
      <c r="G7040" s="767">
        <v>0</v>
      </c>
      <c r="H7040" s="767">
        <v>-156342</v>
      </c>
      <c r="I7040" s="768" t="s">
        <v>1871</v>
      </c>
    </row>
    <row r="7041" spans="1:9" x14ac:dyDescent="0.25">
      <c r="A7041" s="753"/>
      <c r="C7041" s="131" t="s">
        <v>1083</v>
      </c>
      <c r="D7041" s="131">
        <v>16</v>
      </c>
      <c r="E7041" s="131" t="s">
        <v>1083</v>
      </c>
      <c r="F7041" s="767">
        <v>147709.57999999999</v>
      </c>
      <c r="G7041" s="767">
        <v>0</v>
      </c>
      <c r="H7041" s="767">
        <v>147709.57999999999</v>
      </c>
      <c r="I7041" s="768" t="s">
        <v>1872</v>
      </c>
    </row>
    <row r="7042" spans="1:9" x14ac:dyDescent="0.25">
      <c r="A7042" s="753"/>
      <c r="C7042" s="131" t="s">
        <v>299</v>
      </c>
      <c r="D7042" s="131">
        <v>16</v>
      </c>
      <c r="E7042" s="131" t="s">
        <v>299</v>
      </c>
      <c r="F7042" s="767">
        <v>-363200</v>
      </c>
      <c r="G7042" s="767">
        <v>0</v>
      </c>
      <c r="H7042" s="767">
        <v>-363200</v>
      </c>
      <c r="I7042" s="768" t="s">
        <v>1874</v>
      </c>
    </row>
    <row r="7043" spans="1:9" x14ac:dyDescent="0.25">
      <c r="A7043" s="753"/>
      <c r="C7043" s="131" t="s">
        <v>1180</v>
      </c>
      <c r="D7043" s="131">
        <v>16</v>
      </c>
      <c r="E7043" s="131" t="s">
        <v>1180</v>
      </c>
      <c r="F7043" s="767">
        <v>343503.43</v>
      </c>
      <c r="G7043" s="767">
        <v>0</v>
      </c>
      <c r="H7043" s="767">
        <v>343503.43</v>
      </c>
      <c r="I7043" s="768" t="s">
        <v>1875</v>
      </c>
    </row>
    <row r="7044" spans="1:9" x14ac:dyDescent="0.25">
      <c r="A7044" s="753"/>
      <c r="C7044" s="131">
        <v>409</v>
      </c>
      <c r="D7044" s="131">
        <v>16</v>
      </c>
      <c r="E7044" s="131">
        <v>409</v>
      </c>
      <c r="F7044" s="767">
        <v>-363098.13</v>
      </c>
      <c r="G7044" s="767">
        <v>-188223.59</v>
      </c>
      <c r="H7044" s="767">
        <v>-551321.72</v>
      </c>
      <c r="I7044" s="768" t="s">
        <v>1725</v>
      </c>
    </row>
    <row r="7045" spans="1:9" x14ac:dyDescent="0.25">
      <c r="A7045" s="753"/>
      <c r="C7045" s="131">
        <v>609</v>
      </c>
      <c r="D7045" s="131">
        <v>16</v>
      </c>
      <c r="E7045" s="131">
        <v>609</v>
      </c>
      <c r="F7045" s="767">
        <v>341003.75</v>
      </c>
      <c r="G7045" s="767">
        <v>179636.18</v>
      </c>
      <c r="H7045" s="767">
        <v>520639.93</v>
      </c>
      <c r="I7045" s="768" t="s">
        <v>1725</v>
      </c>
    </row>
    <row r="7046" spans="1:9" x14ac:dyDescent="0.25">
      <c r="A7046" s="753"/>
      <c r="C7046" s="131" t="s">
        <v>1102</v>
      </c>
      <c r="D7046" s="131">
        <v>16</v>
      </c>
      <c r="E7046" s="131" t="s">
        <v>1102</v>
      </c>
      <c r="F7046" s="767">
        <v>-90100.5</v>
      </c>
      <c r="G7046" s="767">
        <v>-79723.5</v>
      </c>
      <c r="H7046" s="767">
        <v>-169824</v>
      </c>
      <c r="I7046" s="768" t="s">
        <v>1726</v>
      </c>
    </row>
    <row r="7047" spans="1:9" x14ac:dyDescent="0.25">
      <c r="A7047" s="753"/>
      <c r="C7047" s="131" t="s">
        <v>1103</v>
      </c>
      <c r="D7047" s="131">
        <v>16</v>
      </c>
      <c r="E7047" s="131" t="s">
        <v>1103</v>
      </c>
      <c r="F7047" s="767">
        <v>84965.15</v>
      </c>
      <c r="G7047" s="767">
        <v>74349.23</v>
      </c>
      <c r="H7047" s="767">
        <v>159314.38</v>
      </c>
      <c r="I7047" s="768" t="s">
        <v>1726</v>
      </c>
    </row>
    <row r="7048" spans="1:9" x14ac:dyDescent="0.25">
      <c r="A7048" s="753"/>
      <c r="C7048" s="131">
        <v>418</v>
      </c>
      <c r="D7048" s="131">
        <v>16</v>
      </c>
      <c r="E7048" s="131">
        <v>418</v>
      </c>
      <c r="F7048" s="767">
        <v>-1440981.45</v>
      </c>
      <c r="G7048" s="767">
        <v>0</v>
      </c>
      <c r="H7048" s="767">
        <v>-1440981.45</v>
      </c>
      <c r="I7048" s="768" t="s">
        <v>1773</v>
      </c>
    </row>
    <row r="7049" spans="1:9" x14ac:dyDescent="0.25">
      <c r="A7049" s="753"/>
      <c r="C7049" s="131">
        <v>418</v>
      </c>
      <c r="D7049" s="131">
        <v>16</v>
      </c>
      <c r="E7049" s="131" t="s">
        <v>144</v>
      </c>
      <c r="F7049" s="767">
        <v>-927552.69</v>
      </c>
      <c r="G7049" s="767">
        <v>0</v>
      </c>
      <c r="H7049" s="767">
        <v>-927552.69</v>
      </c>
      <c r="I7049" s="768" t="s">
        <v>1774</v>
      </c>
    </row>
    <row r="7050" spans="1:9" x14ac:dyDescent="0.25">
      <c r="A7050" s="753"/>
      <c r="C7050" s="131">
        <v>618</v>
      </c>
      <c r="D7050" s="131">
        <v>16</v>
      </c>
      <c r="E7050" s="131">
        <v>618</v>
      </c>
      <c r="F7050" s="767">
        <v>1398430.52</v>
      </c>
      <c r="G7050" s="767">
        <v>0</v>
      </c>
      <c r="H7050" s="767">
        <v>1398430.52</v>
      </c>
      <c r="I7050" s="768" t="s">
        <v>1775</v>
      </c>
    </row>
    <row r="7051" spans="1:9" x14ac:dyDescent="0.25">
      <c r="A7051" s="753"/>
      <c r="C7051" s="131">
        <v>618</v>
      </c>
      <c r="D7051" s="131">
        <v>16</v>
      </c>
      <c r="E7051" s="131" t="s">
        <v>1056</v>
      </c>
      <c r="F7051" s="767">
        <v>905230.46</v>
      </c>
      <c r="G7051" s="767">
        <v>0</v>
      </c>
      <c r="H7051" s="767">
        <v>905230.46</v>
      </c>
      <c r="I7051" s="768" t="s">
        <v>1776</v>
      </c>
    </row>
    <row r="7052" spans="1:9" x14ac:dyDescent="0.25">
      <c r="A7052" s="753"/>
      <c r="C7052" s="131">
        <v>419</v>
      </c>
      <c r="D7052" s="131">
        <v>16</v>
      </c>
      <c r="E7052" s="131">
        <v>419</v>
      </c>
      <c r="F7052" s="767">
        <v>-253973.5</v>
      </c>
      <c r="G7052" s="767">
        <v>-71375.3</v>
      </c>
      <c r="H7052" s="767">
        <v>-325348.8</v>
      </c>
      <c r="I7052" s="768" t="s">
        <v>1778</v>
      </c>
    </row>
    <row r="7053" spans="1:9" x14ac:dyDescent="0.25">
      <c r="A7053" s="753"/>
      <c r="C7053" s="131">
        <v>619</v>
      </c>
      <c r="D7053" s="131">
        <v>16</v>
      </c>
      <c r="E7053" s="131">
        <v>619</v>
      </c>
      <c r="F7053" s="767">
        <v>241009.33</v>
      </c>
      <c r="G7053" s="767">
        <v>70959.12</v>
      </c>
      <c r="H7053" s="767">
        <v>311968.45</v>
      </c>
      <c r="I7053" s="768" t="s">
        <v>1779</v>
      </c>
    </row>
    <row r="7054" spans="1:9" x14ac:dyDescent="0.25">
      <c r="A7054" s="753"/>
      <c r="C7054" s="131" t="s">
        <v>226</v>
      </c>
      <c r="D7054" s="131">
        <v>16</v>
      </c>
      <c r="E7054" s="131" t="s">
        <v>226</v>
      </c>
      <c r="F7054" s="767">
        <v>-324517</v>
      </c>
      <c r="G7054" s="767">
        <v>-35867.599999999999</v>
      </c>
      <c r="H7054" s="767">
        <v>-360384.6</v>
      </c>
      <c r="I7054" s="768" t="s">
        <v>1780</v>
      </c>
    </row>
    <row r="7055" spans="1:9" x14ac:dyDescent="0.25">
      <c r="A7055" s="753"/>
      <c r="C7055" s="131" t="s">
        <v>1126</v>
      </c>
      <c r="D7055" s="131">
        <v>16</v>
      </c>
      <c r="E7055" s="131" t="s">
        <v>1126</v>
      </c>
      <c r="F7055" s="767">
        <v>-89737.82</v>
      </c>
      <c r="G7055" s="767">
        <v>-10469.99</v>
      </c>
      <c r="H7055" s="767">
        <v>-100207.81</v>
      </c>
      <c r="I7055" s="768" t="s">
        <v>1793</v>
      </c>
    </row>
    <row r="7056" spans="1:9" x14ac:dyDescent="0.25">
      <c r="A7056" s="753"/>
      <c r="C7056" s="131" t="s">
        <v>1126</v>
      </c>
      <c r="D7056" s="131">
        <v>16</v>
      </c>
      <c r="E7056" s="131" t="s">
        <v>1170</v>
      </c>
      <c r="F7056" s="767">
        <v>-1769.38</v>
      </c>
      <c r="G7056" s="767">
        <v>0</v>
      </c>
      <c r="H7056" s="767">
        <v>-1769.38</v>
      </c>
      <c r="I7056" s="768" t="s">
        <v>1794</v>
      </c>
    </row>
    <row r="7057" spans="1:9" x14ac:dyDescent="0.25">
      <c r="A7057" s="753"/>
      <c r="C7057" s="131" t="s">
        <v>1126</v>
      </c>
      <c r="D7057" s="131">
        <v>16</v>
      </c>
      <c r="E7057" s="131" t="s">
        <v>1795</v>
      </c>
      <c r="F7057" s="767">
        <v>-118382</v>
      </c>
      <c r="G7057" s="767">
        <v>-10194</v>
      </c>
      <c r="H7057" s="767">
        <v>-128576</v>
      </c>
      <c r="I7057" s="768" t="s">
        <v>1796</v>
      </c>
    </row>
    <row r="7058" spans="1:9" x14ac:dyDescent="0.25">
      <c r="A7058" s="753"/>
      <c r="C7058" s="131" t="s">
        <v>1126</v>
      </c>
      <c r="D7058" s="131">
        <v>16</v>
      </c>
      <c r="E7058" s="131" t="s">
        <v>1797</v>
      </c>
      <c r="F7058" s="767">
        <v>-10120</v>
      </c>
      <c r="G7058" s="767">
        <v>0</v>
      </c>
      <c r="H7058" s="767">
        <v>-10120</v>
      </c>
      <c r="I7058" s="768" t="s">
        <v>1798</v>
      </c>
    </row>
    <row r="7059" spans="1:9" x14ac:dyDescent="0.25">
      <c r="A7059" s="753"/>
      <c r="C7059" s="131" t="s">
        <v>1126</v>
      </c>
      <c r="D7059" s="131">
        <v>16</v>
      </c>
      <c r="E7059" s="131" t="s">
        <v>1799</v>
      </c>
      <c r="F7059" s="767">
        <v>-8310</v>
      </c>
      <c r="G7059" s="767">
        <v>0</v>
      </c>
      <c r="H7059" s="767">
        <v>-8310</v>
      </c>
      <c r="I7059" s="768" t="s">
        <v>1800</v>
      </c>
    </row>
    <row r="7060" spans="1:9" x14ac:dyDescent="0.25">
      <c r="A7060" s="753"/>
      <c r="C7060" s="131" t="s">
        <v>1126</v>
      </c>
      <c r="D7060" s="131">
        <v>16</v>
      </c>
      <c r="E7060" s="131" t="s">
        <v>1149</v>
      </c>
      <c r="F7060" s="767">
        <v>-196190.88</v>
      </c>
      <c r="G7060" s="767">
        <v>-18865</v>
      </c>
      <c r="H7060" s="767">
        <v>-215055.88</v>
      </c>
      <c r="I7060" s="768" t="s">
        <v>1801</v>
      </c>
    </row>
    <row r="7061" spans="1:9" x14ac:dyDescent="0.25">
      <c r="A7061" s="753"/>
      <c r="C7061" s="131" t="s">
        <v>1126</v>
      </c>
      <c r="D7061" s="131">
        <v>16</v>
      </c>
      <c r="E7061" s="131" t="s">
        <v>1802</v>
      </c>
      <c r="F7061" s="767">
        <v>-4815</v>
      </c>
      <c r="G7061" s="767">
        <v>0</v>
      </c>
      <c r="H7061" s="767">
        <v>-4815</v>
      </c>
      <c r="I7061" s="768" t="s">
        <v>1803</v>
      </c>
    </row>
    <row r="7062" spans="1:9" x14ac:dyDescent="0.25">
      <c r="A7062" s="753"/>
      <c r="C7062" s="131" t="s">
        <v>1126</v>
      </c>
      <c r="D7062" s="131">
        <v>16</v>
      </c>
      <c r="E7062" s="131" t="s">
        <v>973</v>
      </c>
      <c r="F7062" s="767">
        <v>-108290</v>
      </c>
      <c r="G7062" s="767">
        <v>-13685</v>
      </c>
      <c r="H7062" s="767">
        <v>-121975</v>
      </c>
      <c r="I7062" s="768" t="s">
        <v>1804</v>
      </c>
    </row>
    <row r="7063" spans="1:9" x14ac:dyDescent="0.25">
      <c r="A7063" s="753"/>
      <c r="C7063" s="131" t="s">
        <v>1126</v>
      </c>
      <c r="D7063" s="131">
        <v>16</v>
      </c>
      <c r="E7063" s="131" t="s">
        <v>126</v>
      </c>
      <c r="F7063" s="767">
        <v>-41380.5</v>
      </c>
      <c r="G7063" s="767">
        <v>-3046</v>
      </c>
      <c r="H7063" s="767">
        <v>-44426.5</v>
      </c>
      <c r="I7063" s="768" t="s">
        <v>1805</v>
      </c>
    </row>
    <row r="7064" spans="1:9" x14ac:dyDescent="0.25">
      <c r="A7064" s="753"/>
      <c r="C7064" s="131" t="s">
        <v>1127</v>
      </c>
      <c r="D7064" s="131">
        <v>16</v>
      </c>
      <c r="E7064" s="131" t="s">
        <v>1127</v>
      </c>
      <c r="F7064" s="767">
        <v>18783.349999999999</v>
      </c>
      <c r="G7064" s="767">
        <v>1934.9</v>
      </c>
      <c r="H7064" s="767">
        <v>20718.25</v>
      </c>
      <c r="I7064" s="768" t="s">
        <v>1806</v>
      </c>
    </row>
    <row r="7065" spans="1:9" x14ac:dyDescent="0.25">
      <c r="A7065" s="753"/>
      <c r="C7065" s="131" t="s">
        <v>1127</v>
      </c>
      <c r="D7065" s="131">
        <v>16</v>
      </c>
      <c r="E7065" s="131" t="s">
        <v>1807</v>
      </c>
      <c r="F7065" s="767">
        <v>87942</v>
      </c>
      <c r="G7065" s="767">
        <v>7464</v>
      </c>
      <c r="H7065" s="767">
        <v>95406</v>
      </c>
      <c r="I7065" s="768" t="s">
        <v>1808</v>
      </c>
    </row>
    <row r="7066" spans="1:9" x14ac:dyDescent="0.25">
      <c r="A7066" s="753"/>
      <c r="C7066" s="131" t="s">
        <v>1127</v>
      </c>
      <c r="D7066" s="131">
        <v>16</v>
      </c>
      <c r="E7066" s="131" t="s">
        <v>1809</v>
      </c>
      <c r="F7066" s="767">
        <v>7084</v>
      </c>
      <c r="G7066" s="767">
        <v>0</v>
      </c>
      <c r="H7066" s="767">
        <v>7084</v>
      </c>
      <c r="I7066" s="768" t="s">
        <v>1810</v>
      </c>
    </row>
    <row r="7067" spans="1:9" x14ac:dyDescent="0.25">
      <c r="A7067" s="753"/>
      <c r="C7067" s="131" t="s">
        <v>1127</v>
      </c>
      <c r="D7067" s="131">
        <v>16</v>
      </c>
      <c r="E7067" s="131" t="s">
        <v>1811</v>
      </c>
      <c r="F7067" s="767">
        <v>5210</v>
      </c>
      <c r="G7067" s="767">
        <v>0</v>
      </c>
      <c r="H7067" s="767">
        <v>5210</v>
      </c>
      <c r="I7067" s="768" t="s">
        <v>1812</v>
      </c>
    </row>
    <row r="7068" spans="1:9" x14ac:dyDescent="0.25">
      <c r="A7068" s="753"/>
      <c r="C7068" s="131" t="s">
        <v>1127</v>
      </c>
      <c r="D7068" s="131">
        <v>16</v>
      </c>
      <c r="E7068" s="131" t="s">
        <v>1150</v>
      </c>
      <c r="F7068" s="767">
        <v>82708.88</v>
      </c>
      <c r="G7068" s="767">
        <v>7700</v>
      </c>
      <c r="H7068" s="767">
        <v>90408.88</v>
      </c>
      <c r="I7068" s="768" t="s">
        <v>1813</v>
      </c>
    </row>
    <row r="7069" spans="1:9" x14ac:dyDescent="0.25">
      <c r="A7069" s="753"/>
      <c r="C7069" s="131" t="s">
        <v>1127</v>
      </c>
      <c r="D7069" s="131">
        <v>16</v>
      </c>
      <c r="E7069" s="131" t="s">
        <v>1814</v>
      </c>
      <c r="F7069" s="767">
        <v>2355.4</v>
      </c>
      <c r="G7069" s="767">
        <v>0</v>
      </c>
      <c r="H7069" s="767">
        <v>2355.4</v>
      </c>
      <c r="I7069" s="768" t="s">
        <v>1815</v>
      </c>
    </row>
    <row r="7070" spans="1:9" x14ac:dyDescent="0.25">
      <c r="A7070" s="753"/>
      <c r="C7070" s="131" t="s">
        <v>1127</v>
      </c>
      <c r="D7070" s="131">
        <v>16</v>
      </c>
      <c r="E7070" s="131" t="s">
        <v>1058</v>
      </c>
      <c r="F7070" s="767">
        <v>26863</v>
      </c>
      <c r="G7070" s="767">
        <v>2009.95</v>
      </c>
      <c r="H7070" s="767">
        <v>28872.95</v>
      </c>
      <c r="I7070" s="768" t="s">
        <v>1816</v>
      </c>
    </row>
    <row r="7071" spans="1:9" x14ac:dyDescent="0.25">
      <c r="A7071" s="753"/>
      <c r="C7071" s="131" t="s">
        <v>1129</v>
      </c>
      <c r="D7071" s="131">
        <v>16</v>
      </c>
      <c r="E7071" s="131" t="s">
        <v>1129</v>
      </c>
      <c r="F7071" s="767">
        <v>-114317.94</v>
      </c>
      <c r="G7071" s="767">
        <v>-15368</v>
      </c>
      <c r="H7071" s="767">
        <v>-129685.94</v>
      </c>
      <c r="I7071" s="768" t="s">
        <v>1818</v>
      </c>
    </row>
    <row r="7072" spans="1:9" x14ac:dyDescent="0.25">
      <c r="A7072" s="753"/>
      <c r="C7072" s="131" t="s">
        <v>1130</v>
      </c>
      <c r="D7072" s="131">
        <v>16</v>
      </c>
      <c r="E7072" s="131" t="s">
        <v>1130</v>
      </c>
      <c r="F7072" s="767">
        <v>64063</v>
      </c>
      <c r="G7072" s="767">
        <v>10427</v>
      </c>
      <c r="H7072" s="767">
        <v>74490</v>
      </c>
      <c r="I7072" s="768" t="s">
        <v>1819</v>
      </c>
    </row>
    <row r="7073" spans="1:9" x14ac:dyDescent="0.25">
      <c r="A7073" s="753"/>
      <c r="C7073" s="131" t="s">
        <v>1132</v>
      </c>
      <c r="D7073" s="131">
        <v>16</v>
      </c>
      <c r="E7073" s="131" t="s">
        <v>1132</v>
      </c>
      <c r="F7073" s="767">
        <v>-31815.1</v>
      </c>
      <c r="G7073" s="767">
        <v>-3545.2</v>
      </c>
      <c r="H7073" s="767">
        <v>-35360.300000000003</v>
      </c>
      <c r="I7073" s="768" t="s">
        <v>1821</v>
      </c>
    </row>
    <row r="7074" spans="1:9" x14ac:dyDescent="0.25">
      <c r="A7074" s="753"/>
      <c r="C7074" s="131" t="s">
        <v>1133</v>
      </c>
      <c r="D7074" s="131">
        <v>16</v>
      </c>
      <c r="E7074" s="131" t="s">
        <v>1133</v>
      </c>
      <c r="F7074" s="767">
        <v>22107.3</v>
      </c>
      <c r="G7074" s="767">
        <v>2729.1</v>
      </c>
      <c r="H7074" s="767">
        <v>24836.400000000001</v>
      </c>
      <c r="I7074" s="768" t="s">
        <v>1822</v>
      </c>
    </row>
    <row r="7075" spans="1:9" x14ac:dyDescent="0.25">
      <c r="A7075" s="753">
        <v>703328</v>
      </c>
      <c r="B7075" s="130">
        <v>8260</v>
      </c>
      <c r="E7075" s="131"/>
    </row>
    <row r="7076" spans="1:9" x14ac:dyDescent="0.25">
      <c r="A7076" s="753">
        <v>707714</v>
      </c>
      <c r="B7076" s="130">
        <v>3499315</v>
      </c>
      <c r="E7076" s="131"/>
    </row>
    <row r="7077" spans="1:9" x14ac:dyDescent="0.25">
      <c r="A7077" s="753">
        <v>707716</v>
      </c>
      <c r="B7077" s="130">
        <v>271466</v>
      </c>
      <c r="C7077" s="131" t="s">
        <v>233</v>
      </c>
      <c r="D7077" s="131">
        <v>16</v>
      </c>
      <c r="E7077" s="131" t="s">
        <v>233</v>
      </c>
      <c r="F7077" s="767">
        <v>-49508.31</v>
      </c>
      <c r="G7077" s="767">
        <v>0</v>
      </c>
      <c r="H7077" s="767">
        <v>-49508.31</v>
      </c>
      <c r="I7077" s="768" t="s">
        <v>1824</v>
      </c>
    </row>
    <row r="7078" spans="1:9" x14ac:dyDescent="0.25">
      <c r="A7078" s="753"/>
      <c r="C7078" s="131" t="s">
        <v>1135</v>
      </c>
      <c r="D7078" s="131">
        <v>16</v>
      </c>
      <c r="E7078" s="131" t="s">
        <v>1135</v>
      </c>
      <c r="F7078" s="767">
        <v>44968.42</v>
      </c>
      <c r="G7078" s="767">
        <v>0</v>
      </c>
      <c r="H7078" s="767">
        <v>44968.42</v>
      </c>
      <c r="I7078" s="768" t="s">
        <v>1825</v>
      </c>
    </row>
    <row r="7079" spans="1:9" x14ac:dyDescent="0.25">
      <c r="A7079" s="753"/>
      <c r="C7079" s="131" t="s">
        <v>234</v>
      </c>
      <c r="D7079" s="131">
        <v>16</v>
      </c>
      <c r="E7079" s="131" t="s">
        <v>234</v>
      </c>
      <c r="F7079" s="767">
        <v>-66243.350000000006</v>
      </c>
      <c r="G7079" s="767">
        <v>0</v>
      </c>
      <c r="H7079" s="767">
        <v>-66243.350000000006</v>
      </c>
      <c r="I7079" s="768" t="s">
        <v>1827</v>
      </c>
    </row>
    <row r="7080" spans="1:9" x14ac:dyDescent="0.25">
      <c r="A7080" s="753"/>
      <c r="C7080" s="131" t="s">
        <v>1138</v>
      </c>
      <c r="D7080" s="131">
        <v>16</v>
      </c>
      <c r="E7080" s="131" t="s">
        <v>1138</v>
      </c>
      <c r="F7080" s="767">
        <v>64976.959999999999</v>
      </c>
      <c r="G7080" s="767">
        <v>0</v>
      </c>
      <c r="H7080" s="767">
        <v>64976.959999999999</v>
      </c>
      <c r="I7080" s="768" t="s">
        <v>1828</v>
      </c>
    </row>
    <row r="7081" spans="1:9" x14ac:dyDescent="0.25">
      <c r="A7081" s="753"/>
      <c r="C7081" s="131" t="s">
        <v>385</v>
      </c>
      <c r="D7081" s="131">
        <v>16</v>
      </c>
      <c r="E7081" s="131" t="s">
        <v>385</v>
      </c>
      <c r="F7081" s="767">
        <v>-88209.5</v>
      </c>
      <c r="G7081" s="767">
        <v>0</v>
      </c>
      <c r="H7081" s="767">
        <v>-88209.5</v>
      </c>
      <c r="I7081" s="768" t="s">
        <v>2283</v>
      </c>
    </row>
    <row r="7082" spans="1:9" x14ac:dyDescent="0.25">
      <c r="A7082" s="753"/>
      <c r="C7082" s="131" t="s">
        <v>1136</v>
      </c>
      <c r="D7082" s="131">
        <v>16</v>
      </c>
      <c r="E7082" s="131" t="s">
        <v>1136</v>
      </c>
      <c r="F7082" s="767">
        <v>84914.34</v>
      </c>
      <c r="G7082" s="767">
        <v>0</v>
      </c>
      <c r="H7082" s="767">
        <v>84914.34</v>
      </c>
      <c r="I7082" s="768" t="s">
        <v>1829</v>
      </c>
    </row>
    <row r="7083" spans="1:9" x14ac:dyDescent="0.25">
      <c r="A7083" s="753"/>
      <c r="C7083" s="131" t="s">
        <v>100</v>
      </c>
      <c r="D7083" s="131">
        <v>16</v>
      </c>
      <c r="E7083" s="131" t="s">
        <v>100</v>
      </c>
      <c r="F7083" s="767">
        <v>-63527.8</v>
      </c>
      <c r="G7083" s="767">
        <v>0</v>
      </c>
      <c r="H7083" s="767">
        <v>-63527.8</v>
      </c>
      <c r="I7083" s="768" t="s">
        <v>1831</v>
      </c>
    </row>
    <row r="7084" spans="1:9" x14ac:dyDescent="0.25">
      <c r="A7084" s="753"/>
      <c r="C7084" s="131" t="s">
        <v>1142</v>
      </c>
      <c r="D7084" s="131">
        <v>16</v>
      </c>
      <c r="E7084" s="131" t="s">
        <v>1142</v>
      </c>
      <c r="F7084" s="767">
        <v>62923.61</v>
      </c>
      <c r="G7084" s="767">
        <v>0</v>
      </c>
      <c r="H7084" s="767">
        <v>62923.61</v>
      </c>
      <c r="I7084" s="768" t="s">
        <v>1832</v>
      </c>
    </row>
    <row r="7085" spans="1:9" x14ac:dyDescent="0.25">
      <c r="A7085" s="753"/>
      <c r="C7085" s="131" t="s">
        <v>255</v>
      </c>
      <c r="D7085" s="131">
        <v>16</v>
      </c>
      <c r="E7085" s="131" t="s">
        <v>255</v>
      </c>
      <c r="F7085" s="767">
        <v>-295643.12</v>
      </c>
      <c r="G7085" s="767">
        <v>0</v>
      </c>
      <c r="H7085" s="767">
        <v>-295643.12</v>
      </c>
      <c r="I7085" s="768" t="s">
        <v>1833</v>
      </c>
    </row>
    <row r="7086" spans="1:9" x14ac:dyDescent="0.25">
      <c r="A7086" s="753"/>
      <c r="C7086" s="131" t="s">
        <v>1145</v>
      </c>
      <c r="D7086" s="131">
        <v>16</v>
      </c>
      <c r="E7086" s="131" t="s">
        <v>1145</v>
      </c>
      <c r="F7086" s="767">
        <v>278307.76</v>
      </c>
      <c r="G7086" s="767">
        <v>0</v>
      </c>
      <c r="H7086" s="767">
        <v>278307.76</v>
      </c>
      <c r="I7086" s="768" t="s">
        <v>1833</v>
      </c>
    </row>
    <row r="7087" spans="1:9" x14ac:dyDescent="0.25">
      <c r="A7087" s="753"/>
      <c r="C7087" s="131" t="s">
        <v>101</v>
      </c>
      <c r="D7087" s="131">
        <v>16</v>
      </c>
      <c r="E7087" s="131" t="s">
        <v>101</v>
      </c>
      <c r="F7087" s="767">
        <v>-80066.53</v>
      </c>
      <c r="G7087" s="767">
        <v>0</v>
      </c>
      <c r="H7087" s="767">
        <v>-80066.53</v>
      </c>
      <c r="I7087" s="768" t="s">
        <v>1834</v>
      </c>
    </row>
    <row r="7088" spans="1:9" x14ac:dyDescent="0.25">
      <c r="A7088" s="753"/>
      <c r="C7088" s="131" t="s">
        <v>1147</v>
      </c>
      <c r="D7088" s="131">
        <v>16</v>
      </c>
      <c r="E7088" s="131" t="s">
        <v>1147</v>
      </c>
      <c r="F7088" s="767">
        <v>76375.27</v>
      </c>
      <c r="G7088" s="767">
        <v>0</v>
      </c>
      <c r="H7088" s="767">
        <v>76375.27</v>
      </c>
      <c r="I7088" s="768" t="s">
        <v>1834</v>
      </c>
    </row>
    <row r="7089" spans="1:9" x14ac:dyDescent="0.25">
      <c r="A7089" s="753"/>
      <c r="C7089" s="131" t="s">
        <v>235</v>
      </c>
      <c r="D7089" s="131">
        <v>16</v>
      </c>
      <c r="E7089" s="131" t="s">
        <v>235</v>
      </c>
      <c r="F7089" s="767">
        <v>0</v>
      </c>
      <c r="G7089" s="767">
        <v>-181349.96</v>
      </c>
      <c r="H7089" s="767">
        <v>-181349.96</v>
      </c>
      <c r="I7089" s="768" t="s">
        <v>2286</v>
      </c>
    </row>
    <row r="7090" spans="1:9" x14ac:dyDescent="0.25">
      <c r="A7090" s="753"/>
      <c r="C7090" s="131" t="s">
        <v>2287</v>
      </c>
      <c r="D7090" s="131">
        <v>16</v>
      </c>
      <c r="E7090" s="131" t="s">
        <v>2287</v>
      </c>
      <c r="F7090" s="767">
        <v>0</v>
      </c>
      <c r="G7090" s="767">
        <v>175112.67</v>
      </c>
      <c r="H7090" s="767">
        <v>175112.67</v>
      </c>
      <c r="I7090" s="768" t="s">
        <v>2288</v>
      </c>
    </row>
    <row r="7091" spans="1:9" x14ac:dyDescent="0.25">
      <c r="A7091" s="753"/>
      <c r="C7091" s="131" t="s">
        <v>364</v>
      </c>
      <c r="D7091" s="131">
        <v>16</v>
      </c>
      <c r="E7091" s="131" t="s">
        <v>364</v>
      </c>
      <c r="F7091" s="767">
        <v>-120423.5</v>
      </c>
      <c r="G7091" s="767">
        <v>-107635.36</v>
      </c>
      <c r="H7091" s="767">
        <v>-228058.86</v>
      </c>
      <c r="I7091" s="768" t="s">
        <v>2291</v>
      </c>
    </row>
    <row r="7092" spans="1:9" x14ac:dyDescent="0.25">
      <c r="A7092" s="753"/>
      <c r="C7092" s="131" t="s">
        <v>2292</v>
      </c>
      <c r="D7092" s="131">
        <v>16</v>
      </c>
      <c r="E7092" s="131" t="s">
        <v>2292</v>
      </c>
      <c r="F7092" s="767">
        <v>111575</v>
      </c>
      <c r="G7092" s="767">
        <v>100537.06</v>
      </c>
      <c r="H7092" s="767">
        <v>212112.06</v>
      </c>
      <c r="I7092" s="768" t="s">
        <v>2293</v>
      </c>
    </row>
    <row r="7093" spans="1:9" x14ac:dyDescent="0.25">
      <c r="A7093" s="753"/>
      <c r="C7093" s="131" t="s">
        <v>371</v>
      </c>
      <c r="D7093" s="131">
        <v>16</v>
      </c>
      <c r="E7093" s="131" t="s">
        <v>371</v>
      </c>
      <c r="F7093" s="767">
        <v>-106923.5</v>
      </c>
      <c r="G7093" s="767">
        <v>0</v>
      </c>
      <c r="H7093" s="767">
        <v>-106923.5</v>
      </c>
      <c r="I7093" s="768" t="s">
        <v>1836</v>
      </c>
    </row>
    <row r="7094" spans="1:9" x14ac:dyDescent="0.25">
      <c r="A7094" s="753"/>
      <c r="C7094" s="131" t="s">
        <v>1152</v>
      </c>
      <c r="D7094" s="131">
        <v>16</v>
      </c>
      <c r="E7094" s="131" t="s">
        <v>1152</v>
      </c>
      <c r="F7094" s="767">
        <v>102290.17</v>
      </c>
      <c r="G7094" s="767">
        <v>0</v>
      </c>
      <c r="H7094" s="767">
        <v>102290.17</v>
      </c>
      <c r="I7094" s="768" t="s">
        <v>1837</v>
      </c>
    </row>
    <row r="7095" spans="1:9" x14ac:dyDescent="0.25">
      <c r="A7095" s="753"/>
      <c r="C7095" s="131" t="s">
        <v>0</v>
      </c>
      <c r="D7095" s="131">
        <v>16</v>
      </c>
      <c r="E7095" s="131" t="s">
        <v>0</v>
      </c>
      <c r="F7095" s="767">
        <v>-90273.5</v>
      </c>
      <c r="G7095" s="767">
        <v>0</v>
      </c>
      <c r="H7095" s="767">
        <v>-90273.5</v>
      </c>
      <c r="I7095" s="768" t="s">
        <v>1839</v>
      </c>
    </row>
    <row r="7096" spans="1:9" x14ac:dyDescent="0.25">
      <c r="A7096" s="753"/>
      <c r="C7096" s="131" t="s">
        <v>1117</v>
      </c>
      <c r="D7096" s="131">
        <v>16</v>
      </c>
      <c r="E7096" s="131" t="s">
        <v>1117</v>
      </c>
      <c r="F7096" s="767">
        <v>82763.5</v>
      </c>
      <c r="G7096" s="767">
        <v>0</v>
      </c>
      <c r="H7096" s="767">
        <v>82763.5</v>
      </c>
      <c r="I7096" s="768" t="s">
        <v>1840</v>
      </c>
    </row>
    <row r="7097" spans="1:9" x14ac:dyDescent="0.25">
      <c r="A7097" s="753"/>
      <c r="C7097" s="131" t="s">
        <v>388</v>
      </c>
      <c r="D7097" s="131">
        <v>16</v>
      </c>
      <c r="E7097" s="131" t="s">
        <v>388</v>
      </c>
      <c r="F7097" s="767">
        <v>-488096.67</v>
      </c>
      <c r="G7097" s="767">
        <v>-138273.37</v>
      </c>
      <c r="H7097" s="767">
        <v>-626370.04</v>
      </c>
      <c r="I7097" s="768" t="s">
        <v>1842</v>
      </c>
    </row>
    <row r="7098" spans="1:9" x14ac:dyDescent="0.25">
      <c r="A7098" s="753"/>
      <c r="C7098" s="131" t="s">
        <v>1157</v>
      </c>
      <c r="D7098" s="131">
        <v>16</v>
      </c>
      <c r="E7098" s="131" t="s">
        <v>1157</v>
      </c>
      <c r="F7098" s="767">
        <v>453839.9</v>
      </c>
      <c r="G7098" s="767">
        <v>126082.57</v>
      </c>
      <c r="H7098" s="767">
        <v>579922.47</v>
      </c>
      <c r="I7098" s="768" t="s">
        <v>1843</v>
      </c>
    </row>
    <row r="7099" spans="1:9" x14ac:dyDescent="0.25">
      <c r="A7099" s="753"/>
      <c r="C7099" s="131" t="s">
        <v>372</v>
      </c>
      <c r="D7099" s="131">
        <v>16</v>
      </c>
      <c r="E7099" s="131" t="s">
        <v>372</v>
      </c>
      <c r="F7099" s="767">
        <v>-1072320</v>
      </c>
      <c r="G7099" s="767">
        <v>-324698.42</v>
      </c>
      <c r="H7099" s="767">
        <v>-1397018.42</v>
      </c>
      <c r="I7099" s="768" t="s">
        <v>1845</v>
      </c>
    </row>
    <row r="7100" spans="1:9" x14ac:dyDescent="0.25">
      <c r="A7100" s="753"/>
      <c r="C7100" s="131" t="s">
        <v>1159</v>
      </c>
      <c r="D7100" s="131">
        <v>16</v>
      </c>
      <c r="E7100" s="131" t="s">
        <v>1159</v>
      </c>
      <c r="F7100" s="767">
        <v>1004366.9</v>
      </c>
      <c r="G7100" s="767">
        <v>299603.12</v>
      </c>
      <c r="H7100" s="767">
        <v>1303970.02</v>
      </c>
      <c r="I7100" s="768" t="s">
        <v>1846</v>
      </c>
    </row>
    <row r="7101" spans="1:9" x14ac:dyDescent="0.25">
      <c r="A7101" s="753"/>
      <c r="C7101" s="131" t="s">
        <v>389</v>
      </c>
      <c r="D7101" s="131">
        <v>16</v>
      </c>
      <c r="E7101" s="131" t="s">
        <v>389</v>
      </c>
      <c r="F7101" s="767">
        <v>-160941.5</v>
      </c>
      <c r="G7101" s="767">
        <v>0</v>
      </c>
      <c r="H7101" s="767">
        <v>-160941.5</v>
      </c>
      <c r="I7101" s="768" t="s">
        <v>2296</v>
      </c>
    </row>
    <row r="7102" spans="1:9" x14ac:dyDescent="0.25">
      <c r="A7102" s="753"/>
      <c r="C7102" s="131" t="s">
        <v>2297</v>
      </c>
      <c r="D7102" s="131">
        <v>16</v>
      </c>
      <c r="E7102" s="131" t="s">
        <v>2297</v>
      </c>
      <c r="F7102" s="767">
        <v>156088.57999999999</v>
      </c>
      <c r="G7102" s="767">
        <v>0</v>
      </c>
      <c r="H7102" s="767">
        <v>156088.57999999999</v>
      </c>
      <c r="I7102" s="768" t="s">
        <v>2298</v>
      </c>
    </row>
    <row r="7103" spans="1:9" x14ac:dyDescent="0.25">
      <c r="A7103" s="753"/>
      <c r="C7103" s="131" t="s">
        <v>373</v>
      </c>
      <c r="D7103" s="131">
        <v>16</v>
      </c>
      <c r="E7103" s="131" t="s">
        <v>373</v>
      </c>
      <c r="F7103" s="767">
        <v>-345515.77</v>
      </c>
      <c r="G7103" s="767">
        <v>0</v>
      </c>
      <c r="H7103" s="767">
        <v>-345515.77</v>
      </c>
      <c r="I7103" s="768" t="s">
        <v>2301</v>
      </c>
    </row>
    <row r="7104" spans="1:9" x14ac:dyDescent="0.25">
      <c r="A7104" s="753"/>
      <c r="C7104" s="131" t="s">
        <v>2302</v>
      </c>
      <c r="D7104" s="131">
        <v>16</v>
      </c>
      <c r="E7104" s="131" t="s">
        <v>2302</v>
      </c>
      <c r="F7104" s="767">
        <v>339379.44</v>
      </c>
      <c r="G7104" s="767">
        <v>0</v>
      </c>
      <c r="H7104" s="767">
        <v>339379.44</v>
      </c>
      <c r="I7104" s="768" t="s">
        <v>2303</v>
      </c>
    </row>
    <row r="7105" spans="1:9" x14ac:dyDescent="0.25">
      <c r="A7105" s="753"/>
      <c r="C7105" s="131" t="s">
        <v>365</v>
      </c>
      <c r="D7105" s="131">
        <v>16</v>
      </c>
      <c r="E7105" s="131" t="s">
        <v>365</v>
      </c>
      <c r="F7105" s="767">
        <v>-242245.5</v>
      </c>
      <c r="G7105" s="767">
        <v>0</v>
      </c>
      <c r="H7105" s="767">
        <v>-242245.5</v>
      </c>
      <c r="I7105" s="768" t="s">
        <v>1850</v>
      </c>
    </row>
    <row r="7106" spans="1:9" x14ac:dyDescent="0.25">
      <c r="A7106" s="753"/>
      <c r="C7106" s="131" t="s">
        <v>365</v>
      </c>
      <c r="D7106" s="131">
        <v>16</v>
      </c>
      <c r="E7106" s="131" t="s">
        <v>1139</v>
      </c>
      <c r="F7106" s="767">
        <v>-72260.61</v>
      </c>
      <c r="G7106" s="767">
        <v>0</v>
      </c>
      <c r="H7106" s="767">
        <v>-72260.61</v>
      </c>
      <c r="I7106" s="768" t="s">
        <v>1851</v>
      </c>
    </row>
    <row r="7107" spans="1:9" x14ac:dyDescent="0.25">
      <c r="A7107" s="753"/>
      <c r="C7107" s="131" t="s">
        <v>1161</v>
      </c>
      <c r="D7107" s="131">
        <v>16</v>
      </c>
      <c r="E7107" s="131" t="s">
        <v>1161</v>
      </c>
      <c r="F7107" s="767">
        <v>225357.57</v>
      </c>
      <c r="G7107" s="767">
        <v>0</v>
      </c>
      <c r="H7107" s="767">
        <v>225357.57</v>
      </c>
      <c r="I7107" s="768" t="s">
        <v>1852</v>
      </c>
    </row>
    <row r="7108" spans="1:9" x14ac:dyDescent="0.25">
      <c r="A7108" s="753"/>
      <c r="C7108" s="131" t="s">
        <v>1161</v>
      </c>
      <c r="D7108" s="131">
        <v>16</v>
      </c>
      <c r="E7108" s="131" t="s">
        <v>1140</v>
      </c>
      <c r="F7108" s="767">
        <v>65199.61</v>
      </c>
      <c r="G7108" s="767">
        <v>0</v>
      </c>
      <c r="H7108" s="767">
        <v>65199.61</v>
      </c>
      <c r="I7108" s="768" t="s">
        <v>1853</v>
      </c>
    </row>
    <row r="7109" spans="1:9" x14ac:dyDescent="0.25">
      <c r="A7109" s="753"/>
      <c r="C7109" s="131" t="s">
        <v>416</v>
      </c>
      <c r="D7109" s="131">
        <v>16</v>
      </c>
      <c r="E7109" s="131" t="s">
        <v>416</v>
      </c>
      <c r="F7109" s="767">
        <v>-97623.5</v>
      </c>
      <c r="G7109" s="767">
        <v>0</v>
      </c>
      <c r="H7109" s="767">
        <v>-97623.5</v>
      </c>
      <c r="I7109" s="768" t="s">
        <v>1854</v>
      </c>
    </row>
    <row r="7110" spans="1:9" x14ac:dyDescent="0.25">
      <c r="A7110" s="753"/>
      <c r="C7110" s="131" t="s">
        <v>1163</v>
      </c>
      <c r="D7110" s="131">
        <v>16</v>
      </c>
      <c r="E7110" s="131" t="s">
        <v>1163</v>
      </c>
      <c r="F7110" s="767">
        <v>90757.33</v>
      </c>
      <c r="G7110" s="767">
        <v>0</v>
      </c>
      <c r="H7110" s="767">
        <v>90757.33</v>
      </c>
      <c r="I7110" s="768" t="s">
        <v>1854</v>
      </c>
    </row>
    <row r="7111" spans="1:9" x14ac:dyDescent="0.25">
      <c r="A7111" s="753"/>
      <c r="C7111" s="131" t="s">
        <v>256</v>
      </c>
      <c r="D7111" s="131">
        <v>16</v>
      </c>
      <c r="E7111" s="131" t="s">
        <v>256</v>
      </c>
      <c r="F7111" s="767">
        <v>-121994.74</v>
      </c>
      <c r="G7111" s="767">
        <v>0</v>
      </c>
      <c r="H7111" s="767">
        <v>-121994.74</v>
      </c>
      <c r="I7111" s="768" t="s">
        <v>1856</v>
      </c>
    </row>
    <row r="7112" spans="1:9" x14ac:dyDescent="0.25">
      <c r="A7112" s="753"/>
      <c r="C7112" s="131" t="s">
        <v>1165</v>
      </c>
      <c r="D7112" s="131">
        <v>16</v>
      </c>
      <c r="E7112" s="131" t="s">
        <v>1165</v>
      </c>
      <c r="F7112" s="767">
        <v>116172.84</v>
      </c>
      <c r="G7112" s="767">
        <v>0</v>
      </c>
      <c r="H7112" s="767">
        <v>116172.84</v>
      </c>
      <c r="I7112" s="768" t="s">
        <v>1857</v>
      </c>
    </row>
    <row r="7113" spans="1:9" x14ac:dyDescent="0.25">
      <c r="A7113" s="753"/>
      <c r="C7113" s="131" t="s">
        <v>366</v>
      </c>
      <c r="D7113" s="131">
        <v>16</v>
      </c>
      <c r="E7113" s="131" t="s">
        <v>366</v>
      </c>
      <c r="F7113" s="767">
        <v>-133336.91</v>
      </c>
      <c r="G7113" s="767">
        <v>0</v>
      </c>
      <c r="H7113" s="767">
        <v>-133336.91</v>
      </c>
      <c r="I7113" s="768" t="s">
        <v>1859</v>
      </c>
    </row>
    <row r="7114" spans="1:9" x14ac:dyDescent="0.25">
      <c r="A7114" s="753"/>
      <c r="C7114" s="131" t="s">
        <v>1155</v>
      </c>
      <c r="D7114" s="131">
        <v>16</v>
      </c>
      <c r="E7114" s="131" t="s">
        <v>1155</v>
      </c>
      <c r="F7114" s="767">
        <v>124643.41</v>
      </c>
      <c r="G7114" s="767">
        <v>0</v>
      </c>
      <c r="H7114" s="767">
        <v>124643.41</v>
      </c>
      <c r="I7114" s="768" t="s">
        <v>1860</v>
      </c>
    </row>
    <row r="7115" spans="1:9" x14ac:dyDescent="0.25">
      <c r="A7115" s="753"/>
      <c r="C7115" s="131" t="s">
        <v>391</v>
      </c>
      <c r="D7115" s="131">
        <v>16</v>
      </c>
      <c r="E7115" s="131" t="s">
        <v>391</v>
      </c>
      <c r="F7115" s="767">
        <v>-227978.65</v>
      </c>
      <c r="G7115" s="767">
        <v>0</v>
      </c>
      <c r="H7115" s="767">
        <v>-227978.65</v>
      </c>
      <c r="I7115" s="768" t="s">
        <v>1862</v>
      </c>
    </row>
    <row r="7116" spans="1:9" x14ac:dyDescent="0.25">
      <c r="A7116" s="753"/>
      <c r="C7116" s="131" t="s">
        <v>1168</v>
      </c>
      <c r="D7116" s="131">
        <v>16</v>
      </c>
      <c r="E7116" s="131" t="s">
        <v>1168</v>
      </c>
      <c r="F7116" s="767">
        <v>216450.03</v>
      </c>
      <c r="G7116" s="767">
        <v>0</v>
      </c>
      <c r="H7116" s="767">
        <v>216450.03</v>
      </c>
      <c r="I7116" s="768" t="s">
        <v>1863</v>
      </c>
    </row>
    <row r="7117" spans="1:9" x14ac:dyDescent="0.25">
      <c r="A7117" s="753"/>
      <c r="C7117" s="131">
        <v>415</v>
      </c>
      <c r="D7117" s="131">
        <v>16</v>
      </c>
      <c r="E7117" s="131">
        <v>415</v>
      </c>
      <c r="F7117" s="767">
        <v>0</v>
      </c>
      <c r="G7117" s="767">
        <v>-140922.95000000001</v>
      </c>
      <c r="H7117" s="767">
        <v>-140922.95000000001</v>
      </c>
      <c r="I7117" s="768" t="s">
        <v>2306</v>
      </c>
    </row>
    <row r="7118" spans="1:9" x14ac:dyDescent="0.25">
      <c r="A7118" s="753"/>
      <c r="C7118" s="131">
        <v>615</v>
      </c>
      <c r="D7118" s="131">
        <v>16</v>
      </c>
      <c r="E7118" s="131">
        <v>615</v>
      </c>
      <c r="F7118" s="767">
        <v>0</v>
      </c>
      <c r="G7118" s="767">
        <v>135011.85</v>
      </c>
      <c r="H7118" s="767">
        <v>135011.85</v>
      </c>
      <c r="I7118" s="768" t="s">
        <v>2307</v>
      </c>
    </row>
    <row r="7119" spans="1:9" x14ac:dyDescent="0.25">
      <c r="A7119" s="753"/>
      <c r="C7119" s="131" t="s">
        <v>394</v>
      </c>
      <c r="D7119" s="131">
        <v>16</v>
      </c>
      <c r="E7119" s="131" t="s">
        <v>394</v>
      </c>
      <c r="F7119" s="767">
        <v>-118545.13</v>
      </c>
      <c r="G7119" s="767">
        <v>0</v>
      </c>
      <c r="H7119" s="767">
        <v>-118545.13</v>
      </c>
      <c r="I7119" s="768" t="s">
        <v>1865</v>
      </c>
    </row>
    <row r="7120" spans="1:9" x14ac:dyDescent="0.25">
      <c r="A7120" s="753"/>
      <c r="C7120" s="131" t="s">
        <v>1122</v>
      </c>
      <c r="D7120" s="131">
        <v>16</v>
      </c>
      <c r="E7120" s="131" t="s">
        <v>1122</v>
      </c>
      <c r="F7120" s="767">
        <v>118545.13</v>
      </c>
      <c r="G7120" s="767">
        <v>0</v>
      </c>
      <c r="H7120" s="767">
        <v>118545.13</v>
      </c>
      <c r="I7120" s="768" t="s">
        <v>1866</v>
      </c>
    </row>
    <row r="7121" spans="1:9" x14ac:dyDescent="0.25">
      <c r="A7121" s="753"/>
      <c r="C7121" s="131" t="s">
        <v>292</v>
      </c>
      <c r="D7121" s="131">
        <v>16</v>
      </c>
      <c r="E7121" s="131" t="s">
        <v>1080</v>
      </c>
      <c r="F7121" s="767">
        <v>-128273.5</v>
      </c>
      <c r="G7121" s="767">
        <v>0</v>
      </c>
      <c r="H7121" s="767">
        <v>-128273.5</v>
      </c>
      <c r="I7121" s="768" t="s">
        <v>1868</v>
      </c>
    </row>
    <row r="7122" spans="1:9" x14ac:dyDescent="0.25">
      <c r="A7122" s="753"/>
      <c r="C7122" s="131" t="s">
        <v>1174</v>
      </c>
      <c r="D7122" s="131">
        <v>16</v>
      </c>
      <c r="E7122" s="131" t="s">
        <v>1081</v>
      </c>
      <c r="F7122" s="767">
        <v>115038.03</v>
      </c>
      <c r="G7122" s="767">
        <v>0</v>
      </c>
      <c r="H7122" s="767">
        <v>115038.03</v>
      </c>
      <c r="I7122" s="768" t="s">
        <v>1869</v>
      </c>
    </row>
    <row r="7123" spans="1:9" x14ac:dyDescent="0.25">
      <c r="A7123" s="753"/>
      <c r="C7123" s="131" t="s">
        <v>297</v>
      </c>
      <c r="D7123" s="131">
        <v>16</v>
      </c>
      <c r="E7123" s="131" t="s">
        <v>297</v>
      </c>
      <c r="F7123" s="767">
        <v>-156342</v>
      </c>
      <c r="G7123" s="767">
        <v>0</v>
      </c>
      <c r="H7123" s="767">
        <v>-156342</v>
      </c>
      <c r="I7123" s="768" t="s">
        <v>1871</v>
      </c>
    </row>
    <row r="7124" spans="1:9" x14ac:dyDescent="0.25">
      <c r="A7124" s="753"/>
      <c r="C7124" s="131" t="s">
        <v>1083</v>
      </c>
      <c r="D7124" s="131">
        <v>16</v>
      </c>
      <c r="E7124" s="131" t="s">
        <v>1083</v>
      </c>
      <c r="F7124" s="767">
        <v>147709.57999999999</v>
      </c>
      <c r="G7124" s="767">
        <v>0</v>
      </c>
      <c r="H7124" s="767">
        <v>147709.57999999999</v>
      </c>
      <c r="I7124" s="768" t="s">
        <v>1872</v>
      </c>
    </row>
    <row r="7125" spans="1:9" x14ac:dyDescent="0.25">
      <c r="A7125" s="753"/>
      <c r="C7125" s="131" t="s">
        <v>299</v>
      </c>
      <c r="D7125" s="131">
        <v>16</v>
      </c>
      <c r="E7125" s="131" t="s">
        <v>299</v>
      </c>
      <c r="F7125" s="767">
        <v>-363200</v>
      </c>
      <c r="G7125" s="767">
        <v>0</v>
      </c>
      <c r="H7125" s="767">
        <v>-363200</v>
      </c>
      <c r="I7125" s="768" t="s">
        <v>1874</v>
      </c>
    </row>
    <row r="7126" spans="1:9" x14ac:dyDescent="0.25">
      <c r="A7126" s="753"/>
      <c r="C7126" s="131" t="s">
        <v>1180</v>
      </c>
      <c r="D7126" s="131">
        <v>16</v>
      </c>
      <c r="E7126" s="131" t="s">
        <v>1180</v>
      </c>
      <c r="F7126" s="767">
        <v>343503.43</v>
      </c>
      <c r="G7126" s="767">
        <v>0</v>
      </c>
      <c r="H7126" s="767">
        <v>343503.43</v>
      </c>
      <c r="I7126" s="768" t="s">
        <v>1875</v>
      </c>
    </row>
    <row r="7127" spans="1:9" x14ac:dyDescent="0.25">
      <c r="A7127" s="753"/>
      <c r="C7127" s="131">
        <v>416</v>
      </c>
      <c r="D7127" s="131">
        <v>16</v>
      </c>
      <c r="E7127" s="131">
        <v>416</v>
      </c>
      <c r="F7127" s="767">
        <v>-1003631.7</v>
      </c>
      <c r="G7127" s="767">
        <v>-238444</v>
      </c>
      <c r="H7127" s="767">
        <v>-1242075.7</v>
      </c>
      <c r="I7127" s="768" t="s">
        <v>1720</v>
      </c>
    </row>
    <row r="7128" spans="1:9" x14ac:dyDescent="0.25">
      <c r="A7128" s="753"/>
      <c r="C7128" s="131">
        <v>616</v>
      </c>
      <c r="D7128" s="131">
        <v>16</v>
      </c>
      <c r="E7128" s="131">
        <v>616</v>
      </c>
      <c r="F7128" s="767">
        <v>941860.05</v>
      </c>
      <c r="G7128" s="767">
        <v>224614.34</v>
      </c>
      <c r="H7128" s="767">
        <v>1166474.3899999999</v>
      </c>
      <c r="I7128" s="768" t="s">
        <v>1721</v>
      </c>
    </row>
    <row r="7129" spans="1:9" x14ac:dyDescent="0.25">
      <c r="A7129" s="753"/>
      <c r="C7129" s="131" t="s">
        <v>400</v>
      </c>
      <c r="D7129" s="131">
        <v>16</v>
      </c>
      <c r="E7129" s="131" t="s">
        <v>400</v>
      </c>
      <c r="F7129" s="767">
        <v>-139749.68</v>
      </c>
      <c r="G7129" s="767">
        <v>-74470.399999999994</v>
      </c>
      <c r="H7129" s="767">
        <v>-214220.08</v>
      </c>
      <c r="I7129" s="768" t="s">
        <v>1723</v>
      </c>
    </row>
    <row r="7130" spans="1:9" x14ac:dyDescent="0.25">
      <c r="A7130" s="753"/>
      <c r="C7130" s="131" t="s">
        <v>1100</v>
      </c>
      <c r="D7130" s="131">
        <v>16</v>
      </c>
      <c r="E7130" s="131" t="s">
        <v>1100</v>
      </c>
      <c r="F7130" s="767">
        <v>131422.87</v>
      </c>
      <c r="G7130" s="767">
        <v>69814.75</v>
      </c>
      <c r="H7130" s="767">
        <v>201237.62</v>
      </c>
      <c r="I7130" s="768" t="s">
        <v>1724</v>
      </c>
    </row>
    <row r="7131" spans="1:9" x14ac:dyDescent="0.25">
      <c r="A7131" s="753"/>
      <c r="C7131" s="131">
        <v>409</v>
      </c>
      <c r="D7131" s="131">
        <v>16</v>
      </c>
      <c r="E7131" s="131">
        <v>409</v>
      </c>
      <c r="F7131" s="767">
        <v>-363098.13</v>
      </c>
      <c r="G7131" s="767">
        <v>-188223.59</v>
      </c>
      <c r="H7131" s="767">
        <v>-551321.72</v>
      </c>
      <c r="I7131" s="768" t="s">
        <v>1725</v>
      </c>
    </row>
    <row r="7132" spans="1:9" x14ac:dyDescent="0.25">
      <c r="A7132" s="753"/>
      <c r="C7132" s="131">
        <v>609</v>
      </c>
      <c r="D7132" s="131">
        <v>16</v>
      </c>
      <c r="E7132" s="131">
        <v>609</v>
      </c>
      <c r="F7132" s="767">
        <v>341003.75</v>
      </c>
      <c r="G7132" s="767">
        <v>179636.18</v>
      </c>
      <c r="H7132" s="767">
        <v>520639.93</v>
      </c>
      <c r="I7132" s="768" t="s">
        <v>1725</v>
      </c>
    </row>
    <row r="7133" spans="1:9" x14ac:dyDescent="0.25">
      <c r="A7133" s="753"/>
      <c r="C7133" s="131" t="s">
        <v>1102</v>
      </c>
      <c r="D7133" s="131">
        <v>16</v>
      </c>
      <c r="E7133" s="131" t="s">
        <v>1102</v>
      </c>
      <c r="F7133" s="767">
        <v>-90100.5</v>
      </c>
      <c r="G7133" s="767">
        <v>-79723.5</v>
      </c>
      <c r="H7133" s="767">
        <v>-169824</v>
      </c>
      <c r="I7133" s="768" t="s">
        <v>1726</v>
      </c>
    </row>
    <row r="7134" spans="1:9" x14ac:dyDescent="0.25">
      <c r="A7134" s="753"/>
      <c r="C7134" s="131" t="s">
        <v>1103</v>
      </c>
      <c r="D7134" s="131">
        <v>16</v>
      </c>
      <c r="E7134" s="131" t="s">
        <v>1103</v>
      </c>
      <c r="F7134" s="767">
        <v>84965.15</v>
      </c>
      <c r="G7134" s="767">
        <v>74349.23</v>
      </c>
      <c r="H7134" s="767">
        <v>159314.38</v>
      </c>
      <c r="I7134" s="768" t="s">
        <v>1726</v>
      </c>
    </row>
    <row r="7135" spans="1:9" x14ac:dyDescent="0.25">
      <c r="A7135" s="753"/>
      <c r="C7135" s="131" t="s">
        <v>104</v>
      </c>
      <c r="D7135" s="131">
        <v>16</v>
      </c>
      <c r="E7135" s="131" t="s">
        <v>104</v>
      </c>
      <c r="F7135" s="767">
        <v>-1584890.7</v>
      </c>
      <c r="G7135" s="767">
        <v>0</v>
      </c>
      <c r="H7135" s="767">
        <v>-1584890.7</v>
      </c>
      <c r="I7135" s="768" t="s">
        <v>1728</v>
      </c>
    </row>
    <row r="7136" spans="1:9" x14ac:dyDescent="0.25">
      <c r="A7136" s="753"/>
      <c r="C7136" s="131" t="s">
        <v>1106</v>
      </c>
      <c r="D7136" s="131">
        <v>16</v>
      </c>
      <c r="E7136" s="131" t="s">
        <v>1106</v>
      </c>
      <c r="F7136" s="767">
        <v>1486270.54</v>
      </c>
      <c r="G7136" s="767">
        <v>0</v>
      </c>
      <c r="H7136" s="767">
        <v>1486270.54</v>
      </c>
      <c r="I7136" s="768" t="s">
        <v>1729</v>
      </c>
    </row>
    <row r="7137" spans="1:9" x14ac:dyDescent="0.25">
      <c r="A7137" s="753"/>
      <c r="C7137" s="131" t="s">
        <v>282</v>
      </c>
      <c r="D7137" s="131">
        <v>16</v>
      </c>
      <c r="E7137" s="131" t="s">
        <v>282</v>
      </c>
      <c r="F7137" s="767">
        <v>-355284</v>
      </c>
      <c r="G7137" s="767">
        <v>0</v>
      </c>
      <c r="H7137" s="767">
        <v>-355284</v>
      </c>
      <c r="I7137" s="768" t="s">
        <v>1731</v>
      </c>
    </row>
    <row r="7138" spans="1:9" x14ac:dyDescent="0.25">
      <c r="A7138" s="753"/>
      <c r="C7138" s="131" t="s">
        <v>1107</v>
      </c>
      <c r="D7138" s="131">
        <v>16</v>
      </c>
      <c r="E7138" s="131" t="s">
        <v>1107</v>
      </c>
      <c r="F7138" s="767">
        <v>333495.65000000002</v>
      </c>
      <c r="G7138" s="767">
        <v>0</v>
      </c>
      <c r="H7138" s="767">
        <v>333495.65000000002</v>
      </c>
      <c r="I7138" s="768" t="s">
        <v>1732</v>
      </c>
    </row>
    <row r="7139" spans="1:9" x14ac:dyDescent="0.25">
      <c r="A7139" s="753"/>
      <c r="C7139" s="131" t="s">
        <v>340</v>
      </c>
      <c r="D7139" s="131">
        <v>16</v>
      </c>
      <c r="E7139" s="131" t="s">
        <v>340</v>
      </c>
      <c r="F7139" s="767">
        <v>-482797.12</v>
      </c>
      <c r="G7139" s="767">
        <v>-236789.98</v>
      </c>
      <c r="H7139" s="767">
        <v>-719587.1</v>
      </c>
      <c r="I7139" s="768" t="s">
        <v>1734</v>
      </c>
    </row>
    <row r="7140" spans="1:9" x14ac:dyDescent="0.25">
      <c r="A7140" s="753"/>
      <c r="C7140" s="131" t="s">
        <v>1108</v>
      </c>
      <c r="D7140" s="131">
        <v>16</v>
      </c>
      <c r="E7140" s="131" t="s">
        <v>1108</v>
      </c>
      <c r="F7140" s="767">
        <v>453323.44</v>
      </c>
      <c r="G7140" s="767">
        <v>217365.05</v>
      </c>
      <c r="H7140" s="767">
        <v>670688.49</v>
      </c>
      <c r="I7140" s="768" t="s">
        <v>1735</v>
      </c>
    </row>
    <row r="7141" spans="1:9" x14ac:dyDescent="0.25">
      <c r="A7141" s="753"/>
      <c r="C7141" s="131" t="s">
        <v>301</v>
      </c>
      <c r="D7141" s="131">
        <v>16</v>
      </c>
      <c r="E7141" s="131" t="s">
        <v>301</v>
      </c>
      <c r="F7141" s="767">
        <v>-109302.93</v>
      </c>
      <c r="G7141" s="767">
        <v>0</v>
      </c>
      <c r="H7141" s="767">
        <v>-109302.93</v>
      </c>
      <c r="I7141" s="768" t="s">
        <v>2272</v>
      </c>
    </row>
    <row r="7142" spans="1:9" x14ac:dyDescent="0.25">
      <c r="A7142" s="753"/>
      <c r="C7142" s="131" t="s">
        <v>2273</v>
      </c>
      <c r="D7142" s="131">
        <v>16</v>
      </c>
      <c r="E7142" s="131" t="s">
        <v>2273</v>
      </c>
      <c r="F7142" s="767">
        <v>109633.12</v>
      </c>
      <c r="G7142" s="767">
        <v>0</v>
      </c>
      <c r="H7142" s="767">
        <v>109633.12</v>
      </c>
      <c r="I7142" s="768" t="s">
        <v>2274</v>
      </c>
    </row>
    <row r="7143" spans="1:9" x14ac:dyDescent="0.25">
      <c r="A7143" s="753"/>
      <c r="C7143" s="131" t="s">
        <v>237</v>
      </c>
      <c r="D7143" s="131">
        <v>16</v>
      </c>
      <c r="E7143" s="131" t="s">
        <v>237</v>
      </c>
      <c r="F7143" s="767">
        <v>-222837.66</v>
      </c>
      <c r="G7143" s="767">
        <v>0</v>
      </c>
      <c r="H7143" s="767">
        <v>-222837.66</v>
      </c>
      <c r="I7143" s="768" t="s">
        <v>1737</v>
      </c>
    </row>
    <row r="7144" spans="1:9" x14ac:dyDescent="0.25">
      <c r="A7144" s="753"/>
      <c r="C7144" s="131" t="s">
        <v>1094</v>
      </c>
      <c r="D7144" s="131">
        <v>16</v>
      </c>
      <c r="E7144" s="131" t="s">
        <v>1094</v>
      </c>
      <c r="F7144" s="767">
        <v>208571.21</v>
      </c>
      <c r="G7144" s="767">
        <v>0</v>
      </c>
      <c r="H7144" s="767">
        <v>208571.21</v>
      </c>
      <c r="I7144" s="768" t="s">
        <v>1738</v>
      </c>
    </row>
    <row r="7145" spans="1:9" x14ac:dyDescent="0.25">
      <c r="A7145" s="753"/>
      <c r="C7145" s="131" t="s">
        <v>258</v>
      </c>
      <c r="D7145" s="131">
        <v>16</v>
      </c>
      <c r="E7145" s="131" t="s">
        <v>258</v>
      </c>
      <c r="F7145" s="767">
        <v>-180770</v>
      </c>
      <c r="G7145" s="767">
        <v>0</v>
      </c>
      <c r="H7145" s="767">
        <v>-180770</v>
      </c>
      <c r="I7145" s="768" t="s">
        <v>1741</v>
      </c>
    </row>
    <row r="7146" spans="1:9" x14ac:dyDescent="0.25">
      <c r="A7146" s="753"/>
      <c r="C7146" s="131" t="s">
        <v>1742</v>
      </c>
      <c r="D7146" s="131">
        <v>16</v>
      </c>
      <c r="E7146" s="131" t="s">
        <v>1742</v>
      </c>
      <c r="F7146" s="767">
        <v>168281.09</v>
      </c>
      <c r="G7146" s="767">
        <v>0</v>
      </c>
      <c r="H7146" s="767">
        <v>168281.09</v>
      </c>
      <c r="I7146" s="768" t="s">
        <v>1743</v>
      </c>
    </row>
    <row r="7147" spans="1:9" x14ac:dyDescent="0.25">
      <c r="A7147" s="753"/>
      <c r="C7147" s="131" t="s">
        <v>105</v>
      </c>
      <c r="D7147" s="131">
        <v>16</v>
      </c>
      <c r="E7147" s="131" t="s">
        <v>105</v>
      </c>
      <c r="F7147" s="767">
        <v>-751239.23</v>
      </c>
      <c r="G7147" s="767">
        <v>-106773.5</v>
      </c>
      <c r="H7147" s="767">
        <v>-858012.73</v>
      </c>
      <c r="I7147" s="768" t="s">
        <v>1745</v>
      </c>
    </row>
    <row r="7148" spans="1:9" x14ac:dyDescent="0.25">
      <c r="A7148" s="753"/>
      <c r="C7148" s="131" t="s">
        <v>1110</v>
      </c>
      <c r="D7148" s="131">
        <v>16</v>
      </c>
      <c r="E7148" s="131" t="s">
        <v>1110</v>
      </c>
      <c r="F7148" s="767">
        <v>714996.42</v>
      </c>
      <c r="G7148" s="767">
        <v>102975</v>
      </c>
      <c r="H7148" s="767">
        <v>817971.42</v>
      </c>
      <c r="I7148" s="768" t="s">
        <v>1746</v>
      </c>
    </row>
    <row r="7149" spans="1:9" x14ac:dyDescent="0.25">
      <c r="A7149" s="753"/>
      <c r="C7149" s="131" t="s">
        <v>401</v>
      </c>
      <c r="D7149" s="131">
        <v>16</v>
      </c>
      <c r="E7149" s="131" t="s">
        <v>401</v>
      </c>
      <c r="F7149" s="767">
        <v>-976653.2</v>
      </c>
      <c r="G7149" s="767">
        <v>0</v>
      </c>
      <c r="H7149" s="767">
        <v>-976653.2</v>
      </c>
      <c r="I7149" s="768" t="s">
        <v>1748</v>
      </c>
    </row>
    <row r="7150" spans="1:9" x14ac:dyDescent="0.25">
      <c r="A7150" s="753"/>
      <c r="C7150" s="131" t="s">
        <v>1112</v>
      </c>
      <c r="D7150" s="131">
        <v>16</v>
      </c>
      <c r="E7150" s="131" t="s">
        <v>1112</v>
      </c>
      <c r="F7150" s="767">
        <v>912448.95</v>
      </c>
      <c r="G7150" s="767">
        <v>0</v>
      </c>
      <c r="H7150" s="767">
        <v>912448.95</v>
      </c>
      <c r="I7150" s="768" t="s">
        <v>1749</v>
      </c>
    </row>
    <row r="7151" spans="1:9" x14ac:dyDescent="0.25">
      <c r="A7151" s="753"/>
      <c r="C7151" s="131">
        <v>447</v>
      </c>
      <c r="D7151" s="131">
        <v>16</v>
      </c>
      <c r="E7151" s="131">
        <v>447</v>
      </c>
      <c r="F7151" s="767">
        <v>-151506.5</v>
      </c>
      <c r="G7151" s="767">
        <v>0</v>
      </c>
      <c r="H7151" s="767">
        <v>-151506.5</v>
      </c>
      <c r="I7151" s="768" t="s">
        <v>1751</v>
      </c>
    </row>
    <row r="7152" spans="1:9" x14ac:dyDescent="0.25">
      <c r="A7152" s="753"/>
      <c r="C7152" s="131">
        <v>647</v>
      </c>
      <c r="D7152" s="131">
        <v>16</v>
      </c>
      <c r="E7152" s="131">
        <v>647</v>
      </c>
      <c r="F7152" s="767">
        <v>145006.09</v>
      </c>
      <c r="G7152" s="767">
        <v>0</v>
      </c>
      <c r="H7152" s="767">
        <v>145006.09</v>
      </c>
      <c r="I7152" s="768" t="s">
        <v>1752</v>
      </c>
    </row>
    <row r="7153" spans="1:9" x14ac:dyDescent="0.25">
      <c r="A7153" s="753"/>
      <c r="C7153" s="131" t="s">
        <v>106</v>
      </c>
      <c r="D7153" s="131">
        <v>16</v>
      </c>
      <c r="E7153" s="131" t="s">
        <v>106</v>
      </c>
      <c r="F7153" s="767">
        <v>-227426</v>
      </c>
      <c r="G7153" s="767">
        <v>0</v>
      </c>
      <c r="H7153" s="767">
        <v>-227426</v>
      </c>
      <c r="I7153" s="768" t="s">
        <v>1754</v>
      </c>
    </row>
    <row r="7154" spans="1:9" x14ac:dyDescent="0.25">
      <c r="A7154" s="753"/>
      <c r="C7154" s="131" t="s">
        <v>1143</v>
      </c>
      <c r="D7154" s="131">
        <v>16</v>
      </c>
      <c r="E7154" s="131" t="s">
        <v>1143</v>
      </c>
      <c r="F7154" s="767">
        <v>214312.85</v>
      </c>
      <c r="G7154" s="767">
        <v>0</v>
      </c>
      <c r="H7154" s="767">
        <v>214312.85</v>
      </c>
      <c r="I7154" s="768" t="s">
        <v>1755</v>
      </c>
    </row>
    <row r="7155" spans="1:9" x14ac:dyDescent="0.25">
      <c r="A7155" s="753"/>
      <c r="C7155" s="131" t="s">
        <v>405</v>
      </c>
      <c r="D7155" s="131">
        <v>16</v>
      </c>
      <c r="E7155" s="131" t="s">
        <v>405</v>
      </c>
      <c r="F7155" s="767">
        <v>-235967</v>
      </c>
      <c r="G7155" s="767">
        <v>0</v>
      </c>
      <c r="H7155" s="767">
        <v>-235967</v>
      </c>
      <c r="I7155" s="768" t="s">
        <v>1757</v>
      </c>
    </row>
    <row r="7156" spans="1:9" x14ac:dyDescent="0.25">
      <c r="A7156" s="753"/>
      <c r="C7156" s="131" t="s">
        <v>1116</v>
      </c>
      <c r="D7156" s="131">
        <v>16</v>
      </c>
      <c r="E7156" s="131" t="s">
        <v>1116</v>
      </c>
      <c r="F7156" s="767">
        <v>220347.51999999999</v>
      </c>
      <c r="G7156" s="767">
        <v>0</v>
      </c>
      <c r="H7156" s="767">
        <v>220347.51999999999</v>
      </c>
      <c r="I7156" s="768" t="s">
        <v>1758</v>
      </c>
    </row>
    <row r="7157" spans="1:9" x14ac:dyDescent="0.25">
      <c r="A7157" s="753"/>
      <c r="C7157" s="131">
        <v>480</v>
      </c>
      <c r="D7157" s="131">
        <v>16</v>
      </c>
      <c r="E7157" s="131">
        <v>480</v>
      </c>
      <c r="F7157" s="767">
        <v>-273292.68</v>
      </c>
      <c r="G7157" s="767">
        <v>0</v>
      </c>
      <c r="H7157" s="767">
        <v>-273292.68</v>
      </c>
      <c r="I7157" s="768" t="s">
        <v>1760</v>
      </c>
    </row>
    <row r="7158" spans="1:9" x14ac:dyDescent="0.25">
      <c r="A7158" s="753"/>
      <c r="C7158" s="131">
        <v>680</v>
      </c>
      <c r="D7158" s="131">
        <v>16</v>
      </c>
      <c r="E7158" s="131">
        <v>680</v>
      </c>
      <c r="F7158" s="767">
        <v>269709.11</v>
      </c>
      <c r="G7158" s="767">
        <v>0</v>
      </c>
      <c r="H7158" s="767">
        <v>269709.11</v>
      </c>
      <c r="I7158" s="768" t="s">
        <v>1761</v>
      </c>
    </row>
    <row r="7159" spans="1:9" x14ac:dyDescent="0.25">
      <c r="A7159" s="753"/>
      <c r="C7159" s="131" t="s">
        <v>406</v>
      </c>
      <c r="D7159" s="131">
        <v>16</v>
      </c>
      <c r="E7159" s="131" t="s">
        <v>406</v>
      </c>
      <c r="F7159" s="767">
        <v>-309378.09999999998</v>
      </c>
      <c r="G7159" s="767">
        <v>0</v>
      </c>
      <c r="H7159" s="767">
        <v>-309378.09999999998</v>
      </c>
      <c r="I7159" s="768" t="s">
        <v>1764</v>
      </c>
    </row>
    <row r="7160" spans="1:9" x14ac:dyDescent="0.25">
      <c r="A7160" s="753"/>
      <c r="C7160" s="131" t="s">
        <v>1119</v>
      </c>
      <c r="D7160" s="131">
        <v>16</v>
      </c>
      <c r="E7160" s="131" t="s">
        <v>1119</v>
      </c>
      <c r="F7160" s="767">
        <v>291459.78000000003</v>
      </c>
      <c r="G7160" s="767">
        <v>0</v>
      </c>
      <c r="H7160" s="767">
        <v>291459.78000000003</v>
      </c>
      <c r="I7160" s="768" t="s">
        <v>1765</v>
      </c>
    </row>
    <row r="7161" spans="1:9" x14ac:dyDescent="0.25">
      <c r="A7161" s="753"/>
      <c r="C7161" s="131">
        <v>481</v>
      </c>
      <c r="D7161" s="131">
        <v>16</v>
      </c>
      <c r="E7161" s="131">
        <v>481</v>
      </c>
      <c r="F7161" s="767">
        <v>-237027.97</v>
      </c>
      <c r="G7161" s="767">
        <v>0</v>
      </c>
      <c r="H7161" s="767">
        <v>-237027.97</v>
      </c>
      <c r="I7161" s="768" t="s">
        <v>408</v>
      </c>
    </row>
    <row r="7162" spans="1:9" x14ac:dyDescent="0.25">
      <c r="A7162" s="753"/>
      <c r="C7162" s="131">
        <v>681</v>
      </c>
      <c r="D7162" s="131">
        <v>16</v>
      </c>
      <c r="E7162" s="131">
        <v>681</v>
      </c>
      <c r="F7162" s="767">
        <v>233811.43</v>
      </c>
      <c r="G7162" s="767">
        <v>0</v>
      </c>
      <c r="H7162" s="767">
        <v>233811.43</v>
      </c>
      <c r="I7162" s="768" t="s">
        <v>408</v>
      </c>
    </row>
    <row r="7163" spans="1:9" x14ac:dyDescent="0.25">
      <c r="A7163" s="753"/>
      <c r="C7163" s="131" t="s">
        <v>410</v>
      </c>
      <c r="D7163" s="131">
        <v>16</v>
      </c>
      <c r="E7163" s="131" t="s">
        <v>410</v>
      </c>
      <c r="F7163" s="767">
        <v>-246468.25</v>
      </c>
      <c r="G7163" s="767">
        <v>0</v>
      </c>
      <c r="H7163" s="767">
        <v>-246468.25</v>
      </c>
      <c r="I7163" s="768" t="s">
        <v>1767</v>
      </c>
    </row>
    <row r="7164" spans="1:9" x14ac:dyDescent="0.25">
      <c r="A7164" s="753"/>
      <c r="C7164" s="131" t="s">
        <v>1120</v>
      </c>
      <c r="D7164" s="131">
        <v>16</v>
      </c>
      <c r="E7164" s="131" t="s">
        <v>1120</v>
      </c>
      <c r="F7164" s="767">
        <v>235559.82</v>
      </c>
      <c r="G7164" s="767">
        <v>0</v>
      </c>
      <c r="H7164" s="767">
        <v>235559.82</v>
      </c>
      <c r="I7164" s="768" t="s">
        <v>1767</v>
      </c>
    </row>
    <row r="7165" spans="1:9" x14ac:dyDescent="0.25">
      <c r="A7165" s="753"/>
      <c r="C7165" s="131" t="s">
        <v>376</v>
      </c>
      <c r="D7165" s="131">
        <v>16</v>
      </c>
      <c r="E7165" s="131" t="s">
        <v>376</v>
      </c>
      <c r="F7165" s="767">
        <v>-98510.95</v>
      </c>
      <c r="G7165" s="767">
        <v>0</v>
      </c>
      <c r="H7165" s="767">
        <v>-98510.95</v>
      </c>
      <c r="I7165" s="768" t="s">
        <v>2278</v>
      </c>
    </row>
    <row r="7166" spans="1:9" x14ac:dyDescent="0.25">
      <c r="A7166" s="753"/>
      <c r="C7166" s="131" t="s">
        <v>2279</v>
      </c>
      <c r="D7166" s="131">
        <v>16</v>
      </c>
      <c r="E7166" s="131" t="s">
        <v>2279</v>
      </c>
      <c r="F7166" s="767">
        <v>97615</v>
      </c>
      <c r="G7166" s="767">
        <v>0</v>
      </c>
      <c r="H7166" s="767">
        <v>97615</v>
      </c>
      <c r="I7166" s="768" t="s">
        <v>2280</v>
      </c>
    </row>
    <row r="7167" spans="1:9" x14ac:dyDescent="0.25">
      <c r="A7167" s="753"/>
      <c r="C7167" s="131" t="s">
        <v>378</v>
      </c>
      <c r="D7167" s="131">
        <v>16</v>
      </c>
      <c r="E7167" s="131" t="s">
        <v>378</v>
      </c>
      <c r="F7167" s="767">
        <v>-323316.75</v>
      </c>
      <c r="G7167" s="767">
        <v>0</v>
      </c>
      <c r="H7167" s="767">
        <v>-323316.75</v>
      </c>
      <c r="I7167" s="768" t="s">
        <v>1769</v>
      </c>
    </row>
    <row r="7168" spans="1:9" x14ac:dyDescent="0.25">
      <c r="A7168" s="753"/>
      <c r="C7168" s="131" t="s">
        <v>1121</v>
      </c>
      <c r="D7168" s="131">
        <v>16</v>
      </c>
      <c r="E7168" s="131" t="s">
        <v>1121</v>
      </c>
      <c r="F7168" s="767">
        <v>316233.65000000002</v>
      </c>
      <c r="G7168" s="767">
        <v>0</v>
      </c>
      <c r="H7168" s="767">
        <v>316233.65000000002</v>
      </c>
      <c r="I7168" s="768" t="s">
        <v>1770</v>
      </c>
    </row>
    <row r="7169" spans="1:9" x14ac:dyDescent="0.25">
      <c r="A7169" s="753"/>
      <c r="C7169" s="131">
        <v>418</v>
      </c>
      <c r="D7169" s="131">
        <v>16</v>
      </c>
      <c r="E7169" s="131">
        <v>418</v>
      </c>
      <c r="F7169" s="767">
        <v>-1440981.45</v>
      </c>
      <c r="G7169" s="767">
        <v>0</v>
      </c>
      <c r="H7169" s="767">
        <v>-1440981.45</v>
      </c>
      <c r="I7169" s="768" t="s">
        <v>1773</v>
      </c>
    </row>
    <row r="7170" spans="1:9" x14ac:dyDescent="0.25">
      <c r="A7170" s="753"/>
      <c r="C7170" s="131">
        <v>418</v>
      </c>
      <c r="D7170" s="131">
        <v>16</v>
      </c>
      <c r="E7170" s="131" t="s">
        <v>144</v>
      </c>
      <c r="F7170" s="767">
        <v>-927552.69</v>
      </c>
      <c r="G7170" s="767">
        <v>0</v>
      </c>
      <c r="H7170" s="767">
        <v>-927552.69</v>
      </c>
      <c r="I7170" s="768" t="s">
        <v>1774</v>
      </c>
    </row>
    <row r="7171" spans="1:9" x14ac:dyDescent="0.25">
      <c r="A7171" s="753"/>
      <c r="C7171" s="131">
        <v>618</v>
      </c>
      <c r="D7171" s="131">
        <v>16</v>
      </c>
      <c r="E7171" s="131">
        <v>618</v>
      </c>
      <c r="F7171" s="767">
        <v>1398430.52</v>
      </c>
      <c r="G7171" s="767">
        <v>0</v>
      </c>
      <c r="H7171" s="767">
        <v>1398430.52</v>
      </c>
      <c r="I7171" s="768" t="s">
        <v>1775</v>
      </c>
    </row>
    <row r="7172" spans="1:9" x14ac:dyDescent="0.25">
      <c r="A7172" s="753"/>
      <c r="C7172" s="131">
        <v>618</v>
      </c>
      <c r="D7172" s="131">
        <v>16</v>
      </c>
      <c r="E7172" s="131" t="s">
        <v>1056</v>
      </c>
      <c r="F7172" s="767">
        <v>905230.46</v>
      </c>
      <c r="G7172" s="767">
        <v>0</v>
      </c>
      <c r="H7172" s="767">
        <v>905230.46</v>
      </c>
      <c r="I7172" s="768" t="s">
        <v>1776</v>
      </c>
    </row>
    <row r="7173" spans="1:9" x14ac:dyDescent="0.25">
      <c r="A7173" s="753"/>
      <c r="C7173" s="131">
        <v>419</v>
      </c>
      <c r="D7173" s="131">
        <v>16</v>
      </c>
      <c r="E7173" s="131">
        <v>419</v>
      </c>
      <c r="F7173" s="767">
        <v>-253973.5</v>
      </c>
      <c r="G7173" s="767">
        <v>-71375.3</v>
      </c>
      <c r="H7173" s="767">
        <v>-325348.8</v>
      </c>
      <c r="I7173" s="768" t="s">
        <v>1778</v>
      </c>
    </row>
    <row r="7174" spans="1:9" x14ac:dyDescent="0.25">
      <c r="A7174" s="753"/>
      <c r="C7174" s="131">
        <v>619</v>
      </c>
      <c r="D7174" s="131">
        <v>16</v>
      </c>
      <c r="E7174" s="131">
        <v>619</v>
      </c>
      <c r="F7174" s="767">
        <v>241009.33</v>
      </c>
      <c r="G7174" s="767">
        <v>70959.12</v>
      </c>
      <c r="H7174" s="767">
        <v>311968.45</v>
      </c>
      <c r="I7174" s="768" t="s">
        <v>1779</v>
      </c>
    </row>
    <row r="7175" spans="1:9" x14ac:dyDescent="0.25">
      <c r="A7175" s="753"/>
      <c r="C7175" s="131" t="s">
        <v>226</v>
      </c>
      <c r="D7175" s="131">
        <v>16</v>
      </c>
      <c r="E7175" s="131" t="s">
        <v>226</v>
      </c>
      <c r="F7175" s="767">
        <v>-324517</v>
      </c>
      <c r="G7175" s="767">
        <v>-35867.599999999999</v>
      </c>
      <c r="H7175" s="767">
        <v>-360384.6</v>
      </c>
      <c r="I7175" s="768" t="s">
        <v>1780</v>
      </c>
    </row>
    <row r="7176" spans="1:9" x14ac:dyDescent="0.25">
      <c r="A7176" s="753"/>
      <c r="C7176" s="131" t="s">
        <v>1126</v>
      </c>
      <c r="D7176" s="131">
        <v>16</v>
      </c>
      <c r="E7176" s="131" t="s">
        <v>1126</v>
      </c>
      <c r="F7176" s="767">
        <v>-89737.82</v>
      </c>
      <c r="G7176" s="767">
        <v>-10469.99</v>
      </c>
      <c r="H7176" s="767">
        <v>-100207.81</v>
      </c>
      <c r="I7176" s="768" t="s">
        <v>1793</v>
      </c>
    </row>
    <row r="7177" spans="1:9" x14ac:dyDescent="0.25">
      <c r="A7177" s="753"/>
      <c r="C7177" s="131" t="s">
        <v>1126</v>
      </c>
      <c r="D7177" s="131">
        <v>16</v>
      </c>
      <c r="E7177" s="131" t="s">
        <v>1170</v>
      </c>
      <c r="F7177" s="767">
        <v>-1769.38</v>
      </c>
      <c r="G7177" s="767">
        <v>0</v>
      </c>
      <c r="H7177" s="767">
        <v>-1769.38</v>
      </c>
      <c r="I7177" s="768" t="s">
        <v>1794</v>
      </c>
    </row>
    <row r="7178" spans="1:9" x14ac:dyDescent="0.25">
      <c r="A7178" s="753"/>
      <c r="C7178" s="131" t="s">
        <v>1126</v>
      </c>
      <c r="D7178" s="131">
        <v>16</v>
      </c>
      <c r="E7178" s="131" t="s">
        <v>1795</v>
      </c>
      <c r="F7178" s="767">
        <v>-118382</v>
      </c>
      <c r="G7178" s="767">
        <v>-10194</v>
      </c>
      <c r="H7178" s="767">
        <v>-128576</v>
      </c>
      <c r="I7178" s="768" t="s">
        <v>1796</v>
      </c>
    </row>
    <row r="7179" spans="1:9" x14ac:dyDescent="0.25">
      <c r="A7179" s="753"/>
      <c r="C7179" s="131" t="s">
        <v>1126</v>
      </c>
      <c r="D7179" s="131">
        <v>16</v>
      </c>
      <c r="E7179" s="131" t="s">
        <v>1797</v>
      </c>
      <c r="F7179" s="767">
        <v>-10120</v>
      </c>
      <c r="G7179" s="767">
        <v>0</v>
      </c>
      <c r="H7179" s="767">
        <v>-10120</v>
      </c>
      <c r="I7179" s="768" t="s">
        <v>1798</v>
      </c>
    </row>
    <row r="7180" spans="1:9" x14ac:dyDescent="0.25">
      <c r="A7180" s="753"/>
      <c r="C7180" s="131" t="s">
        <v>1126</v>
      </c>
      <c r="D7180" s="131">
        <v>16</v>
      </c>
      <c r="E7180" s="131" t="s">
        <v>1799</v>
      </c>
      <c r="F7180" s="767">
        <v>-8310</v>
      </c>
      <c r="G7180" s="767">
        <v>0</v>
      </c>
      <c r="H7180" s="767">
        <v>-8310</v>
      </c>
      <c r="I7180" s="768" t="s">
        <v>1800</v>
      </c>
    </row>
    <row r="7181" spans="1:9" x14ac:dyDescent="0.25">
      <c r="A7181" s="753"/>
      <c r="C7181" s="131" t="s">
        <v>1126</v>
      </c>
      <c r="D7181" s="131">
        <v>16</v>
      </c>
      <c r="E7181" s="131" t="s">
        <v>1149</v>
      </c>
      <c r="F7181" s="767">
        <v>-196190.88</v>
      </c>
      <c r="G7181" s="767">
        <v>-18865</v>
      </c>
      <c r="H7181" s="767">
        <v>-215055.88</v>
      </c>
      <c r="I7181" s="768" t="s">
        <v>1801</v>
      </c>
    </row>
    <row r="7182" spans="1:9" x14ac:dyDescent="0.25">
      <c r="A7182" s="753"/>
      <c r="C7182" s="131" t="s">
        <v>1126</v>
      </c>
      <c r="D7182" s="131">
        <v>16</v>
      </c>
      <c r="E7182" s="131" t="s">
        <v>1802</v>
      </c>
      <c r="F7182" s="767">
        <v>-4815</v>
      </c>
      <c r="G7182" s="767">
        <v>0</v>
      </c>
      <c r="H7182" s="767">
        <v>-4815</v>
      </c>
      <c r="I7182" s="768" t="s">
        <v>1803</v>
      </c>
    </row>
    <row r="7183" spans="1:9" x14ac:dyDescent="0.25">
      <c r="A7183" s="753"/>
      <c r="C7183" s="131" t="s">
        <v>1126</v>
      </c>
      <c r="D7183" s="131">
        <v>16</v>
      </c>
      <c r="E7183" s="131" t="s">
        <v>973</v>
      </c>
      <c r="F7183" s="767">
        <v>-108290</v>
      </c>
      <c r="G7183" s="767">
        <v>-13685</v>
      </c>
      <c r="H7183" s="767">
        <v>-121975</v>
      </c>
      <c r="I7183" s="768" t="s">
        <v>1804</v>
      </c>
    </row>
    <row r="7184" spans="1:9" x14ac:dyDescent="0.25">
      <c r="A7184" s="753"/>
      <c r="C7184" s="131" t="s">
        <v>1126</v>
      </c>
      <c r="D7184" s="131">
        <v>16</v>
      </c>
      <c r="E7184" s="131" t="s">
        <v>126</v>
      </c>
      <c r="F7184" s="767">
        <v>-41380.5</v>
      </c>
      <c r="G7184" s="767">
        <v>-3046</v>
      </c>
      <c r="H7184" s="767">
        <v>-44426.5</v>
      </c>
      <c r="I7184" s="768" t="s">
        <v>1805</v>
      </c>
    </row>
    <row r="7185" spans="1:9" x14ac:dyDescent="0.25">
      <c r="A7185" s="753"/>
      <c r="C7185" s="131" t="s">
        <v>1127</v>
      </c>
      <c r="D7185" s="131">
        <v>16</v>
      </c>
      <c r="E7185" s="131" t="s">
        <v>1127</v>
      </c>
      <c r="F7185" s="767">
        <v>18783.349999999999</v>
      </c>
      <c r="G7185" s="767">
        <v>1934.9</v>
      </c>
      <c r="H7185" s="767">
        <v>20718.25</v>
      </c>
      <c r="I7185" s="768" t="s">
        <v>1806</v>
      </c>
    </row>
    <row r="7186" spans="1:9" x14ac:dyDescent="0.25">
      <c r="A7186" s="753"/>
      <c r="C7186" s="131" t="s">
        <v>1127</v>
      </c>
      <c r="D7186" s="131">
        <v>16</v>
      </c>
      <c r="E7186" s="131" t="s">
        <v>1807</v>
      </c>
      <c r="F7186" s="767">
        <v>87942</v>
      </c>
      <c r="G7186" s="767">
        <v>7464</v>
      </c>
      <c r="H7186" s="767">
        <v>95406</v>
      </c>
      <c r="I7186" s="768" t="s">
        <v>1808</v>
      </c>
    </row>
    <row r="7187" spans="1:9" x14ac:dyDescent="0.25">
      <c r="A7187" s="753"/>
      <c r="C7187" s="131" t="s">
        <v>1127</v>
      </c>
      <c r="D7187" s="131">
        <v>16</v>
      </c>
      <c r="E7187" s="131" t="s">
        <v>1809</v>
      </c>
      <c r="F7187" s="767">
        <v>7084</v>
      </c>
      <c r="G7187" s="767">
        <v>0</v>
      </c>
      <c r="H7187" s="767">
        <v>7084</v>
      </c>
      <c r="I7187" s="768" t="s">
        <v>1810</v>
      </c>
    </row>
    <row r="7188" spans="1:9" x14ac:dyDescent="0.25">
      <c r="A7188" s="753"/>
      <c r="C7188" s="131" t="s">
        <v>1127</v>
      </c>
      <c r="D7188" s="131">
        <v>16</v>
      </c>
      <c r="E7188" s="131" t="s">
        <v>1811</v>
      </c>
      <c r="F7188" s="767">
        <v>5210</v>
      </c>
      <c r="G7188" s="767">
        <v>0</v>
      </c>
      <c r="H7188" s="767">
        <v>5210</v>
      </c>
      <c r="I7188" s="768" t="s">
        <v>1812</v>
      </c>
    </row>
    <row r="7189" spans="1:9" x14ac:dyDescent="0.25">
      <c r="A7189" s="753"/>
      <c r="C7189" s="131" t="s">
        <v>1127</v>
      </c>
      <c r="D7189" s="131">
        <v>16</v>
      </c>
      <c r="E7189" s="131" t="s">
        <v>1150</v>
      </c>
      <c r="F7189" s="767">
        <v>82708.88</v>
      </c>
      <c r="G7189" s="767">
        <v>7700</v>
      </c>
      <c r="H7189" s="767">
        <v>90408.88</v>
      </c>
      <c r="I7189" s="768" t="s">
        <v>1813</v>
      </c>
    </row>
    <row r="7190" spans="1:9" x14ac:dyDescent="0.25">
      <c r="A7190" s="753"/>
      <c r="C7190" s="131" t="s">
        <v>1127</v>
      </c>
      <c r="D7190" s="131">
        <v>16</v>
      </c>
      <c r="E7190" s="131" t="s">
        <v>1814</v>
      </c>
      <c r="F7190" s="767">
        <v>2355.4</v>
      </c>
      <c r="G7190" s="767">
        <v>0</v>
      </c>
      <c r="H7190" s="767">
        <v>2355.4</v>
      </c>
      <c r="I7190" s="768" t="s">
        <v>1815</v>
      </c>
    </row>
    <row r="7191" spans="1:9" x14ac:dyDescent="0.25">
      <c r="A7191" s="753"/>
      <c r="C7191" s="131" t="s">
        <v>1127</v>
      </c>
      <c r="D7191" s="131">
        <v>16</v>
      </c>
      <c r="E7191" s="131" t="s">
        <v>1058</v>
      </c>
      <c r="F7191" s="767">
        <v>26863</v>
      </c>
      <c r="G7191" s="767">
        <v>2009.95</v>
      </c>
      <c r="H7191" s="767">
        <v>28872.95</v>
      </c>
      <c r="I7191" s="768" t="s">
        <v>1816</v>
      </c>
    </row>
    <row r="7192" spans="1:9" x14ac:dyDescent="0.25">
      <c r="A7192" s="753"/>
      <c r="C7192" s="131" t="s">
        <v>1129</v>
      </c>
      <c r="D7192" s="131">
        <v>16</v>
      </c>
      <c r="E7192" s="131" t="s">
        <v>1129</v>
      </c>
      <c r="F7192" s="767">
        <v>-114317.94</v>
      </c>
      <c r="G7192" s="767">
        <v>-15368</v>
      </c>
      <c r="H7192" s="767">
        <v>-129685.94</v>
      </c>
      <c r="I7192" s="768" t="s">
        <v>1818</v>
      </c>
    </row>
    <row r="7193" spans="1:9" x14ac:dyDescent="0.25">
      <c r="A7193" s="753"/>
      <c r="C7193" s="131" t="s">
        <v>1130</v>
      </c>
      <c r="D7193" s="131">
        <v>16</v>
      </c>
      <c r="E7193" s="131" t="s">
        <v>1130</v>
      </c>
      <c r="F7193" s="767">
        <v>64063</v>
      </c>
      <c r="G7193" s="767">
        <v>10427</v>
      </c>
      <c r="H7193" s="767">
        <v>74490</v>
      </c>
      <c r="I7193" s="768" t="s">
        <v>1819</v>
      </c>
    </row>
    <row r="7194" spans="1:9" x14ac:dyDescent="0.25">
      <c r="A7194" s="753"/>
      <c r="C7194" s="131" t="s">
        <v>1132</v>
      </c>
      <c r="D7194" s="131">
        <v>16</v>
      </c>
      <c r="E7194" s="131" t="s">
        <v>1132</v>
      </c>
      <c r="F7194" s="767">
        <v>-31815.1</v>
      </c>
      <c r="G7194" s="767">
        <v>-3545.2</v>
      </c>
      <c r="H7194" s="767">
        <v>-35360.300000000003</v>
      </c>
      <c r="I7194" s="768" t="s">
        <v>1821</v>
      </c>
    </row>
    <row r="7195" spans="1:9" x14ac:dyDescent="0.25">
      <c r="A7195" s="753"/>
      <c r="C7195" s="131" t="s">
        <v>1133</v>
      </c>
      <c r="D7195" s="131">
        <v>16</v>
      </c>
      <c r="E7195" s="131" t="s">
        <v>1133</v>
      </c>
      <c r="F7195" s="767">
        <v>22107.3</v>
      </c>
      <c r="G7195" s="767">
        <v>2729.1</v>
      </c>
      <c r="H7195" s="767">
        <v>24836.400000000001</v>
      </c>
      <c r="I7195" s="768" t="s">
        <v>1822</v>
      </c>
    </row>
    <row r="7196" spans="1:9" x14ac:dyDescent="0.25">
      <c r="A7196" s="753"/>
      <c r="C7196" s="131" t="s">
        <v>1060</v>
      </c>
      <c r="D7196" s="131">
        <v>16</v>
      </c>
      <c r="E7196" s="131" t="s">
        <v>1060</v>
      </c>
      <c r="F7196" s="767">
        <v>-1460919</v>
      </c>
      <c r="G7196" s="767">
        <v>-53091</v>
      </c>
      <c r="H7196" s="767">
        <v>-1514010</v>
      </c>
      <c r="I7196" s="768" t="s">
        <v>1609</v>
      </c>
    </row>
    <row r="7197" spans="1:9" x14ac:dyDescent="0.25">
      <c r="A7197" s="753"/>
      <c r="C7197" s="131" t="s">
        <v>1061</v>
      </c>
      <c r="D7197" s="131">
        <v>16</v>
      </c>
      <c r="E7197" s="131" t="s">
        <v>1061</v>
      </c>
      <c r="F7197" s="767">
        <v>-1549824.14</v>
      </c>
      <c r="G7197" s="767">
        <v>-195712.38</v>
      </c>
      <c r="H7197" s="767">
        <v>-1745536.52</v>
      </c>
      <c r="I7197" s="768" t="s">
        <v>1610</v>
      </c>
    </row>
    <row r="7198" spans="1:9" x14ac:dyDescent="0.25">
      <c r="A7198" s="753"/>
      <c r="C7198" s="131" t="s">
        <v>1062</v>
      </c>
      <c r="D7198" s="131">
        <v>16</v>
      </c>
      <c r="E7198" s="131" t="s">
        <v>1062</v>
      </c>
      <c r="F7198" s="767">
        <v>1375160.23</v>
      </c>
      <c r="G7198" s="767">
        <v>47910.8</v>
      </c>
      <c r="H7198" s="767">
        <v>1423071.03</v>
      </c>
      <c r="I7198" s="768" t="s">
        <v>1611</v>
      </c>
    </row>
    <row r="7199" spans="1:9" x14ac:dyDescent="0.25">
      <c r="A7199" s="753"/>
      <c r="C7199" s="131" t="s">
        <v>1063</v>
      </c>
      <c r="D7199" s="131">
        <v>16</v>
      </c>
      <c r="E7199" s="131" t="s">
        <v>1063</v>
      </c>
      <c r="F7199" s="767">
        <v>1475708.6</v>
      </c>
      <c r="G7199" s="767">
        <v>186649.34</v>
      </c>
      <c r="H7199" s="767">
        <v>1662357.94</v>
      </c>
      <c r="I7199" s="768" t="s">
        <v>1612</v>
      </c>
    </row>
    <row r="7200" spans="1:9" x14ac:dyDescent="0.25">
      <c r="A7200" s="753"/>
      <c r="C7200" s="131" t="s">
        <v>1064</v>
      </c>
      <c r="D7200" s="131">
        <v>16</v>
      </c>
      <c r="E7200" s="131" t="s">
        <v>1064</v>
      </c>
      <c r="F7200" s="767">
        <v>21586.03</v>
      </c>
      <c r="G7200" s="767">
        <v>462.45</v>
      </c>
      <c r="H7200" s="767">
        <v>22048.48</v>
      </c>
      <c r="I7200" s="768" t="s">
        <v>1613</v>
      </c>
    </row>
    <row r="7201" spans="1:9" x14ac:dyDescent="0.25">
      <c r="A7201" s="753"/>
      <c r="C7201" s="131" t="s">
        <v>1065</v>
      </c>
      <c r="D7201" s="131">
        <v>16</v>
      </c>
      <c r="E7201" s="131" t="s">
        <v>1065</v>
      </c>
      <c r="F7201" s="767">
        <v>18995.09</v>
      </c>
      <c r="G7201" s="767">
        <v>3073.52</v>
      </c>
      <c r="H7201" s="767">
        <v>22068.61</v>
      </c>
      <c r="I7201" s="768" t="s">
        <v>1614</v>
      </c>
    </row>
    <row r="7202" spans="1:9" x14ac:dyDescent="0.25">
      <c r="A7202" s="753"/>
      <c r="C7202" s="131" t="s">
        <v>1067</v>
      </c>
      <c r="D7202" s="131">
        <v>16</v>
      </c>
      <c r="E7202" s="131" t="s">
        <v>1067</v>
      </c>
      <c r="F7202" s="767">
        <v>-1130418.73</v>
      </c>
      <c r="G7202" s="767">
        <v>-109756</v>
      </c>
      <c r="H7202" s="767">
        <v>-1240174.73</v>
      </c>
      <c r="I7202" s="768" t="s">
        <v>1618</v>
      </c>
    </row>
    <row r="7203" spans="1:9" x14ac:dyDescent="0.25">
      <c r="A7203" s="753"/>
      <c r="C7203" s="131" t="s">
        <v>1068</v>
      </c>
      <c r="D7203" s="131">
        <v>16</v>
      </c>
      <c r="E7203" s="131" t="s">
        <v>1068</v>
      </c>
      <c r="F7203" s="767">
        <v>-1119790.01</v>
      </c>
      <c r="G7203" s="767">
        <v>-77747</v>
      </c>
      <c r="H7203" s="767">
        <v>-1197537.01</v>
      </c>
      <c r="I7203" s="768" t="s">
        <v>1619</v>
      </c>
    </row>
    <row r="7204" spans="1:9" x14ac:dyDescent="0.25">
      <c r="A7204" s="753"/>
      <c r="C7204" s="131" t="s">
        <v>1069</v>
      </c>
      <c r="D7204" s="131">
        <v>16</v>
      </c>
      <c r="E7204" s="131" t="s">
        <v>1069</v>
      </c>
      <c r="F7204" s="767">
        <v>1022346.95</v>
      </c>
      <c r="G7204" s="767">
        <v>96071.65</v>
      </c>
      <c r="H7204" s="767">
        <v>1118418.6000000001</v>
      </c>
      <c r="I7204" s="768" t="s">
        <v>1620</v>
      </c>
    </row>
    <row r="7205" spans="1:9" x14ac:dyDescent="0.25">
      <c r="A7205" s="753"/>
      <c r="C7205" s="131" t="s">
        <v>1621</v>
      </c>
      <c r="D7205" s="131">
        <v>16</v>
      </c>
      <c r="E7205" s="131" t="s">
        <v>1621</v>
      </c>
      <c r="F7205" s="767">
        <v>1010840.53</v>
      </c>
      <c r="G7205" s="767">
        <v>65873.399999999994</v>
      </c>
      <c r="H7205" s="767">
        <v>1076713.93</v>
      </c>
      <c r="I7205" s="768" t="s">
        <v>1622</v>
      </c>
    </row>
    <row r="7206" spans="1:9" x14ac:dyDescent="0.25">
      <c r="A7206" s="753"/>
      <c r="C7206" s="131" t="s">
        <v>1070</v>
      </c>
      <c r="D7206" s="131">
        <v>16</v>
      </c>
      <c r="E7206" s="131" t="s">
        <v>1070</v>
      </c>
      <c r="F7206" s="767">
        <v>49886.239999999998</v>
      </c>
      <c r="G7206" s="767">
        <v>2176.36</v>
      </c>
      <c r="H7206" s="767">
        <v>52062.6</v>
      </c>
      <c r="I7206" s="768" t="s">
        <v>1623</v>
      </c>
    </row>
    <row r="7207" spans="1:9" x14ac:dyDescent="0.25">
      <c r="A7207" s="753"/>
      <c r="C7207" s="131" t="s">
        <v>1071</v>
      </c>
      <c r="D7207" s="131">
        <v>16</v>
      </c>
      <c r="E7207" s="131" t="s">
        <v>1071</v>
      </c>
      <c r="F7207" s="767">
        <v>58297.48</v>
      </c>
      <c r="G7207" s="767">
        <v>1557.59</v>
      </c>
      <c r="H7207" s="767">
        <v>59855.07</v>
      </c>
      <c r="I7207" s="768" t="s">
        <v>1624</v>
      </c>
    </row>
    <row r="7208" spans="1:9" x14ac:dyDescent="0.25">
      <c r="A7208" s="753"/>
      <c r="C7208" s="131" t="s">
        <v>1073</v>
      </c>
      <c r="D7208" s="131">
        <v>16</v>
      </c>
      <c r="E7208" s="131" t="s">
        <v>1073</v>
      </c>
      <c r="F7208" s="767">
        <v>-965583</v>
      </c>
      <c r="G7208" s="767">
        <v>-284605</v>
      </c>
      <c r="H7208" s="767">
        <v>-1250188</v>
      </c>
      <c r="I7208" s="768" t="s">
        <v>1628</v>
      </c>
    </row>
    <row r="7209" spans="1:9" x14ac:dyDescent="0.25">
      <c r="A7209" s="753"/>
      <c r="C7209" s="131" t="s">
        <v>1074</v>
      </c>
      <c r="D7209" s="131">
        <v>16</v>
      </c>
      <c r="E7209" s="131" t="s">
        <v>1074</v>
      </c>
      <c r="F7209" s="767">
        <v>-1430324.1</v>
      </c>
      <c r="G7209" s="767">
        <v>-390900</v>
      </c>
      <c r="H7209" s="767">
        <v>-1821224.1</v>
      </c>
      <c r="I7209" s="768" t="s">
        <v>1629</v>
      </c>
    </row>
    <row r="7210" spans="1:9" x14ac:dyDescent="0.25">
      <c r="A7210" s="753"/>
      <c r="C7210" s="131" t="s">
        <v>1075</v>
      </c>
      <c r="D7210" s="131">
        <v>16</v>
      </c>
      <c r="E7210" s="131" t="s">
        <v>1075</v>
      </c>
      <c r="F7210" s="767">
        <v>954358.14</v>
      </c>
      <c r="G7210" s="767">
        <v>291394.84000000003</v>
      </c>
      <c r="H7210" s="767">
        <v>1245752.98</v>
      </c>
      <c r="I7210" s="768" t="s">
        <v>1630</v>
      </c>
    </row>
    <row r="7211" spans="1:9" x14ac:dyDescent="0.25">
      <c r="A7211" s="753"/>
      <c r="C7211" s="131" t="s">
        <v>1076</v>
      </c>
      <c r="D7211" s="131">
        <v>16</v>
      </c>
      <c r="E7211" s="131" t="s">
        <v>1076</v>
      </c>
      <c r="F7211" s="767">
        <v>1420210.23</v>
      </c>
      <c r="G7211" s="767">
        <v>376052.95</v>
      </c>
      <c r="H7211" s="767">
        <v>1796263.18</v>
      </c>
      <c r="I7211" s="768" t="s">
        <v>1631</v>
      </c>
    </row>
    <row r="7212" spans="1:9" x14ac:dyDescent="0.25">
      <c r="A7212" s="753"/>
      <c r="C7212" s="131">
        <v>448</v>
      </c>
      <c r="D7212" s="131">
        <v>16</v>
      </c>
      <c r="E7212" s="131">
        <v>448</v>
      </c>
      <c r="F7212" s="767">
        <v>-1190183.3500000001</v>
      </c>
      <c r="G7212" s="767">
        <v>-142311.89000000001</v>
      </c>
      <c r="H7212" s="767">
        <v>-1332495.24</v>
      </c>
      <c r="I7212" s="768" t="s">
        <v>1633</v>
      </c>
    </row>
    <row r="7213" spans="1:9" x14ac:dyDescent="0.25">
      <c r="A7213" s="753"/>
      <c r="C7213" s="131">
        <v>648</v>
      </c>
      <c r="D7213" s="131">
        <v>16</v>
      </c>
      <c r="E7213" s="131">
        <v>648</v>
      </c>
      <c r="F7213" s="767">
        <v>1150313.78</v>
      </c>
      <c r="G7213" s="767">
        <v>138940.88</v>
      </c>
      <c r="H7213" s="767">
        <v>1289254.6599999999</v>
      </c>
      <c r="I7213" s="768" t="s">
        <v>1634</v>
      </c>
    </row>
    <row r="7214" spans="1:9" x14ac:dyDescent="0.25">
      <c r="A7214" s="753"/>
      <c r="C7214" s="131">
        <v>450</v>
      </c>
      <c r="D7214" s="131">
        <v>16</v>
      </c>
      <c r="E7214" s="131" t="s">
        <v>296</v>
      </c>
      <c r="F7214" s="767">
        <v>-24681.279999999999</v>
      </c>
      <c r="G7214" s="767">
        <v>-1050.4000000000001</v>
      </c>
      <c r="H7214" s="767">
        <v>-25731.68</v>
      </c>
      <c r="I7214" s="768" t="s">
        <v>1641</v>
      </c>
    </row>
    <row r="7215" spans="1:9" x14ac:dyDescent="0.25">
      <c r="A7215" s="753"/>
      <c r="C7215" s="131">
        <v>450</v>
      </c>
      <c r="D7215" s="131">
        <v>16</v>
      </c>
      <c r="E7215" s="131" t="s">
        <v>1642</v>
      </c>
      <c r="F7215" s="767">
        <v>-1526</v>
      </c>
      <c r="G7215" s="767">
        <v>0</v>
      </c>
      <c r="H7215" s="767">
        <v>-1526</v>
      </c>
      <c r="I7215" s="768" t="s">
        <v>1643</v>
      </c>
    </row>
    <row r="7216" spans="1:9" x14ac:dyDescent="0.25">
      <c r="A7216" s="753"/>
      <c r="C7216" s="131">
        <v>450</v>
      </c>
      <c r="D7216" s="131">
        <v>16</v>
      </c>
      <c r="E7216" s="131">
        <v>450</v>
      </c>
      <c r="F7216" s="767">
        <v>-15561</v>
      </c>
      <c r="G7216" s="767">
        <v>-1596</v>
      </c>
      <c r="H7216" s="767">
        <v>-17157</v>
      </c>
      <c r="I7216" s="768" t="s">
        <v>1644</v>
      </c>
    </row>
    <row r="7217" spans="1:9" x14ac:dyDescent="0.25">
      <c r="A7217" s="753"/>
      <c r="C7217" s="131">
        <v>450</v>
      </c>
      <c r="D7217" s="131">
        <v>16</v>
      </c>
      <c r="E7217" s="131" t="s">
        <v>1645</v>
      </c>
      <c r="F7217" s="767">
        <v>-675</v>
      </c>
      <c r="G7217" s="767">
        <v>0</v>
      </c>
      <c r="H7217" s="767">
        <v>-675</v>
      </c>
      <c r="I7217" s="768" t="s">
        <v>1646</v>
      </c>
    </row>
    <row r="7218" spans="1:9" x14ac:dyDescent="0.25">
      <c r="A7218" s="753"/>
      <c r="C7218" s="131">
        <v>450</v>
      </c>
      <c r="D7218" s="131">
        <v>16</v>
      </c>
      <c r="E7218" s="131" t="s">
        <v>295</v>
      </c>
      <c r="F7218" s="767">
        <v>-9310</v>
      </c>
      <c r="G7218" s="767">
        <v>-545</v>
      </c>
      <c r="H7218" s="767">
        <v>-9855</v>
      </c>
      <c r="I7218" s="768" t="s">
        <v>1647</v>
      </c>
    </row>
    <row r="7219" spans="1:9" x14ac:dyDescent="0.25">
      <c r="A7219" s="753"/>
      <c r="C7219" s="131">
        <v>450</v>
      </c>
      <c r="D7219" s="131">
        <v>16</v>
      </c>
      <c r="E7219" s="131" t="s">
        <v>1648</v>
      </c>
      <c r="F7219" s="767">
        <v>-965</v>
      </c>
      <c r="G7219" s="767">
        <v>0</v>
      </c>
      <c r="H7219" s="767">
        <v>-965</v>
      </c>
      <c r="I7219" s="768" t="s">
        <v>1649</v>
      </c>
    </row>
    <row r="7220" spans="1:9" x14ac:dyDescent="0.25">
      <c r="A7220" s="753"/>
      <c r="C7220" s="131">
        <v>450</v>
      </c>
      <c r="D7220" s="131">
        <v>16</v>
      </c>
      <c r="E7220" s="131" t="s">
        <v>974</v>
      </c>
      <c r="F7220" s="767">
        <v>-80920</v>
      </c>
      <c r="G7220" s="767">
        <v>-7140</v>
      </c>
      <c r="H7220" s="767">
        <v>-88060</v>
      </c>
      <c r="I7220" s="768" t="s">
        <v>1650</v>
      </c>
    </row>
    <row r="7221" spans="1:9" x14ac:dyDescent="0.25">
      <c r="A7221" s="753"/>
      <c r="C7221" s="131">
        <v>450</v>
      </c>
      <c r="D7221" s="131">
        <v>16</v>
      </c>
      <c r="E7221" s="131" t="s">
        <v>292</v>
      </c>
      <c r="F7221" s="767">
        <v>-2798</v>
      </c>
      <c r="G7221" s="767">
        <v>0</v>
      </c>
      <c r="H7221" s="767">
        <v>-2798</v>
      </c>
      <c r="I7221" s="768" t="s">
        <v>1651</v>
      </c>
    </row>
    <row r="7222" spans="1:9" x14ac:dyDescent="0.25">
      <c r="A7222" s="753"/>
      <c r="C7222" s="131">
        <v>450</v>
      </c>
      <c r="D7222" s="131">
        <v>16</v>
      </c>
      <c r="E7222" s="131" t="s">
        <v>1652</v>
      </c>
      <c r="F7222" s="767">
        <v>1068.2</v>
      </c>
      <c r="G7222" s="767">
        <v>0</v>
      </c>
      <c r="H7222" s="767">
        <v>1068.2</v>
      </c>
      <c r="I7222" s="768" t="s">
        <v>1653</v>
      </c>
    </row>
    <row r="7223" spans="1:9" x14ac:dyDescent="0.25">
      <c r="A7223" s="753"/>
      <c r="C7223" s="131">
        <v>450</v>
      </c>
      <c r="D7223" s="131">
        <v>16</v>
      </c>
      <c r="E7223" s="131" t="s">
        <v>1176</v>
      </c>
      <c r="F7223" s="767">
        <v>6380</v>
      </c>
      <c r="G7223" s="767">
        <v>545</v>
      </c>
      <c r="H7223" s="767">
        <v>6925</v>
      </c>
      <c r="I7223" s="768" t="s">
        <v>1654</v>
      </c>
    </row>
    <row r="7224" spans="1:9" x14ac:dyDescent="0.25">
      <c r="A7224" s="753"/>
      <c r="C7224" s="131">
        <v>450</v>
      </c>
      <c r="D7224" s="131">
        <v>16</v>
      </c>
      <c r="E7224" s="131" t="s">
        <v>1655</v>
      </c>
      <c r="F7224" s="767">
        <v>840</v>
      </c>
      <c r="G7224" s="767">
        <v>0</v>
      </c>
      <c r="H7224" s="767">
        <v>840</v>
      </c>
      <c r="I7224" s="768" t="s">
        <v>1656</v>
      </c>
    </row>
    <row r="7225" spans="1:9" x14ac:dyDescent="0.25">
      <c r="A7225" s="753"/>
      <c r="C7225" s="131">
        <v>450</v>
      </c>
      <c r="D7225" s="131">
        <v>16</v>
      </c>
      <c r="E7225" s="131">
        <v>650</v>
      </c>
      <c r="F7225" s="767">
        <v>2730</v>
      </c>
      <c r="G7225" s="767">
        <v>280</v>
      </c>
      <c r="H7225" s="767">
        <v>3010</v>
      </c>
      <c r="I7225" s="768" t="s">
        <v>1657</v>
      </c>
    </row>
    <row r="7226" spans="1:9" x14ac:dyDescent="0.25">
      <c r="A7226" s="753"/>
      <c r="C7226" s="131">
        <v>450</v>
      </c>
      <c r="D7226" s="131">
        <v>16</v>
      </c>
      <c r="E7226" s="131" t="s">
        <v>1174</v>
      </c>
      <c r="F7226" s="767">
        <v>1770</v>
      </c>
      <c r="G7226" s="767">
        <v>0</v>
      </c>
      <c r="H7226" s="767">
        <v>1770</v>
      </c>
      <c r="I7226" s="768" t="s">
        <v>1658</v>
      </c>
    </row>
    <row r="7227" spans="1:9" x14ac:dyDescent="0.25">
      <c r="A7227" s="753"/>
      <c r="C7227" s="131" t="s">
        <v>1080</v>
      </c>
      <c r="D7227" s="131">
        <v>16</v>
      </c>
      <c r="E7227" s="131" t="s">
        <v>1667</v>
      </c>
      <c r="F7227" s="767">
        <v>1160</v>
      </c>
      <c r="G7227" s="767">
        <v>0</v>
      </c>
      <c r="H7227" s="767">
        <v>1160</v>
      </c>
      <c r="I7227" s="768" t="s">
        <v>1668</v>
      </c>
    </row>
    <row r="7228" spans="1:9" x14ac:dyDescent="0.25">
      <c r="A7228" s="753"/>
      <c r="C7228" s="131" t="s">
        <v>1080</v>
      </c>
      <c r="D7228" s="131">
        <v>16</v>
      </c>
      <c r="E7228" s="131" t="s">
        <v>1669</v>
      </c>
      <c r="F7228" s="767">
        <v>-2349</v>
      </c>
      <c r="G7228" s="767">
        <v>0</v>
      </c>
      <c r="H7228" s="767">
        <v>-2349</v>
      </c>
      <c r="I7228" s="768" t="s">
        <v>1670</v>
      </c>
    </row>
    <row r="7229" spans="1:9" x14ac:dyDescent="0.25">
      <c r="A7229" s="753"/>
      <c r="C7229" s="131" t="s">
        <v>1080</v>
      </c>
      <c r="D7229" s="131">
        <v>16</v>
      </c>
      <c r="E7229" s="131" t="s">
        <v>1671</v>
      </c>
      <c r="F7229" s="767">
        <v>1165</v>
      </c>
      <c r="G7229" s="767">
        <v>0</v>
      </c>
      <c r="H7229" s="767">
        <v>1165</v>
      </c>
      <c r="I7229" s="768" t="s">
        <v>1672</v>
      </c>
    </row>
    <row r="7230" spans="1:9" x14ac:dyDescent="0.25">
      <c r="A7230" s="753"/>
      <c r="C7230" s="131" t="s">
        <v>1080</v>
      </c>
      <c r="D7230" s="131">
        <v>16</v>
      </c>
      <c r="E7230" s="131" t="s">
        <v>1673</v>
      </c>
      <c r="F7230" s="767">
        <v>115.05</v>
      </c>
      <c r="G7230" s="767">
        <v>0</v>
      </c>
      <c r="H7230" s="767">
        <v>115.05</v>
      </c>
      <c r="I7230" s="768" t="s">
        <v>1674</v>
      </c>
    </row>
    <row r="7231" spans="1:9" x14ac:dyDescent="0.25">
      <c r="A7231" s="753"/>
      <c r="C7231" s="131" t="s">
        <v>1080</v>
      </c>
      <c r="D7231" s="131">
        <v>16</v>
      </c>
      <c r="E7231" s="131" t="s">
        <v>1675</v>
      </c>
      <c r="F7231" s="767">
        <v>-795</v>
      </c>
      <c r="G7231" s="767">
        <v>0</v>
      </c>
      <c r="H7231" s="767">
        <v>-795</v>
      </c>
      <c r="I7231" s="768" t="s">
        <v>1676</v>
      </c>
    </row>
    <row r="7232" spans="1:9" x14ac:dyDescent="0.25">
      <c r="A7232" s="753"/>
      <c r="C7232" s="131" t="s">
        <v>1080</v>
      </c>
      <c r="D7232" s="131">
        <v>16</v>
      </c>
      <c r="E7232" s="131" t="s">
        <v>1677</v>
      </c>
      <c r="F7232" s="767">
        <v>3640</v>
      </c>
      <c r="G7232" s="767">
        <v>350</v>
      </c>
      <c r="H7232" s="767">
        <v>3990</v>
      </c>
      <c r="I7232" s="768" t="s">
        <v>1678</v>
      </c>
    </row>
    <row r="7233" spans="1:9" x14ac:dyDescent="0.25">
      <c r="A7233" s="753"/>
      <c r="C7233" s="131" t="s">
        <v>1080</v>
      </c>
      <c r="D7233" s="131">
        <v>16</v>
      </c>
      <c r="E7233" s="131" t="s">
        <v>1679</v>
      </c>
      <c r="F7233" s="767">
        <v>-20748</v>
      </c>
      <c r="G7233" s="767">
        <v>-1995</v>
      </c>
      <c r="H7233" s="767">
        <v>-22743</v>
      </c>
      <c r="I7233" s="768" t="s">
        <v>1680</v>
      </c>
    </row>
    <row r="7234" spans="1:9" x14ac:dyDescent="0.25">
      <c r="A7234" s="753"/>
      <c r="C7234" s="131" t="s">
        <v>1080</v>
      </c>
      <c r="D7234" s="131">
        <v>16</v>
      </c>
      <c r="E7234" s="131" t="s">
        <v>1681</v>
      </c>
      <c r="F7234" s="767">
        <v>670</v>
      </c>
      <c r="G7234" s="767">
        <v>0</v>
      </c>
      <c r="H7234" s="767">
        <v>670</v>
      </c>
      <c r="I7234" s="768" t="s">
        <v>1682</v>
      </c>
    </row>
    <row r="7235" spans="1:9" x14ac:dyDescent="0.25">
      <c r="A7235" s="753"/>
      <c r="C7235" s="131" t="s">
        <v>1080</v>
      </c>
      <c r="D7235" s="131">
        <v>16</v>
      </c>
      <c r="E7235" s="131" t="s">
        <v>1683</v>
      </c>
      <c r="F7235" s="767">
        <v>-1199</v>
      </c>
      <c r="G7235" s="767">
        <v>0</v>
      </c>
      <c r="H7235" s="767">
        <v>-1199</v>
      </c>
      <c r="I7235" s="768" t="s">
        <v>1684</v>
      </c>
    </row>
    <row r="7236" spans="1:9" x14ac:dyDescent="0.25">
      <c r="A7236" s="753"/>
      <c r="C7236" s="131" t="s">
        <v>1080</v>
      </c>
      <c r="D7236" s="131">
        <v>16</v>
      </c>
      <c r="E7236" s="131" t="s">
        <v>1685</v>
      </c>
      <c r="F7236" s="767">
        <v>-14936.54</v>
      </c>
      <c r="G7236" s="767">
        <v>-4190.53</v>
      </c>
      <c r="H7236" s="767">
        <v>-19127.07</v>
      </c>
      <c r="I7236" s="768" t="s">
        <v>1686</v>
      </c>
    </row>
    <row r="7237" spans="1:9" x14ac:dyDescent="0.25">
      <c r="A7237" s="753"/>
      <c r="C7237" s="131" t="s">
        <v>1080</v>
      </c>
      <c r="D7237" s="131">
        <v>16</v>
      </c>
      <c r="E7237" s="131" t="s">
        <v>1687</v>
      </c>
      <c r="F7237" s="767">
        <v>-3765</v>
      </c>
      <c r="G7237" s="767">
        <v>0</v>
      </c>
      <c r="H7237" s="767">
        <v>-3765</v>
      </c>
      <c r="I7237" s="768" t="s">
        <v>1688</v>
      </c>
    </row>
    <row r="7238" spans="1:9" x14ac:dyDescent="0.25">
      <c r="A7238" s="753"/>
      <c r="C7238" s="131">
        <v>452</v>
      </c>
      <c r="D7238" s="131">
        <v>16</v>
      </c>
      <c r="E7238" s="131">
        <v>452</v>
      </c>
      <c r="F7238" s="767">
        <v>-123190.19</v>
      </c>
      <c r="G7238" s="767">
        <v>-7344</v>
      </c>
      <c r="H7238" s="767">
        <v>-130534.19</v>
      </c>
      <c r="I7238" s="768" t="s">
        <v>1690</v>
      </c>
    </row>
    <row r="7239" spans="1:9" x14ac:dyDescent="0.25">
      <c r="A7239" s="753"/>
      <c r="C7239" s="131">
        <v>652</v>
      </c>
      <c r="D7239" s="131">
        <v>16</v>
      </c>
      <c r="E7239" s="131">
        <v>652</v>
      </c>
      <c r="F7239" s="767">
        <v>75857</v>
      </c>
      <c r="G7239" s="767">
        <v>5728</v>
      </c>
      <c r="H7239" s="767">
        <v>81585</v>
      </c>
      <c r="I7239" s="768" t="s">
        <v>1691</v>
      </c>
    </row>
    <row r="7240" spans="1:9" x14ac:dyDescent="0.25">
      <c r="A7240" s="753"/>
      <c r="C7240" s="131" t="s">
        <v>1084</v>
      </c>
      <c r="D7240" s="131">
        <v>16</v>
      </c>
      <c r="E7240" s="131" t="s">
        <v>1084</v>
      </c>
      <c r="F7240" s="767">
        <v>-115818.16</v>
      </c>
      <c r="G7240" s="767">
        <v>-4632</v>
      </c>
      <c r="H7240" s="767">
        <v>-120450.16</v>
      </c>
      <c r="I7240" s="768" t="s">
        <v>1694</v>
      </c>
    </row>
    <row r="7241" spans="1:9" x14ac:dyDescent="0.25">
      <c r="A7241" s="753"/>
      <c r="C7241" s="131" t="s">
        <v>1085</v>
      </c>
      <c r="D7241" s="131">
        <v>16</v>
      </c>
      <c r="E7241" s="131" t="s">
        <v>1085</v>
      </c>
      <c r="F7241" s="767">
        <v>71941.759999999995</v>
      </c>
      <c r="G7241" s="767">
        <v>3339</v>
      </c>
      <c r="H7241" s="767">
        <v>75280.759999999995</v>
      </c>
      <c r="I7241" s="768" t="s">
        <v>1695</v>
      </c>
    </row>
    <row r="7242" spans="1:9" x14ac:dyDescent="0.25">
      <c r="A7242" s="753"/>
      <c r="C7242" s="131" t="s">
        <v>1088</v>
      </c>
      <c r="D7242" s="131">
        <v>16</v>
      </c>
      <c r="E7242" s="131" t="s">
        <v>1088</v>
      </c>
      <c r="F7242" s="767">
        <v>-26140</v>
      </c>
      <c r="G7242" s="767">
        <v>-5840</v>
      </c>
      <c r="H7242" s="767">
        <v>-31980</v>
      </c>
      <c r="I7242" s="768" t="s">
        <v>1697</v>
      </c>
    </row>
    <row r="7243" spans="1:9" x14ac:dyDescent="0.25">
      <c r="A7243" s="753"/>
      <c r="C7243" s="131" t="s">
        <v>1089</v>
      </c>
      <c r="D7243" s="131">
        <v>16</v>
      </c>
      <c r="E7243" s="131" t="s">
        <v>1089</v>
      </c>
      <c r="F7243" s="767">
        <v>20811</v>
      </c>
      <c r="G7243" s="767">
        <v>4612</v>
      </c>
      <c r="H7243" s="767">
        <v>25423</v>
      </c>
      <c r="I7243" s="768" t="s">
        <v>1698</v>
      </c>
    </row>
    <row r="7244" spans="1:9" x14ac:dyDescent="0.25">
      <c r="A7244" s="753"/>
      <c r="C7244" s="131">
        <v>442</v>
      </c>
      <c r="D7244" s="131">
        <v>16</v>
      </c>
      <c r="E7244" s="131">
        <v>442</v>
      </c>
      <c r="F7244" s="767">
        <v>-1651403.26</v>
      </c>
      <c r="G7244" s="767">
        <v>-76551</v>
      </c>
      <c r="H7244" s="767">
        <v>-1727954.26</v>
      </c>
      <c r="I7244" s="768" t="s">
        <v>1701</v>
      </c>
    </row>
    <row r="7245" spans="1:9" x14ac:dyDescent="0.25">
      <c r="A7245" s="753"/>
      <c r="C7245" s="131">
        <v>642</v>
      </c>
      <c r="D7245" s="131">
        <v>16</v>
      </c>
      <c r="E7245" s="131">
        <v>642</v>
      </c>
      <c r="F7245" s="767">
        <v>1546952.19</v>
      </c>
      <c r="G7245" s="767">
        <v>67158.94</v>
      </c>
      <c r="H7245" s="767">
        <v>1614111.13</v>
      </c>
      <c r="I7245" s="768" t="s">
        <v>1702</v>
      </c>
    </row>
    <row r="7246" spans="1:9" x14ac:dyDescent="0.25">
      <c r="A7246" s="753"/>
      <c r="C7246" s="131">
        <v>643</v>
      </c>
      <c r="D7246" s="131">
        <v>16</v>
      </c>
      <c r="E7246" s="131">
        <v>643</v>
      </c>
      <c r="F7246" s="767">
        <v>40863.03</v>
      </c>
      <c r="G7246" s="767">
        <v>4191.04</v>
      </c>
      <c r="H7246" s="767">
        <v>45054.07</v>
      </c>
      <c r="I7246" s="768" t="s">
        <v>1703</v>
      </c>
    </row>
    <row r="7247" spans="1:9" x14ac:dyDescent="0.25">
      <c r="A7247" s="753"/>
      <c r="C7247" s="131" t="s">
        <v>1096</v>
      </c>
      <c r="D7247" s="131">
        <v>16</v>
      </c>
      <c r="E7247" s="131" t="s">
        <v>1096</v>
      </c>
      <c r="F7247" s="767">
        <v>-2644494</v>
      </c>
      <c r="G7247" s="767">
        <v>-161600</v>
      </c>
      <c r="H7247" s="767">
        <v>-2806094</v>
      </c>
      <c r="I7247" s="768" t="s">
        <v>1705</v>
      </c>
    </row>
    <row r="7248" spans="1:9" x14ac:dyDescent="0.25">
      <c r="A7248" s="753"/>
      <c r="C7248" s="131" t="s">
        <v>1086</v>
      </c>
      <c r="D7248" s="131">
        <v>16</v>
      </c>
      <c r="E7248" s="131" t="s">
        <v>1086</v>
      </c>
      <c r="F7248" s="767">
        <v>2614487.8199999998</v>
      </c>
      <c r="G7248" s="767">
        <v>157364.25</v>
      </c>
      <c r="H7248" s="767">
        <v>2771852.07</v>
      </c>
      <c r="I7248" s="768" t="s">
        <v>1706</v>
      </c>
    </row>
    <row r="7249" spans="1:9" x14ac:dyDescent="0.25">
      <c r="A7249" s="753"/>
      <c r="C7249" s="131">
        <v>451</v>
      </c>
      <c r="D7249" s="131">
        <v>16</v>
      </c>
      <c r="E7249" s="131">
        <v>451</v>
      </c>
      <c r="F7249" s="767">
        <v>-14963.99</v>
      </c>
      <c r="G7249" s="767">
        <v>-798</v>
      </c>
      <c r="H7249" s="767">
        <v>-15761.99</v>
      </c>
      <c r="I7249" s="768" t="s">
        <v>1713</v>
      </c>
    </row>
    <row r="7250" spans="1:9" x14ac:dyDescent="0.25">
      <c r="A7250" s="753"/>
      <c r="C7250" s="131">
        <v>451</v>
      </c>
      <c r="D7250" s="131">
        <v>16</v>
      </c>
      <c r="E7250" s="131" t="s">
        <v>2262</v>
      </c>
      <c r="F7250" s="767">
        <v>0</v>
      </c>
      <c r="G7250" s="767">
        <v>-1879</v>
      </c>
      <c r="H7250" s="767">
        <v>-1879</v>
      </c>
      <c r="I7250" s="768" t="s">
        <v>2263</v>
      </c>
    </row>
    <row r="7251" spans="1:9" x14ac:dyDescent="0.25">
      <c r="A7251" s="753"/>
      <c r="C7251" s="131">
        <v>451</v>
      </c>
      <c r="D7251" s="131">
        <v>16</v>
      </c>
      <c r="E7251" s="131" t="s">
        <v>2264</v>
      </c>
      <c r="F7251" s="767">
        <v>0</v>
      </c>
      <c r="G7251" s="767">
        <v>-1495</v>
      </c>
      <c r="H7251" s="767">
        <v>-1495</v>
      </c>
      <c r="I7251" s="768" t="s">
        <v>2265</v>
      </c>
    </row>
    <row r="7252" spans="1:9" x14ac:dyDescent="0.25">
      <c r="A7252" s="753"/>
      <c r="C7252" s="131">
        <v>453</v>
      </c>
      <c r="D7252" s="131">
        <v>16</v>
      </c>
      <c r="E7252" s="131">
        <v>453</v>
      </c>
      <c r="F7252" s="767">
        <v>-19920.2</v>
      </c>
      <c r="G7252" s="767">
        <v>-2226.5</v>
      </c>
      <c r="H7252" s="767">
        <v>-22146.7</v>
      </c>
      <c r="I7252" s="768" t="s">
        <v>1714</v>
      </c>
    </row>
    <row r="7253" spans="1:9" x14ac:dyDescent="0.25">
      <c r="A7253" s="753"/>
      <c r="C7253" s="131">
        <v>455</v>
      </c>
      <c r="D7253" s="131">
        <v>16</v>
      </c>
      <c r="E7253" s="131">
        <v>455</v>
      </c>
      <c r="F7253" s="767">
        <v>-24874</v>
      </c>
      <c r="G7253" s="767">
        <v>-3631</v>
      </c>
      <c r="H7253" s="767">
        <v>-28505</v>
      </c>
      <c r="I7253" s="768" t="s">
        <v>1715</v>
      </c>
    </row>
    <row r="7254" spans="1:9" x14ac:dyDescent="0.25">
      <c r="A7254" s="753"/>
      <c r="C7254" s="131">
        <v>651</v>
      </c>
      <c r="D7254" s="131">
        <v>16</v>
      </c>
      <c r="E7254" s="131">
        <v>651</v>
      </c>
      <c r="F7254" s="767">
        <v>2984.9</v>
      </c>
      <c r="G7254" s="767">
        <v>140</v>
      </c>
      <c r="H7254" s="767">
        <v>3124.9</v>
      </c>
      <c r="I7254" s="768" t="s">
        <v>1716</v>
      </c>
    </row>
    <row r="7255" spans="1:9" x14ac:dyDescent="0.25">
      <c r="A7255" s="753"/>
      <c r="C7255" s="131">
        <v>651</v>
      </c>
      <c r="D7255" s="131">
        <v>16</v>
      </c>
      <c r="E7255" s="131" t="s">
        <v>2266</v>
      </c>
      <c r="F7255" s="767">
        <v>0</v>
      </c>
      <c r="G7255" s="767">
        <v>1315.3</v>
      </c>
      <c r="H7255" s="767">
        <v>1315.3</v>
      </c>
      <c r="I7255" s="768" t="s">
        <v>2267</v>
      </c>
    </row>
    <row r="7256" spans="1:9" x14ac:dyDescent="0.25">
      <c r="A7256" s="753"/>
      <c r="C7256" s="131">
        <v>651</v>
      </c>
      <c r="D7256" s="131">
        <v>16</v>
      </c>
      <c r="E7256" s="131" t="s">
        <v>2268</v>
      </c>
      <c r="F7256" s="767">
        <v>0</v>
      </c>
      <c r="G7256" s="767">
        <v>747.5</v>
      </c>
      <c r="H7256" s="767">
        <v>747.5</v>
      </c>
      <c r="I7256" s="768" t="s">
        <v>2269</v>
      </c>
    </row>
    <row r="7257" spans="1:9" x14ac:dyDescent="0.25">
      <c r="A7257" s="753"/>
      <c r="C7257" s="131">
        <v>655</v>
      </c>
      <c r="D7257" s="131">
        <v>16</v>
      </c>
      <c r="E7257" s="131">
        <v>655</v>
      </c>
      <c r="F7257" s="767">
        <v>16330</v>
      </c>
      <c r="G7257" s="767">
        <v>631</v>
      </c>
      <c r="H7257" s="767">
        <v>16961</v>
      </c>
      <c r="I7257" s="768" t="s">
        <v>1717</v>
      </c>
    </row>
    <row r="7258" spans="1:9" x14ac:dyDescent="0.25">
      <c r="A7258" s="753"/>
      <c r="C7258" s="131">
        <v>817</v>
      </c>
      <c r="D7258" s="131">
        <v>16</v>
      </c>
      <c r="E7258" s="131">
        <v>817</v>
      </c>
      <c r="F7258" s="767">
        <v>-26075</v>
      </c>
      <c r="G7258" s="767">
        <v>0</v>
      </c>
      <c r="H7258" s="767">
        <v>-26075</v>
      </c>
      <c r="I7258" s="768" t="s">
        <v>1718</v>
      </c>
    </row>
    <row r="7259" spans="1:9" x14ac:dyDescent="0.25">
      <c r="A7259" s="753">
        <v>707724</v>
      </c>
      <c r="B7259" s="130">
        <v>33528236</v>
      </c>
      <c r="E7259" s="131"/>
    </row>
    <row r="7260" spans="1:9" x14ac:dyDescent="0.25">
      <c r="A7260" s="753">
        <v>707726</v>
      </c>
      <c r="B7260" s="130">
        <v>2504788</v>
      </c>
      <c r="C7260" s="131">
        <v>416</v>
      </c>
      <c r="D7260" s="131">
        <v>16</v>
      </c>
      <c r="E7260" s="131">
        <v>416</v>
      </c>
      <c r="F7260" s="767">
        <v>-1003631.7</v>
      </c>
      <c r="G7260" s="767">
        <v>-238444</v>
      </c>
      <c r="H7260" s="767">
        <v>-1242075.7</v>
      </c>
      <c r="I7260" s="768" t="s">
        <v>1720</v>
      </c>
    </row>
    <row r="7261" spans="1:9" x14ac:dyDescent="0.25">
      <c r="A7261" s="753"/>
      <c r="C7261" s="131">
        <v>616</v>
      </c>
      <c r="D7261" s="131">
        <v>16</v>
      </c>
      <c r="E7261" s="131">
        <v>616</v>
      </c>
      <c r="F7261" s="767">
        <v>941860.05</v>
      </c>
      <c r="G7261" s="767">
        <v>224614.34</v>
      </c>
      <c r="H7261" s="767">
        <v>1166474.3899999999</v>
      </c>
      <c r="I7261" s="768" t="s">
        <v>1721</v>
      </c>
    </row>
    <row r="7262" spans="1:9" x14ac:dyDescent="0.25">
      <c r="A7262" s="753"/>
      <c r="C7262" s="131" t="s">
        <v>400</v>
      </c>
      <c r="D7262" s="131">
        <v>16</v>
      </c>
      <c r="E7262" s="131" t="s">
        <v>400</v>
      </c>
      <c r="F7262" s="767">
        <v>-139749.68</v>
      </c>
      <c r="G7262" s="767">
        <v>-74470.399999999994</v>
      </c>
      <c r="H7262" s="767">
        <v>-214220.08</v>
      </c>
      <c r="I7262" s="768" t="s">
        <v>1723</v>
      </c>
    </row>
    <row r="7263" spans="1:9" x14ac:dyDescent="0.25">
      <c r="A7263" s="753"/>
      <c r="C7263" s="131" t="s">
        <v>1100</v>
      </c>
      <c r="D7263" s="131">
        <v>16</v>
      </c>
      <c r="E7263" s="131" t="s">
        <v>1100</v>
      </c>
      <c r="F7263" s="767">
        <v>131422.87</v>
      </c>
      <c r="G7263" s="767">
        <v>69814.75</v>
      </c>
      <c r="H7263" s="767">
        <v>201237.62</v>
      </c>
      <c r="I7263" s="768" t="s">
        <v>1724</v>
      </c>
    </row>
    <row r="7264" spans="1:9" x14ac:dyDescent="0.25">
      <c r="A7264" s="753"/>
      <c r="C7264" s="131" t="s">
        <v>104</v>
      </c>
      <c r="D7264" s="131">
        <v>16</v>
      </c>
      <c r="E7264" s="131" t="s">
        <v>104</v>
      </c>
      <c r="F7264" s="767">
        <v>-1584890.7</v>
      </c>
      <c r="G7264" s="767">
        <v>0</v>
      </c>
      <c r="H7264" s="767">
        <v>-1584890.7</v>
      </c>
      <c r="I7264" s="768" t="s">
        <v>1728</v>
      </c>
    </row>
    <row r="7265" spans="1:9" x14ac:dyDescent="0.25">
      <c r="A7265" s="753"/>
      <c r="C7265" s="131" t="s">
        <v>1106</v>
      </c>
      <c r="D7265" s="131">
        <v>16</v>
      </c>
      <c r="E7265" s="131" t="s">
        <v>1106</v>
      </c>
      <c r="F7265" s="767">
        <v>1486270.54</v>
      </c>
      <c r="G7265" s="767">
        <v>0</v>
      </c>
      <c r="H7265" s="767">
        <v>1486270.54</v>
      </c>
      <c r="I7265" s="768" t="s">
        <v>1729</v>
      </c>
    </row>
    <row r="7266" spans="1:9" x14ac:dyDescent="0.25">
      <c r="A7266" s="753"/>
      <c r="C7266" s="131" t="s">
        <v>282</v>
      </c>
      <c r="D7266" s="131">
        <v>16</v>
      </c>
      <c r="E7266" s="131" t="s">
        <v>282</v>
      </c>
      <c r="F7266" s="767">
        <v>-355284</v>
      </c>
      <c r="G7266" s="767">
        <v>0</v>
      </c>
      <c r="H7266" s="767">
        <v>-355284</v>
      </c>
      <c r="I7266" s="768" t="s">
        <v>1731</v>
      </c>
    </row>
    <row r="7267" spans="1:9" x14ac:dyDescent="0.25">
      <c r="A7267" s="753"/>
      <c r="C7267" s="131" t="s">
        <v>1107</v>
      </c>
      <c r="D7267" s="131">
        <v>16</v>
      </c>
      <c r="E7267" s="131" t="s">
        <v>1107</v>
      </c>
      <c r="F7267" s="767">
        <v>333495.65000000002</v>
      </c>
      <c r="G7267" s="767">
        <v>0</v>
      </c>
      <c r="H7267" s="767">
        <v>333495.65000000002</v>
      </c>
      <c r="I7267" s="768" t="s">
        <v>1732</v>
      </c>
    </row>
    <row r="7268" spans="1:9" x14ac:dyDescent="0.25">
      <c r="A7268" s="753"/>
      <c r="C7268" s="131" t="s">
        <v>340</v>
      </c>
      <c r="D7268" s="131">
        <v>16</v>
      </c>
      <c r="E7268" s="131" t="s">
        <v>340</v>
      </c>
      <c r="F7268" s="767">
        <v>-482797.12</v>
      </c>
      <c r="G7268" s="767">
        <v>-236789.98</v>
      </c>
      <c r="H7268" s="767">
        <v>-719587.1</v>
      </c>
      <c r="I7268" s="768" t="s">
        <v>1734</v>
      </c>
    </row>
    <row r="7269" spans="1:9" x14ac:dyDescent="0.25">
      <c r="A7269" s="753"/>
      <c r="C7269" s="131" t="s">
        <v>1108</v>
      </c>
      <c r="D7269" s="131">
        <v>16</v>
      </c>
      <c r="E7269" s="131" t="s">
        <v>1108</v>
      </c>
      <c r="F7269" s="767">
        <v>453323.44</v>
      </c>
      <c r="G7269" s="767">
        <v>217365.05</v>
      </c>
      <c r="H7269" s="767">
        <v>670688.49</v>
      </c>
      <c r="I7269" s="768" t="s">
        <v>1735</v>
      </c>
    </row>
    <row r="7270" spans="1:9" x14ac:dyDescent="0.25">
      <c r="A7270" s="753"/>
      <c r="C7270" s="131" t="s">
        <v>301</v>
      </c>
      <c r="D7270" s="131">
        <v>16</v>
      </c>
      <c r="E7270" s="131" t="s">
        <v>301</v>
      </c>
      <c r="F7270" s="767">
        <v>-109302.93</v>
      </c>
      <c r="G7270" s="767">
        <v>0</v>
      </c>
      <c r="H7270" s="767">
        <v>-109302.93</v>
      </c>
      <c r="I7270" s="768" t="s">
        <v>2272</v>
      </c>
    </row>
    <row r="7271" spans="1:9" x14ac:dyDescent="0.25">
      <c r="A7271" s="753"/>
      <c r="C7271" s="131" t="s">
        <v>2273</v>
      </c>
      <c r="D7271" s="131">
        <v>16</v>
      </c>
      <c r="E7271" s="131" t="s">
        <v>2273</v>
      </c>
      <c r="F7271" s="767">
        <v>109633.12</v>
      </c>
      <c r="G7271" s="767">
        <v>0</v>
      </c>
      <c r="H7271" s="767">
        <v>109633.12</v>
      </c>
      <c r="I7271" s="768" t="s">
        <v>2274</v>
      </c>
    </row>
    <row r="7272" spans="1:9" x14ac:dyDescent="0.25">
      <c r="A7272" s="753"/>
      <c r="C7272" s="131" t="s">
        <v>237</v>
      </c>
      <c r="D7272" s="131">
        <v>16</v>
      </c>
      <c r="E7272" s="131" t="s">
        <v>237</v>
      </c>
      <c r="F7272" s="767">
        <v>-222837.66</v>
      </c>
      <c r="G7272" s="767">
        <v>0</v>
      </c>
      <c r="H7272" s="767">
        <v>-222837.66</v>
      </c>
      <c r="I7272" s="768" t="s">
        <v>1737</v>
      </c>
    </row>
    <row r="7273" spans="1:9" x14ac:dyDescent="0.25">
      <c r="A7273" s="753"/>
      <c r="C7273" s="131" t="s">
        <v>1094</v>
      </c>
      <c r="D7273" s="131">
        <v>16</v>
      </c>
      <c r="E7273" s="131" t="s">
        <v>1094</v>
      </c>
      <c r="F7273" s="767">
        <v>208571.21</v>
      </c>
      <c r="G7273" s="767">
        <v>0</v>
      </c>
      <c r="H7273" s="767">
        <v>208571.21</v>
      </c>
      <c r="I7273" s="768" t="s">
        <v>1738</v>
      </c>
    </row>
    <row r="7274" spans="1:9" x14ac:dyDescent="0.25">
      <c r="A7274" s="753"/>
      <c r="C7274" s="131" t="s">
        <v>258</v>
      </c>
      <c r="D7274" s="131">
        <v>16</v>
      </c>
      <c r="E7274" s="131" t="s">
        <v>258</v>
      </c>
      <c r="F7274" s="767">
        <v>-180770</v>
      </c>
      <c r="G7274" s="767">
        <v>0</v>
      </c>
      <c r="H7274" s="767">
        <v>-180770</v>
      </c>
      <c r="I7274" s="768" t="s">
        <v>1741</v>
      </c>
    </row>
    <row r="7275" spans="1:9" x14ac:dyDescent="0.25">
      <c r="A7275" s="753"/>
      <c r="C7275" s="131" t="s">
        <v>1742</v>
      </c>
      <c r="D7275" s="131">
        <v>16</v>
      </c>
      <c r="E7275" s="131" t="s">
        <v>1742</v>
      </c>
      <c r="F7275" s="767">
        <v>168281.09</v>
      </c>
      <c r="G7275" s="767">
        <v>0</v>
      </c>
      <c r="H7275" s="767">
        <v>168281.09</v>
      </c>
      <c r="I7275" s="768" t="s">
        <v>1743</v>
      </c>
    </row>
    <row r="7276" spans="1:9" x14ac:dyDescent="0.25">
      <c r="A7276" s="753"/>
      <c r="C7276" s="131" t="s">
        <v>105</v>
      </c>
      <c r="D7276" s="131">
        <v>16</v>
      </c>
      <c r="E7276" s="131" t="s">
        <v>105</v>
      </c>
      <c r="F7276" s="767">
        <v>-751239.23</v>
      </c>
      <c r="G7276" s="767">
        <v>-106773.5</v>
      </c>
      <c r="H7276" s="767">
        <v>-858012.73</v>
      </c>
      <c r="I7276" s="768" t="s">
        <v>1745</v>
      </c>
    </row>
    <row r="7277" spans="1:9" x14ac:dyDescent="0.25">
      <c r="A7277" s="753"/>
      <c r="C7277" s="131" t="s">
        <v>1110</v>
      </c>
      <c r="D7277" s="131">
        <v>16</v>
      </c>
      <c r="E7277" s="131" t="s">
        <v>1110</v>
      </c>
      <c r="F7277" s="767">
        <v>714996.42</v>
      </c>
      <c r="G7277" s="767">
        <v>102975</v>
      </c>
      <c r="H7277" s="767">
        <v>817971.42</v>
      </c>
      <c r="I7277" s="768" t="s">
        <v>1746</v>
      </c>
    </row>
    <row r="7278" spans="1:9" x14ac:dyDescent="0.25">
      <c r="A7278" s="753"/>
      <c r="C7278" s="131" t="s">
        <v>401</v>
      </c>
      <c r="D7278" s="131">
        <v>16</v>
      </c>
      <c r="E7278" s="131" t="s">
        <v>401</v>
      </c>
      <c r="F7278" s="767">
        <v>-976653.2</v>
      </c>
      <c r="G7278" s="767">
        <v>0</v>
      </c>
      <c r="H7278" s="767">
        <v>-976653.2</v>
      </c>
      <c r="I7278" s="768" t="s">
        <v>1748</v>
      </c>
    </row>
    <row r="7279" spans="1:9" x14ac:dyDescent="0.25">
      <c r="A7279" s="753"/>
      <c r="C7279" s="131" t="s">
        <v>1112</v>
      </c>
      <c r="D7279" s="131">
        <v>16</v>
      </c>
      <c r="E7279" s="131" t="s">
        <v>1112</v>
      </c>
      <c r="F7279" s="767">
        <v>912448.95</v>
      </c>
      <c r="G7279" s="767">
        <v>0</v>
      </c>
      <c r="H7279" s="767">
        <v>912448.95</v>
      </c>
      <c r="I7279" s="768" t="s">
        <v>1749</v>
      </c>
    </row>
    <row r="7280" spans="1:9" x14ac:dyDescent="0.25">
      <c r="A7280" s="753"/>
      <c r="C7280" s="131">
        <v>447</v>
      </c>
      <c r="D7280" s="131">
        <v>16</v>
      </c>
      <c r="E7280" s="131">
        <v>447</v>
      </c>
      <c r="F7280" s="767">
        <v>-151506.5</v>
      </c>
      <c r="G7280" s="767">
        <v>0</v>
      </c>
      <c r="H7280" s="767">
        <v>-151506.5</v>
      </c>
      <c r="I7280" s="768" t="s">
        <v>1751</v>
      </c>
    </row>
    <row r="7281" spans="1:9" x14ac:dyDescent="0.25">
      <c r="A7281" s="753"/>
      <c r="C7281" s="131">
        <v>647</v>
      </c>
      <c r="D7281" s="131">
        <v>16</v>
      </c>
      <c r="E7281" s="131">
        <v>647</v>
      </c>
      <c r="F7281" s="767">
        <v>145006.09</v>
      </c>
      <c r="G7281" s="767">
        <v>0</v>
      </c>
      <c r="H7281" s="767">
        <v>145006.09</v>
      </c>
      <c r="I7281" s="768" t="s">
        <v>1752</v>
      </c>
    </row>
    <row r="7282" spans="1:9" x14ac:dyDescent="0.25">
      <c r="A7282" s="753"/>
      <c r="C7282" s="131" t="s">
        <v>106</v>
      </c>
      <c r="D7282" s="131">
        <v>16</v>
      </c>
      <c r="E7282" s="131" t="s">
        <v>106</v>
      </c>
      <c r="F7282" s="767">
        <v>-227426</v>
      </c>
      <c r="G7282" s="767">
        <v>0</v>
      </c>
      <c r="H7282" s="767">
        <v>-227426</v>
      </c>
      <c r="I7282" s="768" t="s">
        <v>1754</v>
      </c>
    </row>
    <row r="7283" spans="1:9" x14ac:dyDescent="0.25">
      <c r="A7283" s="753"/>
      <c r="C7283" s="131" t="s">
        <v>1143</v>
      </c>
      <c r="D7283" s="131">
        <v>16</v>
      </c>
      <c r="E7283" s="131" t="s">
        <v>1143</v>
      </c>
      <c r="F7283" s="767">
        <v>214312.85</v>
      </c>
      <c r="G7283" s="767">
        <v>0</v>
      </c>
      <c r="H7283" s="767">
        <v>214312.85</v>
      </c>
      <c r="I7283" s="768" t="s">
        <v>1755</v>
      </c>
    </row>
    <row r="7284" spans="1:9" x14ac:dyDescent="0.25">
      <c r="A7284" s="753"/>
      <c r="C7284" s="131" t="s">
        <v>405</v>
      </c>
      <c r="D7284" s="131">
        <v>16</v>
      </c>
      <c r="E7284" s="131" t="s">
        <v>405</v>
      </c>
      <c r="F7284" s="767">
        <v>-235967</v>
      </c>
      <c r="G7284" s="767">
        <v>0</v>
      </c>
      <c r="H7284" s="767">
        <v>-235967</v>
      </c>
      <c r="I7284" s="768" t="s">
        <v>1757</v>
      </c>
    </row>
    <row r="7285" spans="1:9" x14ac:dyDescent="0.25">
      <c r="A7285" s="753"/>
      <c r="C7285" s="131" t="s">
        <v>1116</v>
      </c>
      <c r="D7285" s="131">
        <v>16</v>
      </c>
      <c r="E7285" s="131" t="s">
        <v>1116</v>
      </c>
      <c r="F7285" s="767">
        <v>220347.51999999999</v>
      </c>
      <c r="G7285" s="767">
        <v>0</v>
      </c>
      <c r="H7285" s="767">
        <v>220347.51999999999</v>
      </c>
      <c r="I7285" s="768" t="s">
        <v>1758</v>
      </c>
    </row>
    <row r="7286" spans="1:9" x14ac:dyDescent="0.25">
      <c r="A7286" s="753"/>
      <c r="C7286" s="131">
        <v>480</v>
      </c>
      <c r="D7286" s="131">
        <v>16</v>
      </c>
      <c r="E7286" s="131">
        <v>480</v>
      </c>
      <c r="F7286" s="767">
        <v>-273292.68</v>
      </c>
      <c r="G7286" s="767">
        <v>0</v>
      </c>
      <c r="H7286" s="767">
        <v>-273292.68</v>
      </c>
      <c r="I7286" s="768" t="s">
        <v>1760</v>
      </c>
    </row>
    <row r="7287" spans="1:9" x14ac:dyDescent="0.25">
      <c r="A7287" s="753"/>
      <c r="C7287" s="131">
        <v>680</v>
      </c>
      <c r="D7287" s="131">
        <v>16</v>
      </c>
      <c r="E7287" s="131">
        <v>680</v>
      </c>
      <c r="F7287" s="767">
        <v>269709.11</v>
      </c>
      <c r="G7287" s="767">
        <v>0</v>
      </c>
      <c r="H7287" s="767">
        <v>269709.11</v>
      </c>
      <c r="I7287" s="768" t="s">
        <v>1761</v>
      </c>
    </row>
    <row r="7288" spans="1:9" x14ac:dyDescent="0.25">
      <c r="A7288" s="753"/>
      <c r="C7288" s="131" t="s">
        <v>406</v>
      </c>
      <c r="D7288" s="131">
        <v>16</v>
      </c>
      <c r="E7288" s="131" t="s">
        <v>406</v>
      </c>
      <c r="F7288" s="767">
        <v>-309378.09999999998</v>
      </c>
      <c r="G7288" s="767">
        <v>0</v>
      </c>
      <c r="H7288" s="767">
        <v>-309378.09999999998</v>
      </c>
      <c r="I7288" s="768" t="s">
        <v>1764</v>
      </c>
    </row>
    <row r="7289" spans="1:9" x14ac:dyDescent="0.25">
      <c r="A7289" s="753"/>
      <c r="C7289" s="131" t="s">
        <v>1119</v>
      </c>
      <c r="D7289" s="131">
        <v>16</v>
      </c>
      <c r="E7289" s="131" t="s">
        <v>1119</v>
      </c>
      <c r="F7289" s="767">
        <v>291459.78000000003</v>
      </c>
      <c r="G7289" s="767">
        <v>0</v>
      </c>
      <c r="H7289" s="767">
        <v>291459.78000000003</v>
      </c>
      <c r="I7289" s="768" t="s">
        <v>1765</v>
      </c>
    </row>
    <row r="7290" spans="1:9" x14ac:dyDescent="0.25">
      <c r="A7290" s="753"/>
      <c r="C7290" s="131">
        <v>481</v>
      </c>
      <c r="D7290" s="131">
        <v>16</v>
      </c>
      <c r="E7290" s="131">
        <v>481</v>
      </c>
      <c r="F7290" s="767">
        <v>-237027.97</v>
      </c>
      <c r="G7290" s="767">
        <v>0</v>
      </c>
      <c r="H7290" s="767">
        <v>-237027.97</v>
      </c>
      <c r="I7290" s="768" t="s">
        <v>408</v>
      </c>
    </row>
    <row r="7291" spans="1:9" x14ac:dyDescent="0.25">
      <c r="A7291" s="753"/>
      <c r="C7291" s="131">
        <v>681</v>
      </c>
      <c r="D7291" s="131">
        <v>16</v>
      </c>
      <c r="E7291" s="131">
        <v>681</v>
      </c>
      <c r="F7291" s="767">
        <v>233811.43</v>
      </c>
      <c r="G7291" s="767">
        <v>0</v>
      </c>
      <c r="H7291" s="767">
        <v>233811.43</v>
      </c>
      <c r="I7291" s="768" t="s">
        <v>408</v>
      </c>
    </row>
    <row r="7292" spans="1:9" x14ac:dyDescent="0.25">
      <c r="A7292" s="753"/>
      <c r="C7292" s="131" t="s">
        <v>410</v>
      </c>
      <c r="D7292" s="131">
        <v>16</v>
      </c>
      <c r="E7292" s="131" t="s">
        <v>410</v>
      </c>
      <c r="F7292" s="767">
        <v>-246468.25</v>
      </c>
      <c r="G7292" s="767">
        <v>0</v>
      </c>
      <c r="H7292" s="767">
        <v>-246468.25</v>
      </c>
      <c r="I7292" s="768" t="s">
        <v>1767</v>
      </c>
    </row>
    <row r="7293" spans="1:9" x14ac:dyDescent="0.25">
      <c r="A7293" s="753"/>
      <c r="C7293" s="131" t="s">
        <v>1120</v>
      </c>
      <c r="D7293" s="131">
        <v>16</v>
      </c>
      <c r="E7293" s="131" t="s">
        <v>1120</v>
      </c>
      <c r="F7293" s="767">
        <v>235559.82</v>
      </c>
      <c r="G7293" s="767">
        <v>0</v>
      </c>
      <c r="H7293" s="767">
        <v>235559.82</v>
      </c>
      <c r="I7293" s="768" t="s">
        <v>1767</v>
      </c>
    </row>
    <row r="7294" spans="1:9" x14ac:dyDescent="0.25">
      <c r="A7294" s="753"/>
      <c r="C7294" s="131" t="s">
        <v>376</v>
      </c>
      <c r="D7294" s="131">
        <v>16</v>
      </c>
      <c r="E7294" s="131" t="s">
        <v>376</v>
      </c>
      <c r="F7294" s="767">
        <v>-98510.95</v>
      </c>
      <c r="G7294" s="767">
        <v>0</v>
      </c>
      <c r="H7294" s="767">
        <v>-98510.95</v>
      </c>
      <c r="I7294" s="768" t="s">
        <v>2278</v>
      </c>
    </row>
    <row r="7295" spans="1:9" x14ac:dyDescent="0.25">
      <c r="A7295" s="753"/>
      <c r="C7295" s="131" t="s">
        <v>2279</v>
      </c>
      <c r="D7295" s="131">
        <v>16</v>
      </c>
      <c r="E7295" s="131" t="s">
        <v>2279</v>
      </c>
      <c r="F7295" s="767">
        <v>97615</v>
      </c>
      <c r="G7295" s="767">
        <v>0</v>
      </c>
      <c r="H7295" s="767">
        <v>97615</v>
      </c>
      <c r="I7295" s="768" t="s">
        <v>2280</v>
      </c>
    </row>
    <row r="7296" spans="1:9" x14ac:dyDescent="0.25">
      <c r="A7296" s="753"/>
      <c r="C7296" s="131" t="s">
        <v>378</v>
      </c>
      <c r="D7296" s="131">
        <v>16</v>
      </c>
      <c r="E7296" s="131" t="s">
        <v>378</v>
      </c>
      <c r="F7296" s="767">
        <v>-323316.75</v>
      </c>
      <c r="G7296" s="767">
        <v>0</v>
      </c>
      <c r="H7296" s="767">
        <v>-323316.75</v>
      </c>
      <c r="I7296" s="768" t="s">
        <v>1769</v>
      </c>
    </row>
    <row r="7297" spans="1:9" x14ac:dyDescent="0.25">
      <c r="A7297" s="753"/>
      <c r="C7297" s="131" t="s">
        <v>1121</v>
      </c>
      <c r="D7297" s="131">
        <v>16</v>
      </c>
      <c r="E7297" s="131" t="s">
        <v>1121</v>
      </c>
      <c r="F7297" s="767">
        <v>316233.65000000002</v>
      </c>
      <c r="G7297" s="767">
        <v>0</v>
      </c>
      <c r="H7297" s="767">
        <v>316233.65000000002</v>
      </c>
      <c r="I7297" s="768" t="s">
        <v>1770</v>
      </c>
    </row>
    <row r="7298" spans="1:9" x14ac:dyDescent="0.25">
      <c r="A7298" s="753"/>
      <c r="C7298" s="131" t="s">
        <v>233</v>
      </c>
      <c r="D7298" s="131">
        <v>16</v>
      </c>
      <c r="E7298" s="131" t="s">
        <v>233</v>
      </c>
      <c r="F7298" s="767">
        <v>-49508.31</v>
      </c>
      <c r="G7298" s="767">
        <v>0</v>
      </c>
      <c r="H7298" s="767">
        <v>-49508.31</v>
      </c>
      <c r="I7298" s="768" t="s">
        <v>1824</v>
      </c>
    </row>
    <row r="7299" spans="1:9" x14ac:dyDescent="0.25">
      <c r="A7299" s="753"/>
      <c r="C7299" s="131" t="s">
        <v>1135</v>
      </c>
      <c r="D7299" s="131">
        <v>16</v>
      </c>
      <c r="E7299" s="131" t="s">
        <v>1135</v>
      </c>
      <c r="F7299" s="767">
        <v>44968.42</v>
      </c>
      <c r="G7299" s="767">
        <v>0</v>
      </c>
      <c r="H7299" s="767">
        <v>44968.42</v>
      </c>
      <c r="I7299" s="768" t="s">
        <v>1825</v>
      </c>
    </row>
    <row r="7300" spans="1:9" x14ac:dyDescent="0.25">
      <c r="A7300" s="753"/>
      <c r="C7300" s="131" t="s">
        <v>234</v>
      </c>
      <c r="D7300" s="131">
        <v>16</v>
      </c>
      <c r="E7300" s="131" t="s">
        <v>234</v>
      </c>
      <c r="F7300" s="767">
        <v>-66243.350000000006</v>
      </c>
      <c r="G7300" s="767">
        <v>0</v>
      </c>
      <c r="H7300" s="767">
        <v>-66243.350000000006</v>
      </c>
      <c r="I7300" s="768" t="s">
        <v>1827</v>
      </c>
    </row>
    <row r="7301" spans="1:9" x14ac:dyDescent="0.25">
      <c r="A7301" s="753"/>
      <c r="C7301" s="131" t="s">
        <v>1138</v>
      </c>
      <c r="D7301" s="131">
        <v>16</v>
      </c>
      <c r="E7301" s="131" t="s">
        <v>1138</v>
      </c>
      <c r="F7301" s="767">
        <v>64976.959999999999</v>
      </c>
      <c r="G7301" s="767">
        <v>0</v>
      </c>
      <c r="H7301" s="767">
        <v>64976.959999999999</v>
      </c>
      <c r="I7301" s="768" t="s">
        <v>1828</v>
      </c>
    </row>
    <row r="7302" spans="1:9" x14ac:dyDescent="0.25">
      <c r="A7302" s="753"/>
      <c r="C7302" s="131" t="s">
        <v>385</v>
      </c>
      <c r="D7302" s="131">
        <v>16</v>
      </c>
      <c r="E7302" s="131" t="s">
        <v>385</v>
      </c>
      <c r="F7302" s="767">
        <v>-88209.5</v>
      </c>
      <c r="G7302" s="767">
        <v>0</v>
      </c>
      <c r="H7302" s="767">
        <v>-88209.5</v>
      </c>
      <c r="I7302" s="768" t="s">
        <v>2283</v>
      </c>
    </row>
    <row r="7303" spans="1:9" x14ac:dyDescent="0.25">
      <c r="A7303" s="753"/>
      <c r="C7303" s="131" t="s">
        <v>1136</v>
      </c>
      <c r="D7303" s="131">
        <v>16</v>
      </c>
      <c r="E7303" s="131" t="s">
        <v>1136</v>
      </c>
      <c r="F7303" s="767">
        <v>84914.34</v>
      </c>
      <c r="G7303" s="767">
        <v>0</v>
      </c>
      <c r="H7303" s="767">
        <v>84914.34</v>
      </c>
      <c r="I7303" s="768" t="s">
        <v>1829</v>
      </c>
    </row>
    <row r="7304" spans="1:9" x14ac:dyDescent="0.25">
      <c r="A7304" s="753"/>
      <c r="C7304" s="131" t="s">
        <v>100</v>
      </c>
      <c r="D7304" s="131">
        <v>16</v>
      </c>
      <c r="E7304" s="131" t="s">
        <v>100</v>
      </c>
      <c r="F7304" s="767">
        <v>-63527.8</v>
      </c>
      <c r="G7304" s="767">
        <v>0</v>
      </c>
      <c r="H7304" s="767">
        <v>-63527.8</v>
      </c>
      <c r="I7304" s="768" t="s">
        <v>1831</v>
      </c>
    </row>
    <row r="7305" spans="1:9" x14ac:dyDescent="0.25">
      <c r="A7305" s="753"/>
      <c r="C7305" s="131" t="s">
        <v>1142</v>
      </c>
      <c r="D7305" s="131">
        <v>16</v>
      </c>
      <c r="E7305" s="131" t="s">
        <v>1142</v>
      </c>
      <c r="F7305" s="767">
        <v>62923.61</v>
      </c>
      <c r="G7305" s="767">
        <v>0</v>
      </c>
      <c r="H7305" s="767">
        <v>62923.61</v>
      </c>
      <c r="I7305" s="768" t="s">
        <v>1832</v>
      </c>
    </row>
    <row r="7306" spans="1:9" x14ac:dyDescent="0.25">
      <c r="A7306" s="753"/>
      <c r="C7306" s="131" t="s">
        <v>255</v>
      </c>
      <c r="D7306" s="131">
        <v>16</v>
      </c>
      <c r="E7306" s="131" t="s">
        <v>255</v>
      </c>
      <c r="F7306" s="767">
        <v>-295643.12</v>
      </c>
      <c r="G7306" s="767">
        <v>0</v>
      </c>
      <c r="H7306" s="767">
        <v>-295643.12</v>
      </c>
      <c r="I7306" s="768" t="s">
        <v>1833</v>
      </c>
    </row>
    <row r="7307" spans="1:9" x14ac:dyDescent="0.25">
      <c r="A7307" s="753"/>
      <c r="C7307" s="131" t="s">
        <v>1145</v>
      </c>
      <c r="D7307" s="131">
        <v>16</v>
      </c>
      <c r="E7307" s="131" t="s">
        <v>1145</v>
      </c>
      <c r="F7307" s="767">
        <v>278307.76</v>
      </c>
      <c r="G7307" s="767">
        <v>0</v>
      </c>
      <c r="H7307" s="767">
        <v>278307.76</v>
      </c>
      <c r="I7307" s="768" t="s">
        <v>1833</v>
      </c>
    </row>
    <row r="7308" spans="1:9" x14ac:dyDescent="0.25">
      <c r="A7308" s="753"/>
      <c r="C7308" s="131" t="s">
        <v>101</v>
      </c>
      <c r="D7308" s="131">
        <v>16</v>
      </c>
      <c r="E7308" s="131" t="s">
        <v>101</v>
      </c>
      <c r="F7308" s="767">
        <v>-80066.53</v>
      </c>
      <c r="G7308" s="767">
        <v>0</v>
      </c>
      <c r="H7308" s="767">
        <v>-80066.53</v>
      </c>
      <c r="I7308" s="768" t="s">
        <v>1834</v>
      </c>
    </row>
    <row r="7309" spans="1:9" x14ac:dyDescent="0.25">
      <c r="A7309" s="753"/>
      <c r="C7309" s="131" t="s">
        <v>1147</v>
      </c>
      <c r="D7309" s="131">
        <v>16</v>
      </c>
      <c r="E7309" s="131" t="s">
        <v>1147</v>
      </c>
      <c r="F7309" s="767">
        <v>76375.27</v>
      </c>
      <c r="G7309" s="767">
        <v>0</v>
      </c>
      <c r="H7309" s="767">
        <v>76375.27</v>
      </c>
      <c r="I7309" s="768" t="s">
        <v>1834</v>
      </c>
    </row>
    <row r="7310" spans="1:9" x14ac:dyDescent="0.25">
      <c r="A7310" s="753"/>
      <c r="C7310" s="131" t="s">
        <v>235</v>
      </c>
      <c r="D7310" s="131">
        <v>16</v>
      </c>
      <c r="E7310" s="131" t="s">
        <v>235</v>
      </c>
      <c r="F7310" s="767">
        <v>0</v>
      </c>
      <c r="G7310" s="767">
        <v>-181349.96</v>
      </c>
      <c r="H7310" s="767">
        <v>-181349.96</v>
      </c>
      <c r="I7310" s="768" t="s">
        <v>2286</v>
      </c>
    </row>
    <row r="7311" spans="1:9" x14ac:dyDescent="0.25">
      <c r="A7311" s="753"/>
      <c r="C7311" s="131" t="s">
        <v>2287</v>
      </c>
      <c r="D7311" s="131">
        <v>16</v>
      </c>
      <c r="E7311" s="131" t="s">
        <v>2287</v>
      </c>
      <c r="F7311" s="767">
        <v>0</v>
      </c>
      <c r="G7311" s="767">
        <v>175112.67</v>
      </c>
      <c r="H7311" s="767">
        <v>175112.67</v>
      </c>
      <c r="I7311" s="768" t="s">
        <v>2288</v>
      </c>
    </row>
    <row r="7312" spans="1:9" x14ac:dyDescent="0.25">
      <c r="A7312" s="753"/>
      <c r="C7312" s="131" t="s">
        <v>364</v>
      </c>
      <c r="D7312" s="131">
        <v>16</v>
      </c>
      <c r="E7312" s="131" t="s">
        <v>364</v>
      </c>
      <c r="F7312" s="767">
        <v>-120423.5</v>
      </c>
      <c r="G7312" s="767">
        <v>-107635.36</v>
      </c>
      <c r="H7312" s="767">
        <v>-228058.86</v>
      </c>
      <c r="I7312" s="768" t="s">
        <v>2291</v>
      </c>
    </row>
    <row r="7313" spans="1:9" x14ac:dyDescent="0.25">
      <c r="A7313" s="753"/>
      <c r="C7313" s="131" t="s">
        <v>2292</v>
      </c>
      <c r="D7313" s="131">
        <v>16</v>
      </c>
      <c r="E7313" s="131" t="s">
        <v>2292</v>
      </c>
      <c r="F7313" s="767">
        <v>111575</v>
      </c>
      <c r="G7313" s="767">
        <v>100537.06</v>
      </c>
      <c r="H7313" s="767">
        <v>212112.06</v>
      </c>
      <c r="I7313" s="768" t="s">
        <v>2293</v>
      </c>
    </row>
    <row r="7314" spans="1:9" x14ac:dyDescent="0.25">
      <c r="A7314" s="753"/>
      <c r="C7314" s="131" t="s">
        <v>371</v>
      </c>
      <c r="D7314" s="131">
        <v>16</v>
      </c>
      <c r="E7314" s="131" t="s">
        <v>371</v>
      </c>
      <c r="F7314" s="767">
        <v>-106923.5</v>
      </c>
      <c r="G7314" s="767">
        <v>0</v>
      </c>
      <c r="H7314" s="767">
        <v>-106923.5</v>
      </c>
      <c r="I7314" s="768" t="s">
        <v>1836</v>
      </c>
    </row>
    <row r="7315" spans="1:9" x14ac:dyDescent="0.25">
      <c r="A7315" s="753"/>
      <c r="C7315" s="131" t="s">
        <v>1152</v>
      </c>
      <c r="D7315" s="131">
        <v>16</v>
      </c>
      <c r="E7315" s="131" t="s">
        <v>1152</v>
      </c>
      <c r="F7315" s="767">
        <v>102290.17</v>
      </c>
      <c r="G7315" s="767">
        <v>0</v>
      </c>
      <c r="H7315" s="767">
        <v>102290.17</v>
      </c>
      <c r="I7315" s="768" t="s">
        <v>1837</v>
      </c>
    </row>
    <row r="7316" spans="1:9" x14ac:dyDescent="0.25">
      <c r="A7316" s="753"/>
      <c r="C7316" s="131" t="s">
        <v>0</v>
      </c>
      <c r="D7316" s="131">
        <v>16</v>
      </c>
      <c r="E7316" s="131" t="s">
        <v>0</v>
      </c>
      <c r="F7316" s="767">
        <v>-90273.5</v>
      </c>
      <c r="G7316" s="767">
        <v>0</v>
      </c>
      <c r="H7316" s="767">
        <v>-90273.5</v>
      </c>
      <c r="I7316" s="768" t="s">
        <v>1839</v>
      </c>
    </row>
    <row r="7317" spans="1:9" x14ac:dyDescent="0.25">
      <c r="A7317" s="753"/>
      <c r="C7317" s="131" t="s">
        <v>1117</v>
      </c>
      <c r="D7317" s="131">
        <v>16</v>
      </c>
      <c r="E7317" s="131" t="s">
        <v>1117</v>
      </c>
      <c r="F7317" s="767">
        <v>82763.5</v>
      </c>
      <c r="G7317" s="767">
        <v>0</v>
      </c>
      <c r="H7317" s="767">
        <v>82763.5</v>
      </c>
      <c r="I7317" s="768" t="s">
        <v>1840</v>
      </c>
    </row>
    <row r="7318" spans="1:9" x14ac:dyDescent="0.25">
      <c r="A7318" s="753"/>
      <c r="C7318" s="131" t="s">
        <v>388</v>
      </c>
      <c r="D7318" s="131">
        <v>16</v>
      </c>
      <c r="E7318" s="131" t="s">
        <v>388</v>
      </c>
      <c r="F7318" s="767">
        <v>-488096.67</v>
      </c>
      <c r="G7318" s="767">
        <v>-138273.37</v>
      </c>
      <c r="H7318" s="767">
        <v>-626370.04</v>
      </c>
      <c r="I7318" s="768" t="s">
        <v>1842</v>
      </c>
    </row>
    <row r="7319" spans="1:9" x14ac:dyDescent="0.25">
      <c r="A7319" s="753"/>
      <c r="C7319" s="131" t="s">
        <v>1157</v>
      </c>
      <c r="D7319" s="131">
        <v>16</v>
      </c>
      <c r="E7319" s="131" t="s">
        <v>1157</v>
      </c>
      <c r="F7319" s="767">
        <v>453839.9</v>
      </c>
      <c r="G7319" s="767">
        <v>126082.57</v>
      </c>
      <c r="H7319" s="767">
        <v>579922.47</v>
      </c>
      <c r="I7319" s="768" t="s">
        <v>1843</v>
      </c>
    </row>
    <row r="7320" spans="1:9" x14ac:dyDescent="0.25">
      <c r="A7320" s="753"/>
      <c r="C7320" s="131" t="s">
        <v>372</v>
      </c>
      <c r="D7320" s="131">
        <v>16</v>
      </c>
      <c r="E7320" s="131" t="s">
        <v>372</v>
      </c>
      <c r="F7320" s="767">
        <v>-1072320</v>
      </c>
      <c r="G7320" s="767">
        <v>-324698.42</v>
      </c>
      <c r="H7320" s="767">
        <v>-1397018.42</v>
      </c>
      <c r="I7320" s="768" t="s">
        <v>1845</v>
      </c>
    </row>
    <row r="7321" spans="1:9" x14ac:dyDescent="0.25">
      <c r="A7321" s="753"/>
      <c r="C7321" s="131" t="s">
        <v>1159</v>
      </c>
      <c r="D7321" s="131">
        <v>16</v>
      </c>
      <c r="E7321" s="131" t="s">
        <v>1159</v>
      </c>
      <c r="F7321" s="767">
        <v>1004366.9</v>
      </c>
      <c r="G7321" s="767">
        <v>299603.12</v>
      </c>
      <c r="H7321" s="767">
        <v>1303970.02</v>
      </c>
      <c r="I7321" s="768" t="s">
        <v>1846</v>
      </c>
    </row>
    <row r="7322" spans="1:9" x14ac:dyDescent="0.25">
      <c r="A7322" s="753"/>
      <c r="C7322" s="131" t="s">
        <v>389</v>
      </c>
      <c r="D7322" s="131">
        <v>16</v>
      </c>
      <c r="E7322" s="131" t="s">
        <v>389</v>
      </c>
      <c r="F7322" s="767">
        <v>-160941.5</v>
      </c>
      <c r="G7322" s="767">
        <v>0</v>
      </c>
      <c r="H7322" s="767">
        <v>-160941.5</v>
      </c>
      <c r="I7322" s="768" t="s">
        <v>2296</v>
      </c>
    </row>
    <row r="7323" spans="1:9" x14ac:dyDescent="0.25">
      <c r="A7323" s="753"/>
      <c r="C7323" s="131" t="s">
        <v>2297</v>
      </c>
      <c r="D7323" s="131">
        <v>16</v>
      </c>
      <c r="E7323" s="131" t="s">
        <v>2297</v>
      </c>
      <c r="F7323" s="767">
        <v>156088.57999999999</v>
      </c>
      <c r="G7323" s="767">
        <v>0</v>
      </c>
      <c r="H7323" s="767">
        <v>156088.57999999999</v>
      </c>
      <c r="I7323" s="768" t="s">
        <v>2298</v>
      </c>
    </row>
    <row r="7324" spans="1:9" x14ac:dyDescent="0.25">
      <c r="A7324" s="753"/>
      <c r="C7324" s="131" t="s">
        <v>373</v>
      </c>
      <c r="D7324" s="131">
        <v>16</v>
      </c>
      <c r="E7324" s="131" t="s">
        <v>373</v>
      </c>
      <c r="F7324" s="767">
        <v>-345515.77</v>
      </c>
      <c r="G7324" s="767">
        <v>0</v>
      </c>
      <c r="H7324" s="767">
        <v>-345515.77</v>
      </c>
      <c r="I7324" s="768" t="s">
        <v>2301</v>
      </c>
    </row>
    <row r="7325" spans="1:9" x14ac:dyDescent="0.25">
      <c r="A7325" s="753"/>
      <c r="C7325" s="131" t="s">
        <v>2302</v>
      </c>
      <c r="D7325" s="131">
        <v>16</v>
      </c>
      <c r="E7325" s="131" t="s">
        <v>2302</v>
      </c>
      <c r="F7325" s="767">
        <v>339379.44</v>
      </c>
      <c r="G7325" s="767">
        <v>0</v>
      </c>
      <c r="H7325" s="767">
        <v>339379.44</v>
      </c>
      <c r="I7325" s="768" t="s">
        <v>2303</v>
      </c>
    </row>
    <row r="7326" spans="1:9" x14ac:dyDescent="0.25">
      <c r="A7326" s="753"/>
      <c r="C7326" s="131" t="s">
        <v>365</v>
      </c>
      <c r="D7326" s="131">
        <v>16</v>
      </c>
      <c r="E7326" s="131" t="s">
        <v>365</v>
      </c>
      <c r="F7326" s="767">
        <v>-242245.5</v>
      </c>
      <c r="G7326" s="767">
        <v>0</v>
      </c>
      <c r="H7326" s="767">
        <v>-242245.5</v>
      </c>
      <c r="I7326" s="768" t="s">
        <v>1850</v>
      </c>
    </row>
    <row r="7327" spans="1:9" x14ac:dyDescent="0.25">
      <c r="A7327" s="753"/>
      <c r="C7327" s="131" t="s">
        <v>365</v>
      </c>
      <c r="D7327" s="131">
        <v>16</v>
      </c>
      <c r="E7327" s="131" t="s">
        <v>1139</v>
      </c>
      <c r="F7327" s="767">
        <v>-72260.61</v>
      </c>
      <c r="G7327" s="767">
        <v>0</v>
      </c>
      <c r="H7327" s="767">
        <v>-72260.61</v>
      </c>
      <c r="I7327" s="768" t="s">
        <v>1851</v>
      </c>
    </row>
    <row r="7328" spans="1:9" x14ac:dyDescent="0.25">
      <c r="A7328" s="753"/>
      <c r="C7328" s="131" t="s">
        <v>1161</v>
      </c>
      <c r="D7328" s="131">
        <v>16</v>
      </c>
      <c r="E7328" s="131" t="s">
        <v>1161</v>
      </c>
      <c r="F7328" s="767">
        <v>225357.57</v>
      </c>
      <c r="G7328" s="767">
        <v>0</v>
      </c>
      <c r="H7328" s="767">
        <v>225357.57</v>
      </c>
      <c r="I7328" s="768" t="s">
        <v>1852</v>
      </c>
    </row>
    <row r="7329" spans="1:9" x14ac:dyDescent="0.25">
      <c r="A7329" s="753"/>
      <c r="C7329" s="131" t="s">
        <v>1161</v>
      </c>
      <c r="D7329" s="131">
        <v>16</v>
      </c>
      <c r="E7329" s="131" t="s">
        <v>1140</v>
      </c>
      <c r="F7329" s="767">
        <v>65199.61</v>
      </c>
      <c r="G7329" s="767">
        <v>0</v>
      </c>
      <c r="H7329" s="767">
        <v>65199.61</v>
      </c>
      <c r="I7329" s="768" t="s">
        <v>1853</v>
      </c>
    </row>
    <row r="7330" spans="1:9" x14ac:dyDescent="0.25">
      <c r="A7330" s="753"/>
      <c r="C7330" s="131" t="s">
        <v>416</v>
      </c>
      <c r="D7330" s="131">
        <v>16</v>
      </c>
      <c r="E7330" s="131" t="s">
        <v>416</v>
      </c>
      <c r="F7330" s="767">
        <v>-97623.5</v>
      </c>
      <c r="G7330" s="767">
        <v>0</v>
      </c>
      <c r="H7330" s="767">
        <v>-97623.5</v>
      </c>
      <c r="I7330" s="768" t="s">
        <v>1854</v>
      </c>
    </row>
    <row r="7331" spans="1:9" x14ac:dyDescent="0.25">
      <c r="A7331" s="753"/>
      <c r="C7331" s="131" t="s">
        <v>1163</v>
      </c>
      <c r="D7331" s="131">
        <v>16</v>
      </c>
      <c r="E7331" s="131" t="s">
        <v>1163</v>
      </c>
      <c r="F7331" s="767">
        <v>90757.33</v>
      </c>
      <c r="G7331" s="767">
        <v>0</v>
      </c>
      <c r="H7331" s="767">
        <v>90757.33</v>
      </c>
      <c r="I7331" s="768" t="s">
        <v>1854</v>
      </c>
    </row>
    <row r="7332" spans="1:9" x14ac:dyDescent="0.25">
      <c r="A7332" s="753"/>
      <c r="C7332" s="131" t="s">
        <v>256</v>
      </c>
      <c r="D7332" s="131">
        <v>16</v>
      </c>
      <c r="E7332" s="131" t="s">
        <v>256</v>
      </c>
      <c r="F7332" s="767">
        <v>-121994.74</v>
      </c>
      <c r="G7332" s="767">
        <v>0</v>
      </c>
      <c r="H7332" s="767">
        <v>-121994.74</v>
      </c>
      <c r="I7332" s="768" t="s">
        <v>1856</v>
      </c>
    </row>
    <row r="7333" spans="1:9" x14ac:dyDescent="0.25">
      <c r="A7333" s="753"/>
      <c r="C7333" s="131" t="s">
        <v>1165</v>
      </c>
      <c r="D7333" s="131">
        <v>16</v>
      </c>
      <c r="E7333" s="131" t="s">
        <v>1165</v>
      </c>
      <c r="F7333" s="767">
        <v>116172.84</v>
      </c>
      <c r="G7333" s="767">
        <v>0</v>
      </c>
      <c r="H7333" s="767">
        <v>116172.84</v>
      </c>
      <c r="I7333" s="768" t="s">
        <v>1857</v>
      </c>
    </row>
    <row r="7334" spans="1:9" x14ac:dyDescent="0.25">
      <c r="A7334" s="753"/>
      <c r="C7334" s="131" t="s">
        <v>366</v>
      </c>
      <c r="D7334" s="131">
        <v>16</v>
      </c>
      <c r="E7334" s="131" t="s">
        <v>366</v>
      </c>
      <c r="F7334" s="767">
        <v>-133336.91</v>
      </c>
      <c r="G7334" s="767">
        <v>0</v>
      </c>
      <c r="H7334" s="767">
        <v>-133336.91</v>
      </c>
      <c r="I7334" s="768" t="s">
        <v>1859</v>
      </c>
    </row>
    <row r="7335" spans="1:9" x14ac:dyDescent="0.25">
      <c r="A7335" s="753"/>
      <c r="C7335" s="131" t="s">
        <v>1155</v>
      </c>
      <c r="D7335" s="131">
        <v>16</v>
      </c>
      <c r="E7335" s="131" t="s">
        <v>1155</v>
      </c>
      <c r="F7335" s="767">
        <v>124643.41</v>
      </c>
      <c r="G7335" s="767">
        <v>0</v>
      </c>
      <c r="H7335" s="767">
        <v>124643.41</v>
      </c>
      <c r="I7335" s="768" t="s">
        <v>1860</v>
      </c>
    </row>
    <row r="7336" spans="1:9" x14ac:dyDescent="0.25">
      <c r="A7336" s="753"/>
      <c r="C7336" s="131" t="s">
        <v>391</v>
      </c>
      <c r="D7336" s="131">
        <v>16</v>
      </c>
      <c r="E7336" s="131" t="s">
        <v>391</v>
      </c>
      <c r="F7336" s="767">
        <v>-227978.65</v>
      </c>
      <c r="G7336" s="767">
        <v>0</v>
      </c>
      <c r="H7336" s="767">
        <v>-227978.65</v>
      </c>
      <c r="I7336" s="768" t="s">
        <v>1862</v>
      </c>
    </row>
    <row r="7337" spans="1:9" x14ac:dyDescent="0.25">
      <c r="A7337" s="753"/>
      <c r="C7337" s="131" t="s">
        <v>1168</v>
      </c>
      <c r="D7337" s="131">
        <v>16</v>
      </c>
      <c r="E7337" s="131" t="s">
        <v>1168</v>
      </c>
      <c r="F7337" s="767">
        <v>216450.03</v>
      </c>
      <c r="G7337" s="767">
        <v>0</v>
      </c>
      <c r="H7337" s="767">
        <v>216450.03</v>
      </c>
      <c r="I7337" s="768" t="s">
        <v>1863</v>
      </c>
    </row>
    <row r="7338" spans="1:9" x14ac:dyDescent="0.25">
      <c r="A7338" s="753"/>
      <c r="C7338" s="131">
        <v>415</v>
      </c>
      <c r="D7338" s="131">
        <v>16</v>
      </c>
      <c r="E7338" s="131">
        <v>415</v>
      </c>
      <c r="F7338" s="767">
        <v>0</v>
      </c>
      <c r="G7338" s="767">
        <v>-140922.95000000001</v>
      </c>
      <c r="H7338" s="767">
        <v>-140922.95000000001</v>
      </c>
      <c r="I7338" s="768" t="s">
        <v>2306</v>
      </c>
    </row>
    <row r="7339" spans="1:9" x14ac:dyDescent="0.25">
      <c r="A7339" s="753"/>
      <c r="C7339" s="131">
        <v>615</v>
      </c>
      <c r="D7339" s="131">
        <v>16</v>
      </c>
      <c r="E7339" s="131">
        <v>615</v>
      </c>
      <c r="F7339" s="767">
        <v>0</v>
      </c>
      <c r="G7339" s="767">
        <v>135011.85</v>
      </c>
      <c r="H7339" s="767">
        <v>135011.85</v>
      </c>
      <c r="I7339" s="768" t="s">
        <v>2307</v>
      </c>
    </row>
    <row r="7340" spans="1:9" x14ac:dyDescent="0.25">
      <c r="A7340" s="753"/>
      <c r="C7340" s="131" t="s">
        <v>394</v>
      </c>
      <c r="D7340" s="131">
        <v>16</v>
      </c>
      <c r="E7340" s="131" t="s">
        <v>394</v>
      </c>
      <c r="F7340" s="767">
        <v>-118545.13</v>
      </c>
      <c r="G7340" s="767">
        <v>0</v>
      </c>
      <c r="H7340" s="767">
        <v>-118545.13</v>
      </c>
      <c r="I7340" s="768" t="s">
        <v>1865</v>
      </c>
    </row>
    <row r="7341" spans="1:9" x14ac:dyDescent="0.25">
      <c r="A7341" s="753"/>
      <c r="C7341" s="131" t="s">
        <v>1122</v>
      </c>
      <c r="D7341" s="131">
        <v>16</v>
      </c>
      <c r="E7341" s="131" t="s">
        <v>1122</v>
      </c>
      <c r="F7341" s="767">
        <v>118545.13</v>
      </c>
      <c r="G7341" s="767">
        <v>0</v>
      </c>
      <c r="H7341" s="767">
        <v>118545.13</v>
      </c>
      <c r="I7341" s="768" t="s">
        <v>1866</v>
      </c>
    </row>
    <row r="7342" spans="1:9" x14ac:dyDescent="0.25">
      <c r="A7342" s="753"/>
      <c r="C7342" s="131" t="s">
        <v>292</v>
      </c>
      <c r="D7342" s="131">
        <v>16</v>
      </c>
      <c r="E7342" s="131" t="s">
        <v>1080</v>
      </c>
      <c r="F7342" s="767">
        <v>-128273.5</v>
      </c>
      <c r="G7342" s="767">
        <v>0</v>
      </c>
      <c r="H7342" s="767">
        <v>-128273.5</v>
      </c>
      <c r="I7342" s="768" t="s">
        <v>1868</v>
      </c>
    </row>
    <row r="7343" spans="1:9" x14ac:dyDescent="0.25">
      <c r="A7343" s="753"/>
      <c r="C7343" s="131" t="s">
        <v>1174</v>
      </c>
      <c r="D7343" s="131">
        <v>16</v>
      </c>
      <c r="E7343" s="131" t="s">
        <v>1081</v>
      </c>
      <c r="F7343" s="767">
        <v>115038.03</v>
      </c>
      <c r="G7343" s="767">
        <v>0</v>
      </c>
      <c r="H7343" s="767">
        <v>115038.03</v>
      </c>
      <c r="I7343" s="768" t="s">
        <v>1869</v>
      </c>
    </row>
    <row r="7344" spans="1:9" x14ac:dyDescent="0.25">
      <c r="A7344" s="753"/>
      <c r="C7344" s="131" t="s">
        <v>297</v>
      </c>
      <c r="D7344" s="131">
        <v>16</v>
      </c>
      <c r="E7344" s="131" t="s">
        <v>297</v>
      </c>
      <c r="F7344" s="767">
        <v>-156342</v>
      </c>
      <c r="G7344" s="767">
        <v>0</v>
      </c>
      <c r="H7344" s="767">
        <v>-156342</v>
      </c>
      <c r="I7344" s="768" t="s">
        <v>1871</v>
      </c>
    </row>
    <row r="7345" spans="1:9" x14ac:dyDescent="0.25">
      <c r="A7345" s="753"/>
      <c r="C7345" s="131" t="s">
        <v>1083</v>
      </c>
      <c r="D7345" s="131">
        <v>16</v>
      </c>
      <c r="E7345" s="131" t="s">
        <v>1083</v>
      </c>
      <c r="F7345" s="767">
        <v>147709.57999999999</v>
      </c>
      <c r="G7345" s="767">
        <v>0</v>
      </c>
      <c r="H7345" s="767">
        <v>147709.57999999999</v>
      </c>
      <c r="I7345" s="768" t="s">
        <v>1872</v>
      </c>
    </row>
    <row r="7346" spans="1:9" x14ac:dyDescent="0.25">
      <c r="A7346" s="753"/>
      <c r="C7346" s="131" t="s">
        <v>299</v>
      </c>
      <c r="D7346" s="131">
        <v>16</v>
      </c>
      <c r="E7346" s="131" t="s">
        <v>299</v>
      </c>
      <c r="F7346" s="767">
        <v>-363200</v>
      </c>
      <c r="G7346" s="767">
        <v>0</v>
      </c>
      <c r="H7346" s="767">
        <v>-363200</v>
      </c>
      <c r="I7346" s="768" t="s">
        <v>1874</v>
      </c>
    </row>
    <row r="7347" spans="1:9" x14ac:dyDescent="0.25">
      <c r="A7347" s="753"/>
      <c r="C7347" s="131" t="s">
        <v>1180</v>
      </c>
      <c r="D7347" s="131">
        <v>16</v>
      </c>
      <c r="E7347" s="131" t="s">
        <v>1180</v>
      </c>
      <c r="F7347" s="767">
        <v>343503.43</v>
      </c>
      <c r="G7347" s="767">
        <v>0</v>
      </c>
      <c r="H7347" s="767">
        <v>343503.43</v>
      </c>
      <c r="I7347" s="768" t="s">
        <v>1875</v>
      </c>
    </row>
    <row r="7348" spans="1:9" x14ac:dyDescent="0.25">
      <c r="A7348" s="753"/>
      <c r="C7348" s="131">
        <v>409</v>
      </c>
      <c r="D7348" s="131">
        <v>16</v>
      </c>
      <c r="E7348" s="131">
        <v>409</v>
      </c>
      <c r="F7348" s="767">
        <v>-363098.13</v>
      </c>
      <c r="G7348" s="767">
        <v>-188223.59</v>
      </c>
      <c r="H7348" s="767">
        <v>-551321.72</v>
      </c>
      <c r="I7348" s="768" t="s">
        <v>1725</v>
      </c>
    </row>
    <row r="7349" spans="1:9" x14ac:dyDescent="0.25">
      <c r="A7349" s="753"/>
      <c r="C7349" s="131">
        <v>609</v>
      </c>
      <c r="D7349" s="131">
        <v>16</v>
      </c>
      <c r="E7349" s="131">
        <v>609</v>
      </c>
      <c r="F7349" s="767">
        <v>341003.75</v>
      </c>
      <c r="G7349" s="767">
        <v>179636.18</v>
      </c>
      <c r="H7349" s="767">
        <v>520639.93</v>
      </c>
      <c r="I7349" s="768" t="s">
        <v>1725</v>
      </c>
    </row>
    <row r="7350" spans="1:9" x14ac:dyDescent="0.25">
      <c r="A7350" s="753"/>
      <c r="C7350" s="131" t="s">
        <v>1102</v>
      </c>
      <c r="D7350" s="131">
        <v>16</v>
      </c>
      <c r="E7350" s="131" t="s">
        <v>1102</v>
      </c>
      <c r="F7350" s="767">
        <v>-90100.5</v>
      </c>
      <c r="G7350" s="767">
        <v>-79723.5</v>
      </c>
      <c r="H7350" s="767">
        <v>-169824</v>
      </c>
      <c r="I7350" s="768" t="s">
        <v>1726</v>
      </c>
    </row>
    <row r="7351" spans="1:9" x14ac:dyDescent="0.25">
      <c r="A7351" s="753"/>
      <c r="C7351" s="131" t="s">
        <v>1103</v>
      </c>
      <c r="D7351" s="131">
        <v>16</v>
      </c>
      <c r="E7351" s="131" t="s">
        <v>1103</v>
      </c>
      <c r="F7351" s="767">
        <v>84965.15</v>
      </c>
      <c r="G7351" s="767">
        <v>74349.23</v>
      </c>
      <c r="H7351" s="767">
        <v>159314.38</v>
      </c>
      <c r="I7351" s="768" t="s">
        <v>1726</v>
      </c>
    </row>
    <row r="7352" spans="1:9" x14ac:dyDescent="0.25">
      <c r="A7352" s="753"/>
      <c r="C7352" s="131">
        <v>418</v>
      </c>
      <c r="D7352" s="131">
        <v>16</v>
      </c>
      <c r="E7352" s="131">
        <v>418</v>
      </c>
      <c r="F7352" s="767">
        <v>-1440981.45</v>
      </c>
      <c r="G7352" s="767">
        <v>0</v>
      </c>
      <c r="H7352" s="767">
        <v>-1440981.45</v>
      </c>
      <c r="I7352" s="768" t="s">
        <v>1773</v>
      </c>
    </row>
    <row r="7353" spans="1:9" x14ac:dyDescent="0.25">
      <c r="A7353" s="753"/>
      <c r="C7353" s="131">
        <v>418</v>
      </c>
      <c r="D7353" s="131">
        <v>16</v>
      </c>
      <c r="E7353" s="131" t="s">
        <v>144</v>
      </c>
      <c r="F7353" s="767">
        <v>-927552.69</v>
      </c>
      <c r="G7353" s="767">
        <v>0</v>
      </c>
      <c r="H7353" s="767">
        <v>-927552.69</v>
      </c>
      <c r="I7353" s="768" t="s">
        <v>1774</v>
      </c>
    </row>
    <row r="7354" spans="1:9" x14ac:dyDescent="0.25">
      <c r="A7354" s="753"/>
      <c r="C7354" s="131">
        <v>618</v>
      </c>
      <c r="D7354" s="131">
        <v>16</v>
      </c>
      <c r="E7354" s="131">
        <v>618</v>
      </c>
      <c r="F7354" s="767">
        <v>1398430.52</v>
      </c>
      <c r="G7354" s="767">
        <v>0</v>
      </c>
      <c r="H7354" s="767">
        <v>1398430.52</v>
      </c>
      <c r="I7354" s="768" t="s">
        <v>1775</v>
      </c>
    </row>
    <row r="7355" spans="1:9" x14ac:dyDescent="0.25">
      <c r="A7355" s="753"/>
      <c r="C7355" s="131">
        <v>618</v>
      </c>
      <c r="D7355" s="131">
        <v>16</v>
      </c>
      <c r="E7355" s="131" t="s">
        <v>1056</v>
      </c>
      <c r="F7355" s="767">
        <v>905230.46</v>
      </c>
      <c r="G7355" s="767">
        <v>0</v>
      </c>
      <c r="H7355" s="767">
        <v>905230.46</v>
      </c>
      <c r="I7355" s="768" t="s">
        <v>1776</v>
      </c>
    </row>
    <row r="7356" spans="1:9" x14ac:dyDescent="0.25">
      <c r="A7356" s="753"/>
      <c r="C7356" s="131">
        <v>419</v>
      </c>
      <c r="D7356" s="131">
        <v>16</v>
      </c>
      <c r="E7356" s="131">
        <v>419</v>
      </c>
      <c r="F7356" s="767">
        <v>-253973.5</v>
      </c>
      <c r="G7356" s="767">
        <v>-71375.3</v>
      </c>
      <c r="H7356" s="767">
        <v>-325348.8</v>
      </c>
      <c r="I7356" s="768" t="s">
        <v>1778</v>
      </c>
    </row>
    <row r="7357" spans="1:9" x14ac:dyDescent="0.25">
      <c r="A7357" s="753"/>
      <c r="C7357" s="131">
        <v>619</v>
      </c>
      <c r="D7357" s="131">
        <v>16</v>
      </c>
      <c r="E7357" s="131">
        <v>619</v>
      </c>
      <c r="F7357" s="767">
        <v>241009.33</v>
      </c>
      <c r="G7357" s="767">
        <v>70959.12</v>
      </c>
      <c r="H7357" s="767">
        <v>311968.45</v>
      </c>
      <c r="I7357" s="768" t="s">
        <v>1779</v>
      </c>
    </row>
    <row r="7358" spans="1:9" x14ac:dyDescent="0.25">
      <c r="A7358" s="753"/>
      <c r="C7358" s="131" t="s">
        <v>226</v>
      </c>
      <c r="D7358" s="131">
        <v>16</v>
      </c>
      <c r="E7358" s="131" t="s">
        <v>226</v>
      </c>
      <c r="F7358" s="767">
        <v>-324517</v>
      </c>
      <c r="G7358" s="767">
        <v>-35867.599999999999</v>
      </c>
      <c r="H7358" s="767">
        <v>-360384.6</v>
      </c>
      <c r="I7358" s="768" t="s">
        <v>1780</v>
      </c>
    </row>
    <row r="7359" spans="1:9" x14ac:dyDescent="0.25">
      <c r="A7359" s="753"/>
      <c r="C7359" s="131" t="s">
        <v>1126</v>
      </c>
      <c r="D7359" s="131">
        <v>16</v>
      </c>
      <c r="E7359" s="131" t="s">
        <v>1126</v>
      </c>
      <c r="F7359" s="767">
        <v>-89737.82</v>
      </c>
      <c r="G7359" s="767">
        <v>-10469.99</v>
      </c>
      <c r="H7359" s="767">
        <v>-100207.81</v>
      </c>
      <c r="I7359" s="768" t="s">
        <v>1793</v>
      </c>
    </row>
    <row r="7360" spans="1:9" x14ac:dyDescent="0.25">
      <c r="A7360" s="753"/>
      <c r="C7360" s="131" t="s">
        <v>1126</v>
      </c>
      <c r="D7360" s="131">
        <v>16</v>
      </c>
      <c r="E7360" s="131" t="s">
        <v>1170</v>
      </c>
      <c r="F7360" s="767">
        <v>-1769.38</v>
      </c>
      <c r="G7360" s="767">
        <v>0</v>
      </c>
      <c r="H7360" s="767">
        <v>-1769.38</v>
      </c>
      <c r="I7360" s="768" t="s">
        <v>1794</v>
      </c>
    </row>
    <row r="7361" spans="1:9" x14ac:dyDescent="0.25">
      <c r="A7361" s="753"/>
      <c r="C7361" s="131" t="s">
        <v>1126</v>
      </c>
      <c r="D7361" s="131">
        <v>16</v>
      </c>
      <c r="E7361" s="131" t="s">
        <v>1795</v>
      </c>
      <c r="F7361" s="767">
        <v>-118382</v>
      </c>
      <c r="G7361" s="767">
        <v>-10194</v>
      </c>
      <c r="H7361" s="767">
        <v>-128576</v>
      </c>
      <c r="I7361" s="768" t="s">
        <v>1796</v>
      </c>
    </row>
    <row r="7362" spans="1:9" x14ac:dyDescent="0.25">
      <c r="A7362" s="753"/>
      <c r="C7362" s="131" t="s">
        <v>1126</v>
      </c>
      <c r="D7362" s="131">
        <v>16</v>
      </c>
      <c r="E7362" s="131" t="s">
        <v>1797</v>
      </c>
      <c r="F7362" s="767">
        <v>-10120</v>
      </c>
      <c r="G7362" s="767">
        <v>0</v>
      </c>
      <c r="H7362" s="767">
        <v>-10120</v>
      </c>
      <c r="I7362" s="768" t="s">
        <v>1798</v>
      </c>
    </row>
    <row r="7363" spans="1:9" x14ac:dyDescent="0.25">
      <c r="A7363" s="753"/>
      <c r="C7363" s="131" t="s">
        <v>1126</v>
      </c>
      <c r="D7363" s="131">
        <v>16</v>
      </c>
      <c r="E7363" s="131" t="s">
        <v>1799</v>
      </c>
      <c r="F7363" s="767">
        <v>-8310</v>
      </c>
      <c r="G7363" s="767">
        <v>0</v>
      </c>
      <c r="H7363" s="767">
        <v>-8310</v>
      </c>
      <c r="I7363" s="768" t="s">
        <v>1800</v>
      </c>
    </row>
    <row r="7364" spans="1:9" x14ac:dyDescent="0.25">
      <c r="A7364" s="753"/>
      <c r="C7364" s="131" t="s">
        <v>1126</v>
      </c>
      <c r="D7364" s="131">
        <v>16</v>
      </c>
      <c r="E7364" s="131" t="s">
        <v>1149</v>
      </c>
      <c r="F7364" s="767">
        <v>-196190.88</v>
      </c>
      <c r="G7364" s="767">
        <v>-18865</v>
      </c>
      <c r="H7364" s="767">
        <v>-215055.88</v>
      </c>
      <c r="I7364" s="768" t="s">
        <v>1801</v>
      </c>
    </row>
    <row r="7365" spans="1:9" x14ac:dyDescent="0.25">
      <c r="A7365" s="753"/>
      <c r="C7365" s="131" t="s">
        <v>1126</v>
      </c>
      <c r="D7365" s="131">
        <v>16</v>
      </c>
      <c r="E7365" s="131" t="s">
        <v>1802</v>
      </c>
      <c r="F7365" s="767">
        <v>-4815</v>
      </c>
      <c r="G7365" s="767">
        <v>0</v>
      </c>
      <c r="H7365" s="767">
        <v>-4815</v>
      </c>
      <c r="I7365" s="768" t="s">
        <v>1803</v>
      </c>
    </row>
    <row r="7366" spans="1:9" x14ac:dyDescent="0.25">
      <c r="A7366" s="753"/>
      <c r="C7366" s="131" t="s">
        <v>1126</v>
      </c>
      <c r="D7366" s="131">
        <v>16</v>
      </c>
      <c r="E7366" s="131" t="s">
        <v>973</v>
      </c>
      <c r="F7366" s="767">
        <v>-108290</v>
      </c>
      <c r="G7366" s="767">
        <v>-13685</v>
      </c>
      <c r="H7366" s="767">
        <v>-121975</v>
      </c>
      <c r="I7366" s="768" t="s">
        <v>1804</v>
      </c>
    </row>
    <row r="7367" spans="1:9" x14ac:dyDescent="0.25">
      <c r="A7367" s="753"/>
      <c r="C7367" s="131" t="s">
        <v>1126</v>
      </c>
      <c r="D7367" s="131">
        <v>16</v>
      </c>
      <c r="E7367" s="131" t="s">
        <v>126</v>
      </c>
      <c r="F7367" s="767">
        <v>-41380.5</v>
      </c>
      <c r="G7367" s="767">
        <v>-3046</v>
      </c>
      <c r="H7367" s="767">
        <v>-44426.5</v>
      </c>
      <c r="I7367" s="768" t="s">
        <v>1805</v>
      </c>
    </row>
    <row r="7368" spans="1:9" x14ac:dyDescent="0.25">
      <c r="A7368" s="753"/>
      <c r="C7368" s="131" t="s">
        <v>1127</v>
      </c>
      <c r="D7368" s="131">
        <v>16</v>
      </c>
      <c r="E7368" s="131" t="s">
        <v>1127</v>
      </c>
      <c r="F7368" s="767">
        <v>18783.349999999999</v>
      </c>
      <c r="G7368" s="767">
        <v>1934.9</v>
      </c>
      <c r="H7368" s="767">
        <v>20718.25</v>
      </c>
      <c r="I7368" s="768" t="s">
        <v>1806</v>
      </c>
    </row>
    <row r="7369" spans="1:9" x14ac:dyDescent="0.25">
      <c r="A7369" s="753"/>
      <c r="C7369" s="131" t="s">
        <v>1127</v>
      </c>
      <c r="D7369" s="131">
        <v>16</v>
      </c>
      <c r="E7369" s="131" t="s">
        <v>1807</v>
      </c>
      <c r="F7369" s="767">
        <v>87942</v>
      </c>
      <c r="G7369" s="767">
        <v>7464</v>
      </c>
      <c r="H7369" s="767">
        <v>95406</v>
      </c>
      <c r="I7369" s="768" t="s">
        <v>1808</v>
      </c>
    </row>
    <row r="7370" spans="1:9" x14ac:dyDescent="0.25">
      <c r="A7370" s="753"/>
      <c r="C7370" s="131" t="s">
        <v>1127</v>
      </c>
      <c r="D7370" s="131">
        <v>16</v>
      </c>
      <c r="E7370" s="131" t="s">
        <v>1809</v>
      </c>
      <c r="F7370" s="767">
        <v>7084</v>
      </c>
      <c r="G7370" s="767">
        <v>0</v>
      </c>
      <c r="H7370" s="767">
        <v>7084</v>
      </c>
      <c r="I7370" s="768" t="s">
        <v>1810</v>
      </c>
    </row>
    <row r="7371" spans="1:9" x14ac:dyDescent="0.25">
      <c r="A7371" s="753"/>
      <c r="C7371" s="131" t="s">
        <v>1127</v>
      </c>
      <c r="D7371" s="131">
        <v>16</v>
      </c>
      <c r="E7371" s="131" t="s">
        <v>1811</v>
      </c>
      <c r="F7371" s="767">
        <v>5210</v>
      </c>
      <c r="G7371" s="767">
        <v>0</v>
      </c>
      <c r="H7371" s="767">
        <v>5210</v>
      </c>
      <c r="I7371" s="768" t="s">
        <v>1812</v>
      </c>
    </row>
    <row r="7372" spans="1:9" x14ac:dyDescent="0.25">
      <c r="A7372" s="753"/>
      <c r="C7372" s="131" t="s">
        <v>1127</v>
      </c>
      <c r="D7372" s="131">
        <v>16</v>
      </c>
      <c r="E7372" s="131" t="s">
        <v>1150</v>
      </c>
      <c r="F7372" s="767">
        <v>82708.88</v>
      </c>
      <c r="G7372" s="767">
        <v>7700</v>
      </c>
      <c r="H7372" s="767">
        <v>90408.88</v>
      </c>
      <c r="I7372" s="768" t="s">
        <v>1813</v>
      </c>
    </row>
    <row r="7373" spans="1:9" x14ac:dyDescent="0.25">
      <c r="A7373" s="753"/>
      <c r="C7373" s="131" t="s">
        <v>1127</v>
      </c>
      <c r="D7373" s="131">
        <v>16</v>
      </c>
      <c r="E7373" s="131" t="s">
        <v>1814</v>
      </c>
      <c r="F7373" s="767">
        <v>2355.4</v>
      </c>
      <c r="G7373" s="767">
        <v>0</v>
      </c>
      <c r="H7373" s="767">
        <v>2355.4</v>
      </c>
      <c r="I7373" s="768" t="s">
        <v>1815</v>
      </c>
    </row>
    <row r="7374" spans="1:9" x14ac:dyDescent="0.25">
      <c r="A7374" s="753"/>
      <c r="C7374" s="131" t="s">
        <v>1127</v>
      </c>
      <c r="D7374" s="131">
        <v>16</v>
      </c>
      <c r="E7374" s="131" t="s">
        <v>1058</v>
      </c>
      <c r="F7374" s="767">
        <v>26863</v>
      </c>
      <c r="G7374" s="767">
        <v>2009.95</v>
      </c>
      <c r="H7374" s="767">
        <v>28872.95</v>
      </c>
      <c r="I7374" s="768" t="s">
        <v>1816</v>
      </c>
    </row>
    <row r="7375" spans="1:9" x14ac:dyDescent="0.25">
      <c r="A7375" s="753"/>
      <c r="C7375" s="131" t="s">
        <v>1129</v>
      </c>
      <c r="D7375" s="131">
        <v>16</v>
      </c>
      <c r="E7375" s="131" t="s">
        <v>1129</v>
      </c>
      <c r="F7375" s="767">
        <v>-114317.94</v>
      </c>
      <c r="G7375" s="767">
        <v>-15368</v>
      </c>
      <c r="H7375" s="767">
        <v>-129685.94</v>
      </c>
      <c r="I7375" s="768" t="s">
        <v>1818</v>
      </c>
    </row>
    <row r="7376" spans="1:9" x14ac:dyDescent="0.25">
      <c r="A7376" s="753"/>
      <c r="C7376" s="131" t="s">
        <v>1130</v>
      </c>
      <c r="D7376" s="131">
        <v>16</v>
      </c>
      <c r="E7376" s="131" t="s">
        <v>1130</v>
      </c>
      <c r="F7376" s="767">
        <v>64063</v>
      </c>
      <c r="G7376" s="767">
        <v>10427</v>
      </c>
      <c r="H7376" s="767">
        <v>74490</v>
      </c>
      <c r="I7376" s="768" t="s">
        <v>1819</v>
      </c>
    </row>
    <row r="7377" spans="1:9" x14ac:dyDescent="0.25">
      <c r="A7377" s="753"/>
      <c r="C7377" s="131" t="s">
        <v>1132</v>
      </c>
      <c r="D7377" s="131">
        <v>16</v>
      </c>
      <c r="E7377" s="131" t="s">
        <v>1132</v>
      </c>
      <c r="F7377" s="767">
        <v>-31815.1</v>
      </c>
      <c r="G7377" s="767">
        <v>-3545.2</v>
      </c>
      <c r="H7377" s="767">
        <v>-35360.300000000003</v>
      </c>
      <c r="I7377" s="768" t="s">
        <v>1821</v>
      </c>
    </row>
    <row r="7378" spans="1:9" x14ac:dyDescent="0.25">
      <c r="A7378" s="753"/>
      <c r="C7378" s="131" t="s">
        <v>1133</v>
      </c>
      <c r="D7378" s="131">
        <v>16</v>
      </c>
      <c r="E7378" s="131" t="s">
        <v>1133</v>
      </c>
      <c r="F7378" s="767">
        <v>22107.3</v>
      </c>
      <c r="G7378" s="767">
        <v>2729.1</v>
      </c>
      <c r="H7378" s="767">
        <v>24836.400000000001</v>
      </c>
      <c r="I7378" s="768" t="s">
        <v>1822</v>
      </c>
    </row>
    <row r="7379" spans="1:9" x14ac:dyDescent="0.25">
      <c r="A7379" s="753"/>
      <c r="C7379" s="131" t="s">
        <v>1060</v>
      </c>
      <c r="D7379" s="131">
        <v>16</v>
      </c>
      <c r="E7379" s="131" t="s">
        <v>1060</v>
      </c>
      <c r="F7379" s="767">
        <v>-1460919</v>
      </c>
      <c r="G7379" s="767">
        <v>-53091</v>
      </c>
      <c r="H7379" s="767">
        <v>-1514010</v>
      </c>
      <c r="I7379" s="768" t="s">
        <v>1609</v>
      </c>
    </row>
    <row r="7380" spans="1:9" x14ac:dyDescent="0.25">
      <c r="A7380" s="753"/>
      <c r="C7380" s="131" t="s">
        <v>1061</v>
      </c>
      <c r="D7380" s="131">
        <v>16</v>
      </c>
      <c r="E7380" s="131" t="s">
        <v>1061</v>
      </c>
      <c r="F7380" s="767">
        <v>-1549824.14</v>
      </c>
      <c r="G7380" s="767">
        <v>-195712.38</v>
      </c>
      <c r="H7380" s="767">
        <v>-1745536.52</v>
      </c>
      <c r="I7380" s="768" t="s">
        <v>1610</v>
      </c>
    </row>
    <row r="7381" spans="1:9" x14ac:dyDescent="0.25">
      <c r="A7381" s="753"/>
      <c r="C7381" s="131" t="s">
        <v>1062</v>
      </c>
      <c r="D7381" s="131">
        <v>16</v>
      </c>
      <c r="E7381" s="131" t="s">
        <v>1062</v>
      </c>
      <c r="F7381" s="767">
        <v>1375160.23</v>
      </c>
      <c r="G7381" s="767">
        <v>47910.8</v>
      </c>
      <c r="H7381" s="767">
        <v>1423071.03</v>
      </c>
      <c r="I7381" s="768" t="s">
        <v>1611</v>
      </c>
    </row>
    <row r="7382" spans="1:9" x14ac:dyDescent="0.25">
      <c r="A7382" s="753"/>
      <c r="C7382" s="131" t="s">
        <v>1063</v>
      </c>
      <c r="D7382" s="131">
        <v>16</v>
      </c>
      <c r="E7382" s="131" t="s">
        <v>1063</v>
      </c>
      <c r="F7382" s="767">
        <v>1475708.6</v>
      </c>
      <c r="G7382" s="767">
        <v>186649.34</v>
      </c>
      <c r="H7382" s="767">
        <v>1662357.94</v>
      </c>
      <c r="I7382" s="768" t="s">
        <v>1612</v>
      </c>
    </row>
    <row r="7383" spans="1:9" x14ac:dyDescent="0.25">
      <c r="A7383" s="753"/>
      <c r="C7383" s="131" t="s">
        <v>1064</v>
      </c>
      <c r="D7383" s="131">
        <v>16</v>
      </c>
      <c r="E7383" s="131" t="s">
        <v>1064</v>
      </c>
      <c r="F7383" s="767">
        <v>21586.03</v>
      </c>
      <c r="G7383" s="767">
        <v>462.45</v>
      </c>
      <c r="H7383" s="767">
        <v>22048.48</v>
      </c>
      <c r="I7383" s="768" t="s">
        <v>1613</v>
      </c>
    </row>
    <row r="7384" spans="1:9" x14ac:dyDescent="0.25">
      <c r="A7384" s="753"/>
      <c r="C7384" s="131" t="s">
        <v>1065</v>
      </c>
      <c r="D7384" s="131">
        <v>16</v>
      </c>
      <c r="E7384" s="131" t="s">
        <v>1065</v>
      </c>
      <c r="F7384" s="767">
        <v>18995.09</v>
      </c>
      <c r="G7384" s="767">
        <v>3073.52</v>
      </c>
      <c r="H7384" s="767">
        <v>22068.61</v>
      </c>
      <c r="I7384" s="768" t="s">
        <v>1614</v>
      </c>
    </row>
    <row r="7385" spans="1:9" x14ac:dyDescent="0.25">
      <c r="A7385" s="753"/>
      <c r="C7385" s="131" t="s">
        <v>1067</v>
      </c>
      <c r="D7385" s="131">
        <v>16</v>
      </c>
      <c r="E7385" s="131" t="s">
        <v>1067</v>
      </c>
      <c r="F7385" s="767">
        <v>-1130418.73</v>
      </c>
      <c r="G7385" s="767">
        <v>-109756</v>
      </c>
      <c r="H7385" s="767">
        <v>-1240174.73</v>
      </c>
      <c r="I7385" s="768" t="s">
        <v>1618</v>
      </c>
    </row>
    <row r="7386" spans="1:9" x14ac:dyDescent="0.25">
      <c r="A7386" s="753"/>
      <c r="C7386" s="131" t="s">
        <v>1068</v>
      </c>
      <c r="D7386" s="131">
        <v>16</v>
      </c>
      <c r="E7386" s="131" t="s">
        <v>1068</v>
      </c>
      <c r="F7386" s="767">
        <v>-1119790.01</v>
      </c>
      <c r="G7386" s="767">
        <v>-77747</v>
      </c>
      <c r="H7386" s="767">
        <v>-1197537.01</v>
      </c>
      <c r="I7386" s="768" t="s">
        <v>1619</v>
      </c>
    </row>
    <row r="7387" spans="1:9" x14ac:dyDescent="0.25">
      <c r="A7387" s="753"/>
      <c r="C7387" s="131" t="s">
        <v>1069</v>
      </c>
      <c r="D7387" s="131">
        <v>16</v>
      </c>
      <c r="E7387" s="131" t="s">
        <v>1069</v>
      </c>
      <c r="F7387" s="767">
        <v>1022346.95</v>
      </c>
      <c r="G7387" s="767">
        <v>96071.65</v>
      </c>
      <c r="H7387" s="767">
        <v>1118418.6000000001</v>
      </c>
      <c r="I7387" s="768" t="s">
        <v>1620</v>
      </c>
    </row>
    <row r="7388" spans="1:9" x14ac:dyDescent="0.25">
      <c r="A7388" s="753"/>
      <c r="C7388" s="131" t="s">
        <v>1621</v>
      </c>
      <c r="D7388" s="131">
        <v>16</v>
      </c>
      <c r="E7388" s="131" t="s">
        <v>1621</v>
      </c>
      <c r="F7388" s="767">
        <v>1010840.53</v>
      </c>
      <c r="G7388" s="767">
        <v>65873.399999999994</v>
      </c>
      <c r="H7388" s="767">
        <v>1076713.93</v>
      </c>
      <c r="I7388" s="768" t="s">
        <v>1622</v>
      </c>
    </row>
    <row r="7389" spans="1:9" x14ac:dyDescent="0.25">
      <c r="A7389" s="753"/>
      <c r="C7389" s="131" t="s">
        <v>1070</v>
      </c>
      <c r="D7389" s="131">
        <v>16</v>
      </c>
      <c r="E7389" s="131" t="s">
        <v>1070</v>
      </c>
      <c r="F7389" s="767">
        <v>49886.239999999998</v>
      </c>
      <c r="G7389" s="767">
        <v>2176.36</v>
      </c>
      <c r="H7389" s="767">
        <v>52062.6</v>
      </c>
      <c r="I7389" s="768" t="s">
        <v>1623</v>
      </c>
    </row>
    <row r="7390" spans="1:9" x14ac:dyDescent="0.25">
      <c r="A7390" s="753"/>
      <c r="C7390" s="131" t="s">
        <v>1071</v>
      </c>
      <c r="D7390" s="131">
        <v>16</v>
      </c>
      <c r="E7390" s="131" t="s">
        <v>1071</v>
      </c>
      <c r="F7390" s="767">
        <v>58297.48</v>
      </c>
      <c r="G7390" s="767">
        <v>1557.59</v>
      </c>
      <c r="H7390" s="767">
        <v>59855.07</v>
      </c>
      <c r="I7390" s="768" t="s">
        <v>1624</v>
      </c>
    </row>
    <row r="7391" spans="1:9" x14ac:dyDescent="0.25">
      <c r="A7391" s="753"/>
      <c r="C7391" s="131" t="s">
        <v>1073</v>
      </c>
      <c r="D7391" s="131">
        <v>16</v>
      </c>
      <c r="E7391" s="131" t="s">
        <v>1073</v>
      </c>
      <c r="F7391" s="767">
        <v>-965583</v>
      </c>
      <c r="G7391" s="767">
        <v>-284605</v>
      </c>
      <c r="H7391" s="767">
        <v>-1250188</v>
      </c>
      <c r="I7391" s="768" t="s">
        <v>1628</v>
      </c>
    </row>
    <row r="7392" spans="1:9" x14ac:dyDescent="0.25">
      <c r="A7392" s="753"/>
      <c r="C7392" s="131" t="s">
        <v>1074</v>
      </c>
      <c r="D7392" s="131">
        <v>16</v>
      </c>
      <c r="E7392" s="131" t="s">
        <v>1074</v>
      </c>
      <c r="F7392" s="767">
        <v>-1430324.1</v>
      </c>
      <c r="G7392" s="767">
        <v>-390900</v>
      </c>
      <c r="H7392" s="767">
        <v>-1821224.1</v>
      </c>
      <c r="I7392" s="768" t="s">
        <v>1629</v>
      </c>
    </row>
    <row r="7393" spans="1:9" x14ac:dyDescent="0.25">
      <c r="A7393" s="753"/>
      <c r="C7393" s="131" t="s">
        <v>1075</v>
      </c>
      <c r="D7393" s="131">
        <v>16</v>
      </c>
      <c r="E7393" s="131" t="s">
        <v>1075</v>
      </c>
      <c r="F7393" s="767">
        <v>954358.14</v>
      </c>
      <c r="G7393" s="767">
        <v>291394.84000000003</v>
      </c>
      <c r="H7393" s="767">
        <v>1245752.98</v>
      </c>
      <c r="I7393" s="768" t="s">
        <v>1630</v>
      </c>
    </row>
    <row r="7394" spans="1:9" x14ac:dyDescent="0.25">
      <c r="A7394" s="753"/>
      <c r="C7394" s="131" t="s">
        <v>1076</v>
      </c>
      <c r="D7394" s="131">
        <v>16</v>
      </c>
      <c r="E7394" s="131" t="s">
        <v>1076</v>
      </c>
      <c r="F7394" s="767">
        <v>1420210.23</v>
      </c>
      <c r="G7394" s="767">
        <v>376052.95</v>
      </c>
      <c r="H7394" s="767">
        <v>1796263.18</v>
      </c>
      <c r="I7394" s="768" t="s">
        <v>1631</v>
      </c>
    </row>
    <row r="7395" spans="1:9" x14ac:dyDescent="0.25">
      <c r="A7395" s="753"/>
      <c r="C7395" s="131">
        <v>448</v>
      </c>
      <c r="D7395" s="131">
        <v>16</v>
      </c>
      <c r="E7395" s="131">
        <v>448</v>
      </c>
      <c r="F7395" s="767">
        <v>-1190183.3500000001</v>
      </c>
      <c r="G7395" s="767">
        <v>-142311.89000000001</v>
      </c>
      <c r="H7395" s="767">
        <v>-1332495.24</v>
      </c>
      <c r="I7395" s="768" t="s">
        <v>1633</v>
      </c>
    </row>
    <row r="7396" spans="1:9" x14ac:dyDescent="0.25">
      <c r="A7396" s="753"/>
      <c r="C7396" s="131">
        <v>648</v>
      </c>
      <c r="D7396" s="131">
        <v>16</v>
      </c>
      <c r="E7396" s="131">
        <v>648</v>
      </c>
      <c r="F7396" s="767">
        <v>1150313.78</v>
      </c>
      <c r="G7396" s="767">
        <v>138940.88</v>
      </c>
      <c r="H7396" s="767">
        <v>1289254.6599999999</v>
      </c>
      <c r="I7396" s="768" t="s">
        <v>1634</v>
      </c>
    </row>
    <row r="7397" spans="1:9" x14ac:dyDescent="0.25">
      <c r="A7397" s="753"/>
      <c r="C7397" s="131">
        <v>450</v>
      </c>
      <c r="D7397" s="131">
        <v>16</v>
      </c>
      <c r="E7397" s="131" t="s">
        <v>296</v>
      </c>
      <c r="F7397" s="767">
        <v>-24681.279999999999</v>
      </c>
      <c r="G7397" s="767">
        <v>-1050.4000000000001</v>
      </c>
      <c r="H7397" s="767">
        <v>-25731.68</v>
      </c>
      <c r="I7397" s="768" t="s">
        <v>1641</v>
      </c>
    </row>
    <row r="7398" spans="1:9" x14ac:dyDescent="0.25">
      <c r="A7398" s="753"/>
      <c r="C7398" s="131">
        <v>450</v>
      </c>
      <c r="D7398" s="131">
        <v>16</v>
      </c>
      <c r="E7398" s="131" t="s">
        <v>1642</v>
      </c>
      <c r="F7398" s="767">
        <v>-1526</v>
      </c>
      <c r="G7398" s="767">
        <v>0</v>
      </c>
      <c r="H7398" s="767">
        <v>-1526</v>
      </c>
      <c r="I7398" s="768" t="s">
        <v>1643</v>
      </c>
    </row>
    <row r="7399" spans="1:9" x14ac:dyDescent="0.25">
      <c r="A7399" s="753"/>
      <c r="C7399" s="131">
        <v>450</v>
      </c>
      <c r="D7399" s="131">
        <v>16</v>
      </c>
      <c r="E7399" s="131">
        <v>450</v>
      </c>
      <c r="F7399" s="767">
        <v>-15561</v>
      </c>
      <c r="G7399" s="767">
        <v>-1596</v>
      </c>
      <c r="H7399" s="767">
        <v>-17157</v>
      </c>
      <c r="I7399" s="768" t="s">
        <v>1644</v>
      </c>
    </row>
    <row r="7400" spans="1:9" x14ac:dyDescent="0.25">
      <c r="A7400" s="753"/>
      <c r="C7400" s="131">
        <v>450</v>
      </c>
      <c r="D7400" s="131">
        <v>16</v>
      </c>
      <c r="E7400" s="131" t="s">
        <v>1645</v>
      </c>
      <c r="F7400" s="767">
        <v>-675</v>
      </c>
      <c r="G7400" s="767">
        <v>0</v>
      </c>
      <c r="H7400" s="767">
        <v>-675</v>
      </c>
      <c r="I7400" s="768" t="s">
        <v>1646</v>
      </c>
    </row>
    <row r="7401" spans="1:9" x14ac:dyDescent="0.25">
      <c r="A7401" s="753"/>
      <c r="C7401" s="131">
        <v>450</v>
      </c>
      <c r="D7401" s="131">
        <v>16</v>
      </c>
      <c r="E7401" s="131" t="s">
        <v>295</v>
      </c>
      <c r="F7401" s="767">
        <v>-9310</v>
      </c>
      <c r="G7401" s="767">
        <v>-545</v>
      </c>
      <c r="H7401" s="767">
        <v>-9855</v>
      </c>
      <c r="I7401" s="768" t="s">
        <v>1647</v>
      </c>
    </row>
    <row r="7402" spans="1:9" x14ac:dyDescent="0.25">
      <c r="A7402" s="753"/>
      <c r="C7402" s="131">
        <v>450</v>
      </c>
      <c r="D7402" s="131">
        <v>16</v>
      </c>
      <c r="E7402" s="131" t="s">
        <v>1648</v>
      </c>
      <c r="F7402" s="767">
        <v>-965</v>
      </c>
      <c r="G7402" s="767">
        <v>0</v>
      </c>
      <c r="H7402" s="767">
        <v>-965</v>
      </c>
      <c r="I7402" s="768" t="s">
        <v>1649</v>
      </c>
    </row>
    <row r="7403" spans="1:9" x14ac:dyDescent="0.25">
      <c r="A7403" s="753"/>
      <c r="C7403" s="131">
        <v>450</v>
      </c>
      <c r="D7403" s="131">
        <v>16</v>
      </c>
      <c r="E7403" s="131" t="s">
        <v>974</v>
      </c>
      <c r="F7403" s="767">
        <v>-80920</v>
      </c>
      <c r="G7403" s="767">
        <v>-7140</v>
      </c>
      <c r="H7403" s="767">
        <v>-88060</v>
      </c>
      <c r="I7403" s="768" t="s">
        <v>1650</v>
      </c>
    </row>
    <row r="7404" spans="1:9" x14ac:dyDescent="0.25">
      <c r="A7404" s="753"/>
      <c r="C7404" s="131">
        <v>450</v>
      </c>
      <c r="D7404" s="131">
        <v>16</v>
      </c>
      <c r="E7404" s="131" t="s">
        <v>292</v>
      </c>
      <c r="F7404" s="767">
        <v>-2798</v>
      </c>
      <c r="G7404" s="767">
        <v>0</v>
      </c>
      <c r="H7404" s="767">
        <v>-2798</v>
      </c>
      <c r="I7404" s="768" t="s">
        <v>1651</v>
      </c>
    </row>
    <row r="7405" spans="1:9" x14ac:dyDescent="0.25">
      <c r="A7405" s="753"/>
      <c r="C7405" s="131">
        <v>450</v>
      </c>
      <c r="D7405" s="131">
        <v>16</v>
      </c>
      <c r="E7405" s="131" t="s">
        <v>1652</v>
      </c>
      <c r="F7405" s="767">
        <v>1068.2</v>
      </c>
      <c r="G7405" s="767">
        <v>0</v>
      </c>
      <c r="H7405" s="767">
        <v>1068.2</v>
      </c>
      <c r="I7405" s="768" t="s">
        <v>1653</v>
      </c>
    </row>
    <row r="7406" spans="1:9" x14ac:dyDescent="0.25">
      <c r="A7406" s="753"/>
      <c r="C7406" s="131">
        <v>450</v>
      </c>
      <c r="D7406" s="131">
        <v>16</v>
      </c>
      <c r="E7406" s="131" t="s">
        <v>1176</v>
      </c>
      <c r="F7406" s="767">
        <v>6380</v>
      </c>
      <c r="G7406" s="767">
        <v>545</v>
      </c>
      <c r="H7406" s="767">
        <v>6925</v>
      </c>
      <c r="I7406" s="768" t="s">
        <v>1654</v>
      </c>
    </row>
    <row r="7407" spans="1:9" x14ac:dyDescent="0.25">
      <c r="A7407" s="753"/>
      <c r="C7407" s="131">
        <v>450</v>
      </c>
      <c r="D7407" s="131">
        <v>16</v>
      </c>
      <c r="E7407" s="131" t="s">
        <v>1655</v>
      </c>
      <c r="F7407" s="767">
        <v>840</v>
      </c>
      <c r="G7407" s="767">
        <v>0</v>
      </c>
      <c r="H7407" s="767">
        <v>840</v>
      </c>
      <c r="I7407" s="768" t="s">
        <v>1656</v>
      </c>
    </row>
    <row r="7408" spans="1:9" x14ac:dyDescent="0.25">
      <c r="A7408" s="753"/>
      <c r="C7408" s="131">
        <v>450</v>
      </c>
      <c r="D7408" s="131">
        <v>16</v>
      </c>
      <c r="E7408" s="131">
        <v>650</v>
      </c>
      <c r="F7408" s="767">
        <v>2730</v>
      </c>
      <c r="G7408" s="767">
        <v>280</v>
      </c>
      <c r="H7408" s="767">
        <v>3010</v>
      </c>
      <c r="I7408" s="768" t="s">
        <v>1657</v>
      </c>
    </row>
    <row r="7409" spans="1:9" x14ac:dyDescent="0.25">
      <c r="A7409" s="753"/>
      <c r="C7409" s="131">
        <v>450</v>
      </c>
      <c r="D7409" s="131">
        <v>16</v>
      </c>
      <c r="E7409" s="131" t="s">
        <v>1174</v>
      </c>
      <c r="F7409" s="767">
        <v>1770</v>
      </c>
      <c r="G7409" s="767">
        <v>0</v>
      </c>
      <c r="H7409" s="767">
        <v>1770</v>
      </c>
      <c r="I7409" s="768" t="s">
        <v>1658</v>
      </c>
    </row>
    <row r="7410" spans="1:9" x14ac:dyDescent="0.25">
      <c r="A7410" s="753"/>
      <c r="C7410" s="131" t="s">
        <v>1080</v>
      </c>
      <c r="D7410" s="131">
        <v>16</v>
      </c>
      <c r="E7410" s="131" t="s">
        <v>1667</v>
      </c>
      <c r="F7410" s="767">
        <v>1160</v>
      </c>
      <c r="G7410" s="767">
        <v>0</v>
      </c>
      <c r="H7410" s="767">
        <v>1160</v>
      </c>
      <c r="I7410" s="768" t="s">
        <v>1668</v>
      </c>
    </row>
    <row r="7411" spans="1:9" x14ac:dyDescent="0.25">
      <c r="A7411" s="753"/>
      <c r="C7411" s="131" t="s">
        <v>1080</v>
      </c>
      <c r="D7411" s="131">
        <v>16</v>
      </c>
      <c r="E7411" s="131" t="s">
        <v>1669</v>
      </c>
      <c r="F7411" s="767">
        <v>-2349</v>
      </c>
      <c r="G7411" s="767">
        <v>0</v>
      </c>
      <c r="H7411" s="767">
        <v>-2349</v>
      </c>
      <c r="I7411" s="768" t="s">
        <v>1670</v>
      </c>
    </row>
    <row r="7412" spans="1:9" x14ac:dyDescent="0.25">
      <c r="A7412" s="753"/>
      <c r="C7412" s="131" t="s">
        <v>1080</v>
      </c>
      <c r="D7412" s="131">
        <v>16</v>
      </c>
      <c r="E7412" s="131" t="s">
        <v>1671</v>
      </c>
      <c r="F7412" s="767">
        <v>1165</v>
      </c>
      <c r="G7412" s="767">
        <v>0</v>
      </c>
      <c r="H7412" s="767">
        <v>1165</v>
      </c>
      <c r="I7412" s="768" t="s">
        <v>1672</v>
      </c>
    </row>
    <row r="7413" spans="1:9" x14ac:dyDescent="0.25">
      <c r="A7413" s="753"/>
      <c r="C7413" s="131" t="s">
        <v>1080</v>
      </c>
      <c r="D7413" s="131">
        <v>16</v>
      </c>
      <c r="E7413" s="131" t="s">
        <v>1673</v>
      </c>
      <c r="F7413" s="767">
        <v>115.05</v>
      </c>
      <c r="G7413" s="767">
        <v>0</v>
      </c>
      <c r="H7413" s="767">
        <v>115.05</v>
      </c>
      <c r="I7413" s="768" t="s">
        <v>1674</v>
      </c>
    </row>
    <row r="7414" spans="1:9" x14ac:dyDescent="0.25">
      <c r="A7414" s="753"/>
      <c r="C7414" s="131" t="s">
        <v>1080</v>
      </c>
      <c r="D7414" s="131">
        <v>16</v>
      </c>
      <c r="E7414" s="131" t="s">
        <v>1675</v>
      </c>
      <c r="F7414" s="767">
        <v>-795</v>
      </c>
      <c r="G7414" s="767">
        <v>0</v>
      </c>
      <c r="H7414" s="767">
        <v>-795</v>
      </c>
      <c r="I7414" s="768" t="s">
        <v>1676</v>
      </c>
    </row>
    <row r="7415" spans="1:9" x14ac:dyDescent="0.25">
      <c r="A7415" s="753"/>
      <c r="C7415" s="131" t="s">
        <v>1080</v>
      </c>
      <c r="D7415" s="131">
        <v>16</v>
      </c>
      <c r="E7415" s="131" t="s">
        <v>1677</v>
      </c>
      <c r="F7415" s="767">
        <v>3640</v>
      </c>
      <c r="G7415" s="767">
        <v>350</v>
      </c>
      <c r="H7415" s="767">
        <v>3990</v>
      </c>
      <c r="I7415" s="768" t="s">
        <v>1678</v>
      </c>
    </row>
    <row r="7416" spans="1:9" x14ac:dyDescent="0.25">
      <c r="A7416" s="753"/>
      <c r="C7416" s="131" t="s">
        <v>1080</v>
      </c>
      <c r="D7416" s="131">
        <v>16</v>
      </c>
      <c r="E7416" s="131" t="s">
        <v>1679</v>
      </c>
      <c r="F7416" s="767">
        <v>-20748</v>
      </c>
      <c r="G7416" s="767">
        <v>-1995</v>
      </c>
      <c r="H7416" s="767">
        <v>-22743</v>
      </c>
      <c r="I7416" s="768" t="s">
        <v>1680</v>
      </c>
    </row>
    <row r="7417" spans="1:9" x14ac:dyDescent="0.25">
      <c r="A7417" s="753"/>
      <c r="C7417" s="131" t="s">
        <v>1080</v>
      </c>
      <c r="D7417" s="131">
        <v>16</v>
      </c>
      <c r="E7417" s="131" t="s">
        <v>1681</v>
      </c>
      <c r="F7417" s="767">
        <v>670</v>
      </c>
      <c r="G7417" s="767">
        <v>0</v>
      </c>
      <c r="H7417" s="767">
        <v>670</v>
      </c>
      <c r="I7417" s="768" t="s">
        <v>1682</v>
      </c>
    </row>
    <row r="7418" spans="1:9" x14ac:dyDescent="0.25">
      <c r="A7418" s="753"/>
      <c r="C7418" s="131" t="s">
        <v>1080</v>
      </c>
      <c r="D7418" s="131">
        <v>16</v>
      </c>
      <c r="E7418" s="131" t="s">
        <v>1683</v>
      </c>
      <c r="F7418" s="767">
        <v>-1199</v>
      </c>
      <c r="G7418" s="767">
        <v>0</v>
      </c>
      <c r="H7418" s="767">
        <v>-1199</v>
      </c>
      <c r="I7418" s="768" t="s">
        <v>1684</v>
      </c>
    </row>
    <row r="7419" spans="1:9" x14ac:dyDescent="0.25">
      <c r="A7419" s="753"/>
      <c r="C7419" s="131" t="s">
        <v>1080</v>
      </c>
      <c r="D7419" s="131">
        <v>16</v>
      </c>
      <c r="E7419" s="131" t="s">
        <v>1685</v>
      </c>
      <c r="F7419" s="767">
        <v>-14936.54</v>
      </c>
      <c r="G7419" s="767">
        <v>-4190.53</v>
      </c>
      <c r="H7419" s="767">
        <v>-19127.07</v>
      </c>
      <c r="I7419" s="768" t="s">
        <v>1686</v>
      </c>
    </row>
    <row r="7420" spans="1:9" x14ac:dyDescent="0.25">
      <c r="A7420" s="753"/>
      <c r="C7420" s="131" t="s">
        <v>1080</v>
      </c>
      <c r="D7420" s="131">
        <v>16</v>
      </c>
      <c r="E7420" s="131" t="s">
        <v>1687</v>
      </c>
      <c r="F7420" s="767">
        <v>-3765</v>
      </c>
      <c r="G7420" s="767">
        <v>0</v>
      </c>
      <c r="H7420" s="767">
        <v>-3765</v>
      </c>
      <c r="I7420" s="768" t="s">
        <v>1688</v>
      </c>
    </row>
    <row r="7421" spans="1:9" x14ac:dyDescent="0.25">
      <c r="A7421" s="753"/>
      <c r="C7421" s="131">
        <v>452</v>
      </c>
      <c r="D7421" s="131">
        <v>16</v>
      </c>
      <c r="E7421" s="131">
        <v>452</v>
      </c>
      <c r="F7421" s="767">
        <v>-123190.19</v>
      </c>
      <c r="G7421" s="767">
        <v>-7344</v>
      </c>
      <c r="H7421" s="767">
        <v>-130534.19</v>
      </c>
      <c r="I7421" s="768" t="s">
        <v>1690</v>
      </c>
    </row>
    <row r="7422" spans="1:9" x14ac:dyDescent="0.25">
      <c r="A7422" s="753"/>
      <c r="C7422" s="131">
        <v>652</v>
      </c>
      <c r="D7422" s="131">
        <v>16</v>
      </c>
      <c r="E7422" s="131">
        <v>652</v>
      </c>
      <c r="F7422" s="767">
        <v>75857</v>
      </c>
      <c r="G7422" s="767">
        <v>5728</v>
      </c>
      <c r="H7422" s="767">
        <v>81585</v>
      </c>
      <c r="I7422" s="768" t="s">
        <v>1691</v>
      </c>
    </row>
    <row r="7423" spans="1:9" x14ac:dyDescent="0.25">
      <c r="A7423" s="753"/>
      <c r="C7423" s="131" t="s">
        <v>1084</v>
      </c>
      <c r="D7423" s="131">
        <v>16</v>
      </c>
      <c r="E7423" s="131" t="s">
        <v>1084</v>
      </c>
      <c r="F7423" s="767">
        <v>-115818.16</v>
      </c>
      <c r="G7423" s="767">
        <v>-4632</v>
      </c>
      <c r="H7423" s="767">
        <v>-120450.16</v>
      </c>
      <c r="I7423" s="768" t="s">
        <v>1694</v>
      </c>
    </row>
    <row r="7424" spans="1:9" x14ac:dyDescent="0.25">
      <c r="A7424" s="753"/>
      <c r="C7424" s="131" t="s">
        <v>1085</v>
      </c>
      <c r="D7424" s="131">
        <v>16</v>
      </c>
      <c r="E7424" s="131" t="s">
        <v>1085</v>
      </c>
      <c r="F7424" s="767">
        <v>71941.759999999995</v>
      </c>
      <c r="G7424" s="767">
        <v>3339</v>
      </c>
      <c r="H7424" s="767">
        <v>75280.759999999995</v>
      </c>
      <c r="I7424" s="768" t="s">
        <v>1695</v>
      </c>
    </row>
    <row r="7425" spans="1:9" x14ac:dyDescent="0.25">
      <c r="A7425" s="753"/>
      <c r="C7425" s="131" t="s">
        <v>1088</v>
      </c>
      <c r="D7425" s="131">
        <v>16</v>
      </c>
      <c r="E7425" s="131" t="s">
        <v>1088</v>
      </c>
      <c r="F7425" s="767">
        <v>-26140</v>
      </c>
      <c r="G7425" s="767">
        <v>-5840</v>
      </c>
      <c r="H7425" s="767">
        <v>-31980</v>
      </c>
      <c r="I7425" s="768" t="s">
        <v>1697</v>
      </c>
    </row>
    <row r="7426" spans="1:9" x14ac:dyDescent="0.25">
      <c r="A7426" s="753"/>
      <c r="C7426" s="131" t="s">
        <v>1089</v>
      </c>
      <c r="D7426" s="131">
        <v>16</v>
      </c>
      <c r="E7426" s="131" t="s">
        <v>1089</v>
      </c>
      <c r="F7426" s="767">
        <v>20811</v>
      </c>
      <c r="G7426" s="767">
        <v>4612</v>
      </c>
      <c r="H7426" s="767">
        <v>25423</v>
      </c>
      <c r="I7426" s="768" t="s">
        <v>1698</v>
      </c>
    </row>
    <row r="7427" spans="1:9" x14ac:dyDescent="0.25">
      <c r="A7427" s="753"/>
      <c r="C7427" s="131">
        <v>442</v>
      </c>
      <c r="D7427" s="131">
        <v>16</v>
      </c>
      <c r="E7427" s="131">
        <v>442</v>
      </c>
      <c r="F7427" s="767">
        <v>-1651403.26</v>
      </c>
      <c r="G7427" s="767">
        <v>-76551</v>
      </c>
      <c r="H7427" s="767">
        <v>-1727954.26</v>
      </c>
      <c r="I7427" s="768" t="s">
        <v>1701</v>
      </c>
    </row>
    <row r="7428" spans="1:9" x14ac:dyDescent="0.25">
      <c r="A7428" s="753"/>
      <c r="C7428" s="131">
        <v>642</v>
      </c>
      <c r="D7428" s="131">
        <v>16</v>
      </c>
      <c r="E7428" s="131">
        <v>642</v>
      </c>
      <c r="F7428" s="767">
        <v>1546952.19</v>
      </c>
      <c r="G7428" s="767">
        <v>67158.94</v>
      </c>
      <c r="H7428" s="767">
        <v>1614111.13</v>
      </c>
      <c r="I7428" s="768" t="s">
        <v>1702</v>
      </c>
    </row>
    <row r="7429" spans="1:9" x14ac:dyDescent="0.25">
      <c r="A7429" s="753"/>
      <c r="C7429" s="131">
        <v>643</v>
      </c>
      <c r="D7429" s="131">
        <v>16</v>
      </c>
      <c r="E7429" s="131">
        <v>643</v>
      </c>
      <c r="F7429" s="767">
        <v>40863.03</v>
      </c>
      <c r="G7429" s="767">
        <v>4191.04</v>
      </c>
      <c r="H7429" s="767">
        <v>45054.07</v>
      </c>
      <c r="I7429" s="768" t="s">
        <v>1703</v>
      </c>
    </row>
    <row r="7430" spans="1:9" x14ac:dyDescent="0.25">
      <c r="A7430" s="753"/>
      <c r="C7430" s="131" t="s">
        <v>1096</v>
      </c>
      <c r="D7430" s="131">
        <v>16</v>
      </c>
      <c r="E7430" s="131" t="s">
        <v>1096</v>
      </c>
      <c r="F7430" s="767">
        <v>-2644494</v>
      </c>
      <c r="G7430" s="767">
        <v>-161600</v>
      </c>
      <c r="H7430" s="767">
        <v>-2806094</v>
      </c>
      <c r="I7430" s="768" t="s">
        <v>1705</v>
      </c>
    </row>
    <row r="7431" spans="1:9" x14ac:dyDescent="0.25">
      <c r="A7431" s="753"/>
      <c r="C7431" s="131" t="s">
        <v>1086</v>
      </c>
      <c r="D7431" s="131">
        <v>16</v>
      </c>
      <c r="E7431" s="131" t="s">
        <v>1086</v>
      </c>
      <c r="F7431" s="767">
        <v>2614487.8199999998</v>
      </c>
      <c r="G7431" s="767">
        <v>157364.25</v>
      </c>
      <c r="H7431" s="767">
        <v>2771852.07</v>
      </c>
      <c r="I7431" s="768" t="s">
        <v>1706</v>
      </c>
    </row>
    <row r="7432" spans="1:9" x14ac:dyDescent="0.25">
      <c r="A7432" s="753"/>
      <c r="C7432" s="131">
        <v>451</v>
      </c>
      <c r="D7432" s="131">
        <v>16</v>
      </c>
      <c r="E7432" s="131">
        <v>451</v>
      </c>
      <c r="F7432" s="767">
        <v>-14963.99</v>
      </c>
      <c r="G7432" s="767">
        <v>-798</v>
      </c>
      <c r="H7432" s="767">
        <v>-15761.99</v>
      </c>
      <c r="I7432" s="768" t="s">
        <v>1713</v>
      </c>
    </row>
    <row r="7433" spans="1:9" x14ac:dyDescent="0.25">
      <c r="A7433" s="753"/>
      <c r="C7433" s="131">
        <v>451</v>
      </c>
      <c r="D7433" s="131">
        <v>16</v>
      </c>
      <c r="E7433" s="131" t="s">
        <v>2262</v>
      </c>
      <c r="F7433" s="767">
        <v>0</v>
      </c>
      <c r="G7433" s="767">
        <v>-1879</v>
      </c>
      <c r="H7433" s="767">
        <v>-1879</v>
      </c>
      <c r="I7433" s="768" t="s">
        <v>2263</v>
      </c>
    </row>
    <row r="7434" spans="1:9" x14ac:dyDescent="0.25">
      <c r="A7434" s="753"/>
      <c r="C7434" s="131">
        <v>451</v>
      </c>
      <c r="D7434" s="131">
        <v>16</v>
      </c>
      <c r="E7434" s="131" t="s">
        <v>2264</v>
      </c>
      <c r="F7434" s="767">
        <v>0</v>
      </c>
      <c r="G7434" s="767">
        <v>-1495</v>
      </c>
      <c r="H7434" s="767">
        <v>-1495</v>
      </c>
      <c r="I7434" s="768" t="s">
        <v>2265</v>
      </c>
    </row>
    <row r="7435" spans="1:9" x14ac:dyDescent="0.25">
      <c r="A7435" s="753"/>
      <c r="C7435" s="131">
        <v>453</v>
      </c>
      <c r="D7435" s="131">
        <v>16</v>
      </c>
      <c r="E7435" s="131">
        <v>453</v>
      </c>
      <c r="F7435" s="767">
        <v>-19920.2</v>
      </c>
      <c r="G7435" s="767">
        <v>-2226.5</v>
      </c>
      <c r="H7435" s="767">
        <v>-22146.7</v>
      </c>
      <c r="I7435" s="768" t="s">
        <v>1714</v>
      </c>
    </row>
    <row r="7436" spans="1:9" x14ac:dyDescent="0.25">
      <c r="A7436" s="753"/>
      <c r="C7436" s="131">
        <v>455</v>
      </c>
      <c r="D7436" s="131">
        <v>16</v>
      </c>
      <c r="E7436" s="131">
        <v>455</v>
      </c>
      <c r="F7436" s="767">
        <v>-24874</v>
      </c>
      <c r="G7436" s="767">
        <v>-3631</v>
      </c>
      <c r="H7436" s="767">
        <v>-28505</v>
      </c>
      <c r="I7436" s="768" t="s">
        <v>1715</v>
      </c>
    </row>
    <row r="7437" spans="1:9" x14ac:dyDescent="0.25">
      <c r="A7437" s="753"/>
      <c r="C7437" s="131">
        <v>651</v>
      </c>
      <c r="D7437" s="131">
        <v>16</v>
      </c>
      <c r="E7437" s="131">
        <v>651</v>
      </c>
      <c r="F7437" s="767">
        <v>2984.9</v>
      </c>
      <c r="G7437" s="767">
        <v>140</v>
      </c>
      <c r="H7437" s="767">
        <v>3124.9</v>
      </c>
      <c r="I7437" s="768" t="s">
        <v>1716</v>
      </c>
    </row>
    <row r="7438" spans="1:9" x14ac:dyDescent="0.25">
      <c r="A7438" s="753"/>
      <c r="C7438" s="131">
        <v>651</v>
      </c>
      <c r="D7438" s="131">
        <v>16</v>
      </c>
      <c r="E7438" s="131" t="s">
        <v>2266</v>
      </c>
      <c r="F7438" s="767">
        <v>0</v>
      </c>
      <c r="G7438" s="767">
        <v>1315.3</v>
      </c>
      <c r="H7438" s="767">
        <v>1315.3</v>
      </c>
      <c r="I7438" s="768" t="s">
        <v>2267</v>
      </c>
    </row>
    <row r="7439" spans="1:9" x14ac:dyDescent="0.25">
      <c r="A7439" s="753"/>
      <c r="C7439" s="131">
        <v>651</v>
      </c>
      <c r="D7439" s="131">
        <v>16</v>
      </c>
      <c r="E7439" s="131" t="s">
        <v>2268</v>
      </c>
      <c r="F7439" s="767">
        <v>0</v>
      </c>
      <c r="G7439" s="767">
        <v>747.5</v>
      </c>
      <c r="H7439" s="767">
        <v>747.5</v>
      </c>
      <c r="I7439" s="768" t="s">
        <v>2269</v>
      </c>
    </row>
    <row r="7440" spans="1:9" x14ac:dyDescent="0.25">
      <c r="A7440" s="753"/>
      <c r="C7440" s="131">
        <v>655</v>
      </c>
      <c r="D7440" s="131">
        <v>16</v>
      </c>
      <c r="E7440" s="131">
        <v>655</v>
      </c>
      <c r="F7440" s="767">
        <v>16330</v>
      </c>
      <c r="G7440" s="767">
        <v>631</v>
      </c>
      <c r="H7440" s="767">
        <v>16961</v>
      </c>
      <c r="I7440" s="768" t="s">
        <v>1717</v>
      </c>
    </row>
    <row r="7441" spans="1:9" x14ac:dyDescent="0.25">
      <c r="A7441" s="753"/>
      <c r="C7441" s="131">
        <v>817</v>
      </c>
      <c r="D7441" s="131">
        <v>16</v>
      </c>
      <c r="E7441" s="131">
        <v>817</v>
      </c>
      <c r="F7441" s="767">
        <v>-26075</v>
      </c>
      <c r="G7441" s="767">
        <v>0</v>
      </c>
      <c r="H7441" s="767">
        <v>-26075</v>
      </c>
      <c r="I7441" s="768" t="s">
        <v>1718</v>
      </c>
    </row>
    <row r="7442" spans="1:9" x14ac:dyDescent="0.25">
      <c r="A7442" s="753">
        <v>200104</v>
      </c>
      <c r="B7442" s="130">
        <v>4042886</v>
      </c>
      <c r="E7442" s="131"/>
    </row>
    <row r="7443" spans="1:9" x14ac:dyDescent="0.25">
      <c r="A7443" s="753">
        <v>200108</v>
      </c>
      <c r="B7443" s="130">
        <v>37653284</v>
      </c>
      <c r="E7443" s="131"/>
    </row>
    <row r="7444" spans="1:9" x14ac:dyDescent="0.25">
      <c r="A7444" s="753">
        <v>200204</v>
      </c>
      <c r="B7444" s="130">
        <v>516147</v>
      </c>
      <c r="E7444" s="131"/>
    </row>
    <row r="7445" spans="1:9" x14ac:dyDescent="0.25">
      <c r="A7445" s="753">
        <v>200206</v>
      </c>
      <c r="B7445" s="130">
        <v>128</v>
      </c>
      <c r="E7445" s="131"/>
    </row>
    <row r="7446" spans="1:9" x14ac:dyDescent="0.25">
      <c r="A7446" s="753">
        <v>200208</v>
      </c>
      <c r="B7446" s="130">
        <v>4248739</v>
      </c>
      <c r="E7446" s="131"/>
    </row>
    <row r="7447" spans="1:9" x14ac:dyDescent="0.25">
      <c r="A7447" s="753">
        <v>200210</v>
      </c>
      <c r="B7447" s="130">
        <v>113</v>
      </c>
      <c r="E7447" s="131"/>
    </row>
    <row r="7448" spans="1:9" x14ac:dyDescent="0.25">
      <c r="A7448" s="753">
        <v>200404</v>
      </c>
      <c r="B7448" s="130">
        <v>40088</v>
      </c>
      <c r="E7448" s="131"/>
    </row>
    <row r="7449" spans="1:9" x14ac:dyDescent="0.25">
      <c r="A7449" s="753">
        <v>200406</v>
      </c>
      <c r="B7449" s="130">
        <v>78</v>
      </c>
      <c r="E7449" s="131"/>
    </row>
    <row r="7450" spans="1:9" x14ac:dyDescent="0.25">
      <c r="A7450" s="753">
        <v>200408</v>
      </c>
      <c r="B7450" s="130">
        <v>370918</v>
      </c>
      <c r="E7450" s="131"/>
    </row>
    <row r="7451" spans="1:9" x14ac:dyDescent="0.25">
      <c r="A7451" s="753">
        <v>200410</v>
      </c>
      <c r="B7451" s="130">
        <v>87</v>
      </c>
      <c r="E7451" s="131"/>
    </row>
    <row r="7452" spans="1:9" x14ac:dyDescent="0.25">
      <c r="A7452" s="753">
        <v>200504</v>
      </c>
      <c r="B7452" s="130">
        <v>13482</v>
      </c>
      <c r="E7452" s="131"/>
    </row>
    <row r="7453" spans="1:9" x14ac:dyDescent="0.25">
      <c r="A7453" s="753">
        <v>200506</v>
      </c>
      <c r="B7453" s="130">
        <v>26</v>
      </c>
      <c r="E7453" s="131"/>
    </row>
    <row r="7454" spans="1:9" x14ac:dyDescent="0.25">
      <c r="A7454" s="753">
        <v>200508</v>
      </c>
      <c r="B7454" s="130">
        <v>201604</v>
      </c>
      <c r="E7454" s="131"/>
    </row>
    <row r="7455" spans="1:9" x14ac:dyDescent="0.25">
      <c r="A7455" s="753">
        <v>200510</v>
      </c>
      <c r="B7455" s="130">
        <v>47</v>
      </c>
      <c r="E7455" s="131"/>
    </row>
    <row r="7456" spans="1:9" x14ac:dyDescent="0.25">
      <c r="A7456" s="753">
        <v>200604</v>
      </c>
      <c r="B7456" s="130">
        <v>7843</v>
      </c>
      <c r="E7456" s="131"/>
    </row>
    <row r="7457" spans="1:5" x14ac:dyDescent="0.25">
      <c r="A7457" s="753">
        <v>200606</v>
      </c>
      <c r="B7457" s="130">
        <v>15</v>
      </c>
      <c r="E7457" s="131"/>
    </row>
    <row r="7458" spans="1:5" x14ac:dyDescent="0.25">
      <c r="A7458" s="753">
        <v>200608</v>
      </c>
      <c r="B7458" s="130">
        <v>73329</v>
      </c>
      <c r="E7458" s="131"/>
    </row>
    <row r="7459" spans="1:5" x14ac:dyDescent="0.25">
      <c r="A7459" s="753">
        <v>200610</v>
      </c>
      <c r="B7459" s="130">
        <v>17</v>
      </c>
      <c r="E7459" s="131"/>
    </row>
    <row r="7460" spans="1:5" x14ac:dyDescent="0.25">
      <c r="A7460" s="753">
        <v>200704</v>
      </c>
      <c r="B7460" s="130">
        <v>46970</v>
      </c>
      <c r="E7460" s="131"/>
    </row>
    <row r="7461" spans="1:5" x14ac:dyDescent="0.25">
      <c r="A7461" s="753">
        <v>200706</v>
      </c>
      <c r="B7461" s="130">
        <v>91</v>
      </c>
      <c r="E7461" s="131"/>
    </row>
    <row r="7462" spans="1:5" x14ac:dyDescent="0.25">
      <c r="A7462" s="753">
        <v>200708</v>
      </c>
      <c r="B7462" s="130">
        <v>329871</v>
      </c>
      <c r="E7462" s="131"/>
    </row>
    <row r="7463" spans="1:5" x14ac:dyDescent="0.25">
      <c r="A7463" s="753">
        <v>200710</v>
      </c>
      <c r="B7463" s="130">
        <v>78</v>
      </c>
      <c r="E7463" s="131"/>
    </row>
    <row r="7464" spans="1:5" x14ac:dyDescent="0.25">
      <c r="A7464" s="753">
        <v>200804</v>
      </c>
      <c r="B7464" s="130">
        <v>315</v>
      </c>
      <c r="E7464" s="131"/>
    </row>
    <row r="7465" spans="1:5" x14ac:dyDescent="0.25">
      <c r="A7465" s="753">
        <v>200806</v>
      </c>
      <c r="B7465" s="130">
        <v>1</v>
      </c>
      <c r="E7465" s="131"/>
    </row>
    <row r="7466" spans="1:5" x14ac:dyDescent="0.25">
      <c r="A7466" s="753">
        <v>200808</v>
      </c>
      <c r="B7466" s="130">
        <v>-3988</v>
      </c>
      <c r="E7466" s="131"/>
    </row>
    <row r="7467" spans="1:5" x14ac:dyDescent="0.25">
      <c r="A7467" s="753">
        <v>200810</v>
      </c>
      <c r="B7467" s="130">
        <v>-1</v>
      </c>
      <c r="E7467" s="131"/>
    </row>
    <row r="7468" spans="1:5" x14ac:dyDescent="0.25">
      <c r="A7468" s="753">
        <v>200904</v>
      </c>
      <c r="B7468" s="130">
        <v>3500</v>
      </c>
      <c r="E7468" s="131"/>
    </row>
    <row r="7469" spans="1:5" x14ac:dyDescent="0.25">
      <c r="A7469" s="753">
        <v>200906</v>
      </c>
      <c r="B7469" s="130">
        <v>7</v>
      </c>
      <c r="E7469" s="131"/>
    </row>
    <row r="7470" spans="1:5" x14ac:dyDescent="0.25">
      <c r="A7470" s="753">
        <v>200908</v>
      </c>
      <c r="B7470" s="130">
        <v>35100</v>
      </c>
      <c r="E7470" s="131"/>
    </row>
    <row r="7471" spans="1:5" x14ac:dyDescent="0.25">
      <c r="A7471" s="753">
        <v>200910</v>
      </c>
      <c r="B7471" s="130">
        <v>8</v>
      </c>
      <c r="E7471" s="131"/>
    </row>
    <row r="7472" spans="1:5" x14ac:dyDescent="0.25">
      <c r="A7472" s="753">
        <v>201004</v>
      </c>
      <c r="B7472" s="130">
        <v>19964</v>
      </c>
      <c r="E7472" s="131"/>
    </row>
    <row r="7473" spans="1:5" x14ac:dyDescent="0.25">
      <c r="A7473" s="753">
        <v>201006</v>
      </c>
      <c r="B7473" s="130">
        <v>39</v>
      </c>
      <c r="E7473" s="131"/>
    </row>
    <row r="7474" spans="1:5" x14ac:dyDescent="0.25">
      <c r="A7474" s="753">
        <v>201008</v>
      </c>
      <c r="B7474" s="130">
        <v>317239</v>
      </c>
      <c r="E7474" s="131"/>
    </row>
    <row r="7475" spans="1:5" x14ac:dyDescent="0.25">
      <c r="A7475" s="753">
        <v>201010</v>
      </c>
      <c r="B7475" s="130">
        <v>75</v>
      </c>
      <c r="E7475" s="131"/>
    </row>
    <row r="7476" spans="1:5" x14ac:dyDescent="0.25">
      <c r="A7476" s="753">
        <v>201104</v>
      </c>
      <c r="B7476" s="130">
        <v>0</v>
      </c>
      <c r="E7476" s="131"/>
    </row>
    <row r="7477" spans="1:5" x14ac:dyDescent="0.25">
      <c r="A7477" s="753">
        <v>201106</v>
      </c>
      <c r="B7477" s="130">
        <v>0</v>
      </c>
      <c r="E7477" s="131"/>
    </row>
    <row r="7478" spans="1:5" x14ac:dyDescent="0.25">
      <c r="A7478" s="753">
        <v>201108</v>
      </c>
      <c r="B7478" s="130">
        <v>0</v>
      </c>
      <c r="E7478" s="131"/>
    </row>
    <row r="7479" spans="1:5" x14ac:dyDescent="0.25">
      <c r="A7479" s="753">
        <v>201110</v>
      </c>
      <c r="B7479" s="130">
        <v>0</v>
      </c>
      <c r="E7479" s="131"/>
    </row>
    <row r="7480" spans="1:5" x14ac:dyDescent="0.25">
      <c r="A7480" s="753">
        <v>201204</v>
      </c>
      <c r="B7480" s="130">
        <v>125162</v>
      </c>
      <c r="E7480" s="131"/>
    </row>
    <row r="7481" spans="1:5" x14ac:dyDescent="0.25">
      <c r="A7481" s="753">
        <v>201206</v>
      </c>
      <c r="B7481" s="130">
        <v>242</v>
      </c>
      <c r="E7481" s="131"/>
    </row>
    <row r="7482" spans="1:5" x14ac:dyDescent="0.25">
      <c r="A7482" s="753">
        <v>201208</v>
      </c>
      <c r="B7482" s="130">
        <v>1253873</v>
      </c>
      <c r="E7482" s="131"/>
    </row>
    <row r="7483" spans="1:5" x14ac:dyDescent="0.25">
      <c r="A7483" s="753">
        <v>201210</v>
      </c>
      <c r="B7483" s="130">
        <v>295</v>
      </c>
      <c r="E7483" s="131"/>
    </row>
    <row r="7484" spans="1:5" x14ac:dyDescent="0.25">
      <c r="A7484" s="753">
        <v>201304</v>
      </c>
      <c r="B7484" s="130">
        <v>15620</v>
      </c>
      <c r="E7484" s="131"/>
    </row>
    <row r="7485" spans="1:5" x14ac:dyDescent="0.25">
      <c r="A7485" s="753">
        <v>201306</v>
      </c>
      <c r="B7485" s="130">
        <v>30</v>
      </c>
      <c r="E7485" s="131"/>
    </row>
    <row r="7486" spans="1:5" x14ac:dyDescent="0.25">
      <c r="A7486" s="753">
        <v>201308</v>
      </c>
      <c r="B7486" s="130">
        <v>134111</v>
      </c>
      <c r="E7486" s="131"/>
    </row>
    <row r="7487" spans="1:5" x14ac:dyDescent="0.25">
      <c r="A7487" s="753">
        <v>201310</v>
      </c>
      <c r="B7487" s="130">
        <v>32</v>
      </c>
      <c r="E7487" s="131"/>
    </row>
    <row r="7488" spans="1:5" x14ac:dyDescent="0.25">
      <c r="A7488" s="753">
        <v>201404</v>
      </c>
      <c r="B7488" s="130">
        <v>34750</v>
      </c>
      <c r="E7488" s="131"/>
    </row>
    <row r="7489" spans="1:5" x14ac:dyDescent="0.25">
      <c r="A7489" s="753">
        <v>201406</v>
      </c>
      <c r="B7489" s="130">
        <v>67</v>
      </c>
      <c r="E7489" s="131"/>
    </row>
    <row r="7490" spans="1:5" x14ac:dyDescent="0.25">
      <c r="A7490" s="753">
        <v>201408</v>
      </c>
      <c r="B7490" s="130">
        <v>285366</v>
      </c>
      <c r="E7490" s="131"/>
    </row>
    <row r="7491" spans="1:5" x14ac:dyDescent="0.25">
      <c r="A7491" s="753">
        <v>201410</v>
      </c>
      <c r="B7491" s="130">
        <v>67</v>
      </c>
      <c r="E7491" s="131"/>
    </row>
    <row r="7492" spans="1:5" x14ac:dyDescent="0.25">
      <c r="A7492" s="753">
        <v>201504</v>
      </c>
      <c r="B7492" s="130">
        <v>21192</v>
      </c>
      <c r="E7492" s="131"/>
    </row>
    <row r="7493" spans="1:5" x14ac:dyDescent="0.25">
      <c r="A7493" s="753">
        <v>201506</v>
      </c>
      <c r="B7493" s="130">
        <v>41</v>
      </c>
      <c r="E7493" s="131"/>
    </row>
    <row r="7494" spans="1:5" x14ac:dyDescent="0.25">
      <c r="A7494" s="753">
        <v>201508</v>
      </c>
      <c r="B7494" s="130">
        <v>193662</v>
      </c>
      <c r="E7494" s="131"/>
    </row>
    <row r="7495" spans="1:5" x14ac:dyDescent="0.25">
      <c r="A7495" s="753">
        <v>201510</v>
      </c>
      <c r="B7495" s="130">
        <v>46</v>
      </c>
      <c r="E7495" s="131"/>
    </row>
    <row r="7496" spans="1:5" x14ac:dyDescent="0.25">
      <c r="A7496" s="753">
        <v>201604</v>
      </c>
      <c r="B7496" s="130">
        <v>15814</v>
      </c>
      <c r="E7496" s="131"/>
    </row>
    <row r="7497" spans="1:5" x14ac:dyDescent="0.25">
      <c r="A7497" s="753">
        <v>201606</v>
      </c>
      <c r="B7497" s="130">
        <v>31</v>
      </c>
      <c r="E7497" s="131"/>
    </row>
    <row r="7498" spans="1:5" x14ac:dyDescent="0.25">
      <c r="A7498" s="753">
        <v>201608</v>
      </c>
      <c r="B7498" s="130">
        <v>113392</v>
      </c>
      <c r="E7498" s="131"/>
    </row>
    <row r="7499" spans="1:5" x14ac:dyDescent="0.25">
      <c r="A7499" s="753">
        <v>201610</v>
      </c>
      <c r="B7499" s="130">
        <v>27</v>
      </c>
      <c r="E7499" s="131"/>
    </row>
    <row r="7500" spans="1:5" x14ac:dyDescent="0.25">
      <c r="A7500" s="753">
        <v>201704</v>
      </c>
      <c r="B7500" s="130">
        <v>28028</v>
      </c>
      <c r="E7500" s="131"/>
    </row>
    <row r="7501" spans="1:5" x14ac:dyDescent="0.25">
      <c r="A7501" s="753">
        <v>201706</v>
      </c>
      <c r="B7501" s="130">
        <v>54</v>
      </c>
      <c r="E7501" s="131"/>
    </row>
    <row r="7502" spans="1:5" x14ac:dyDescent="0.25">
      <c r="A7502" s="753">
        <v>201708</v>
      </c>
      <c r="B7502" s="130">
        <v>209477</v>
      </c>
      <c r="E7502" s="131"/>
    </row>
    <row r="7503" spans="1:5" x14ac:dyDescent="0.25">
      <c r="A7503" s="753">
        <v>201710</v>
      </c>
      <c r="B7503" s="130">
        <v>49</v>
      </c>
      <c r="E7503" s="131"/>
    </row>
    <row r="7504" spans="1:5" x14ac:dyDescent="0.25">
      <c r="A7504" s="753">
        <v>201804</v>
      </c>
      <c r="B7504" s="130">
        <v>21093</v>
      </c>
      <c r="E7504" s="131"/>
    </row>
    <row r="7505" spans="1:5" x14ac:dyDescent="0.25">
      <c r="A7505" s="753">
        <v>201806</v>
      </c>
      <c r="B7505" s="130">
        <v>41</v>
      </c>
      <c r="E7505" s="131"/>
    </row>
    <row r="7506" spans="1:5" x14ac:dyDescent="0.25">
      <c r="A7506" s="753">
        <v>201808</v>
      </c>
      <c r="B7506" s="130">
        <v>215338</v>
      </c>
      <c r="E7506" s="131"/>
    </row>
    <row r="7507" spans="1:5" x14ac:dyDescent="0.25">
      <c r="A7507" s="753">
        <v>201810</v>
      </c>
      <c r="B7507" s="130">
        <v>51</v>
      </c>
      <c r="E7507" s="131"/>
    </row>
    <row r="7508" spans="1:5" x14ac:dyDescent="0.25">
      <c r="A7508" s="753">
        <v>201904</v>
      </c>
      <c r="B7508" s="130">
        <v>25104</v>
      </c>
      <c r="E7508" s="131"/>
    </row>
    <row r="7509" spans="1:5" x14ac:dyDescent="0.25">
      <c r="A7509" s="753">
        <v>201906</v>
      </c>
      <c r="B7509" s="130">
        <v>49</v>
      </c>
      <c r="E7509" s="131"/>
    </row>
    <row r="7510" spans="1:5" x14ac:dyDescent="0.25">
      <c r="A7510" s="753">
        <v>201908</v>
      </c>
      <c r="B7510" s="130">
        <v>258765</v>
      </c>
      <c r="E7510" s="131"/>
    </row>
    <row r="7511" spans="1:5" x14ac:dyDescent="0.25">
      <c r="A7511" s="753">
        <v>201910</v>
      </c>
      <c r="B7511" s="130">
        <v>61</v>
      </c>
      <c r="E7511" s="131"/>
    </row>
    <row r="7512" spans="1:5" x14ac:dyDescent="0.25">
      <c r="A7512" s="753">
        <v>202004</v>
      </c>
      <c r="B7512" s="130">
        <v>15109</v>
      </c>
      <c r="E7512" s="131"/>
    </row>
    <row r="7513" spans="1:5" x14ac:dyDescent="0.25">
      <c r="A7513" s="753">
        <v>202006</v>
      </c>
      <c r="B7513" s="130">
        <v>29</v>
      </c>
      <c r="E7513" s="131"/>
    </row>
    <row r="7514" spans="1:5" x14ac:dyDescent="0.25">
      <c r="A7514" s="753">
        <v>202008</v>
      </c>
      <c r="B7514" s="130">
        <v>128589</v>
      </c>
      <c r="E7514" s="131"/>
    </row>
    <row r="7515" spans="1:5" x14ac:dyDescent="0.25">
      <c r="A7515" s="753">
        <v>202010</v>
      </c>
      <c r="B7515" s="130">
        <v>30</v>
      </c>
      <c r="E7515" s="131"/>
    </row>
    <row r="7516" spans="1:5" x14ac:dyDescent="0.25">
      <c r="A7516" s="753">
        <v>202104</v>
      </c>
      <c r="B7516" s="130">
        <v>2123</v>
      </c>
      <c r="E7516" s="131"/>
    </row>
    <row r="7517" spans="1:5" x14ac:dyDescent="0.25">
      <c r="A7517" s="753">
        <v>202106</v>
      </c>
      <c r="B7517" s="130">
        <v>4</v>
      </c>
      <c r="E7517" s="131"/>
    </row>
    <row r="7518" spans="1:5" x14ac:dyDescent="0.25">
      <c r="A7518" s="753">
        <v>202108</v>
      </c>
      <c r="B7518" s="130">
        <v>26867</v>
      </c>
      <c r="E7518" s="131"/>
    </row>
    <row r="7519" spans="1:5" x14ac:dyDescent="0.25">
      <c r="A7519" s="753">
        <v>202110</v>
      </c>
      <c r="B7519" s="130">
        <v>6</v>
      </c>
      <c r="E7519" s="131"/>
    </row>
    <row r="7520" spans="1:5" x14ac:dyDescent="0.25">
      <c r="A7520" s="753">
        <v>202204</v>
      </c>
      <c r="B7520" s="130">
        <v>0</v>
      </c>
      <c r="E7520" s="131"/>
    </row>
    <row r="7521" spans="1:5" x14ac:dyDescent="0.25">
      <c r="A7521" s="753">
        <v>202206</v>
      </c>
      <c r="B7521" s="130">
        <v>0</v>
      </c>
      <c r="E7521" s="131"/>
    </row>
    <row r="7522" spans="1:5" x14ac:dyDescent="0.25">
      <c r="A7522" s="753">
        <v>202208</v>
      </c>
      <c r="B7522" s="130">
        <v>0</v>
      </c>
      <c r="E7522" s="131"/>
    </row>
    <row r="7523" spans="1:5" x14ac:dyDescent="0.25">
      <c r="A7523" s="753">
        <v>202210</v>
      </c>
      <c r="B7523" s="130">
        <v>0</v>
      </c>
      <c r="E7523" s="131"/>
    </row>
    <row r="7524" spans="1:5" x14ac:dyDescent="0.25">
      <c r="A7524" s="753">
        <v>202304</v>
      </c>
      <c r="B7524" s="130">
        <v>178833</v>
      </c>
      <c r="E7524" s="131"/>
    </row>
    <row r="7525" spans="1:5" x14ac:dyDescent="0.25">
      <c r="A7525" s="753">
        <v>202306</v>
      </c>
      <c r="B7525" s="130">
        <v>346</v>
      </c>
      <c r="E7525" s="131"/>
    </row>
    <row r="7526" spans="1:5" x14ac:dyDescent="0.25">
      <c r="A7526" s="753">
        <v>202308</v>
      </c>
      <c r="B7526" s="130">
        <v>1565567</v>
      </c>
      <c r="E7526" s="131"/>
    </row>
    <row r="7527" spans="1:5" x14ac:dyDescent="0.25">
      <c r="A7527" s="753">
        <v>202310</v>
      </c>
      <c r="B7527" s="130">
        <v>368</v>
      </c>
      <c r="E7527" s="131"/>
    </row>
    <row r="7528" spans="1:5" x14ac:dyDescent="0.25">
      <c r="A7528" s="753">
        <v>202504</v>
      </c>
      <c r="B7528" s="130">
        <v>740</v>
      </c>
      <c r="E7528" s="131"/>
    </row>
    <row r="7529" spans="1:5" x14ac:dyDescent="0.25">
      <c r="A7529" s="753">
        <v>202506</v>
      </c>
      <c r="B7529" s="130">
        <v>1</v>
      </c>
      <c r="E7529" s="131"/>
    </row>
    <row r="7530" spans="1:5" x14ac:dyDescent="0.25">
      <c r="A7530" s="753">
        <v>202508</v>
      </c>
      <c r="B7530" s="130">
        <v>11223</v>
      </c>
      <c r="E7530" s="131"/>
    </row>
    <row r="7531" spans="1:5" x14ac:dyDescent="0.25">
      <c r="A7531" s="753">
        <v>202510</v>
      </c>
      <c r="B7531" s="130">
        <v>3</v>
      </c>
      <c r="E7531" s="131"/>
    </row>
    <row r="7532" spans="1:5" x14ac:dyDescent="0.25">
      <c r="A7532" s="753">
        <v>202604</v>
      </c>
      <c r="B7532" s="130">
        <v>12703</v>
      </c>
      <c r="E7532" s="131"/>
    </row>
    <row r="7533" spans="1:5" x14ac:dyDescent="0.25">
      <c r="A7533" s="753">
        <v>202606</v>
      </c>
      <c r="B7533" s="130">
        <v>25</v>
      </c>
      <c r="E7533" s="131"/>
    </row>
    <row r="7534" spans="1:5" x14ac:dyDescent="0.25">
      <c r="A7534" s="753">
        <v>202608</v>
      </c>
      <c r="B7534" s="130">
        <v>110690</v>
      </c>
      <c r="E7534" s="131"/>
    </row>
    <row r="7535" spans="1:5" x14ac:dyDescent="0.25">
      <c r="A7535" s="753">
        <v>202610</v>
      </c>
      <c r="B7535" s="130">
        <v>26</v>
      </c>
      <c r="E7535" s="131"/>
    </row>
    <row r="7536" spans="1:5" x14ac:dyDescent="0.25">
      <c r="A7536" s="753">
        <v>202704</v>
      </c>
      <c r="B7536" s="130">
        <v>1904</v>
      </c>
      <c r="E7536" s="131"/>
    </row>
    <row r="7537" spans="1:5" x14ac:dyDescent="0.25">
      <c r="A7537" s="753">
        <v>202706</v>
      </c>
      <c r="B7537" s="130">
        <v>4</v>
      </c>
      <c r="E7537" s="131"/>
    </row>
    <row r="7538" spans="1:5" x14ac:dyDescent="0.25">
      <c r="A7538" s="753">
        <v>202708</v>
      </c>
      <c r="B7538" s="130">
        <v>14543</v>
      </c>
      <c r="E7538" s="131"/>
    </row>
    <row r="7539" spans="1:5" x14ac:dyDescent="0.25">
      <c r="A7539" s="753">
        <v>202710</v>
      </c>
      <c r="B7539" s="130">
        <v>3</v>
      </c>
      <c r="E7539" s="131"/>
    </row>
    <row r="7540" spans="1:5" x14ac:dyDescent="0.25">
      <c r="A7540" s="753">
        <v>202804</v>
      </c>
      <c r="B7540" s="130">
        <v>2684</v>
      </c>
      <c r="E7540" s="131"/>
    </row>
    <row r="7541" spans="1:5" x14ac:dyDescent="0.25">
      <c r="A7541" s="753">
        <v>202806</v>
      </c>
      <c r="B7541" s="130">
        <v>5</v>
      </c>
      <c r="E7541" s="131"/>
    </row>
    <row r="7542" spans="1:5" x14ac:dyDescent="0.25">
      <c r="A7542" s="753">
        <v>202808</v>
      </c>
      <c r="B7542" s="130">
        <v>11559</v>
      </c>
      <c r="E7542" s="131"/>
    </row>
    <row r="7543" spans="1:5" x14ac:dyDescent="0.25">
      <c r="A7543" s="753">
        <v>202810</v>
      </c>
      <c r="B7543" s="130">
        <v>3</v>
      </c>
      <c r="E7543" s="131"/>
    </row>
    <row r="7544" spans="1:5" x14ac:dyDescent="0.25">
      <c r="A7544" s="753">
        <v>202904</v>
      </c>
      <c r="B7544" s="130">
        <v>3266</v>
      </c>
      <c r="E7544" s="131"/>
    </row>
    <row r="7545" spans="1:5" x14ac:dyDescent="0.25">
      <c r="A7545" s="753">
        <v>202906</v>
      </c>
      <c r="B7545" s="130">
        <v>6</v>
      </c>
      <c r="E7545" s="131"/>
    </row>
    <row r="7546" spans="1:5" x14ac:dyDescent="0.25">
      <c r="A7546" s="753">
        <v>202908</v>
      </c>
      <c r="B7546" s="130">
        <v>11774</v>
      </c>
      <c r="E7546" s="131"/>
    </row>
    <row r="7547" spans="1:5" x14ac:dyDescent="0.25">
      <c r="A7547" s="753">
        <v>202910</v>
      </c>
      <c r="B7547" s="130">
        <v>3</v>
      </c>
      <c r="E7547" s="131"/>
    </row>
    <row r="7548" spans="1:5" x14ac:dyDescent="0.25">
      <c r="A7548" s="753">
        <v>203004</v>
      </c>
      <c r="B7548" s="130">
        <v>0</v>
      </c>
      <c r="E7548" s="131"/>
    </row>
    <row r="7549" spans="1:5" x14ac:dyDescent="0.25">
      <c r="A7549" s="753">
        <v>203006</v>
      </c>
      <c r="B7549" s="130">
        <v>0</v>
      </c>
      <c r="E7549" s="131"/>
    </row>
    <row r="7550" spans="1:5" x14ac:dyDescent="0.25">
      <c r="A7550" s="753">
        <v>203008</v>
      </c>
      <c r="B7550" s="130">
        <v>0</v>
      </c>
      <c r="E7550" s="131"/>
    </row>
    <row r="7551" spans="1:5" x14ac:dyDescent="0.25">
      <c r="A7551" s="753">
        <v>203010</v>
      </c>
      <c r="B7551" s="130">
        <v>0</v>
      </c>
      <c r="E7551" s="131"/>
    </row>
    <row r="7552" spans="1:5" x14ac:dyDescent="0.25">
      <c r="A7552" s="753">
        <v>203104</v>
      </c>
      <c r="B7552" s="130">
        <v>3586</v>
      </c>
      <c r="E7552" s="131"/>
    </row>
    <row r="7553" spans="1:5" x14ac:dyDescent="0.25">
      <c r="A7553" s="753">
        <v>203106</v>
      </c>
      <c r="B7553" s="130">
        <v>7</v>
      </c>
      <c r="E7553" s="131"/>
    </row>
    <row r="7554" spans="1:5" x14ac:dyDescent="0.25">
      <c r="A7554" s="753">
        <v>203108</v>
      </c>
      <c r="B7554" s="130">
        <v>48914</v>
      </c>
      <c r="E7554" s="131"/>
    </row>
    <row r="7555" spans="1:5" x14ac:dyDescent="0.25">
      <c r="A7555" s="753">
        <v>203110</v>
      </c>
      <c r="B7555" s="130">
        <v>12</v>
      </c>
      <c r="E7555" s="131"/>
    </row>
    <row r="7556" spans="1:5" x14ac:dyDescent="0.25">
      <c r="A7556" s="753">
        <v>203204</v>
      </c>
      <c r="B7556" s="130">
        <v>15192</v>
      </c>
      <c r="E7556" s="131"/>
    </row>
    <row r="7557" spans="1:5" x14ac:dyDescent="0.25">
      <c r="A7557" s="753">
        <v>203206</v>
      </c>
      <c r="B7557" s="130">
        <v>29</v>
      </c>
      <c r="E7557" s="131"/>
    </row>
    <row r="7558" spans="1:5" x14ac:dyDescent="0.25">
      <c r="A7558" s="753">
        <v>203208</v>
      </c>
      <c r="B7558" s="130">
        <v>137566</v>
      </c>
      <c r="E7558" s="131"/>
    </row>
    <row r="7559" spans="1:5" x14ac:dyDescent="0.25">
      <c r="A7559" s="753">
        <v>203210</v>
      </c>
      <c r="B7559" s="130">
        <v>32</v>
      </c>
      <c r="E7559" s="131"/>
    </row>
    <row r="7560" spans="1:5" x14ac:dyDescent="0.25">
      <c r="A7560" s="753">
        <v>203304</v>
      </c>
      <c r="B7560" s="130">
        <v>14264</v>
      </c>
      <c r="E7560" s="131"/>
    </row>
    <row r="7561" spans="1:5" x14ac:dyDescent="0.25">
      <c r="A7561" s="753">
        <v>203306</v>
      </c>
      <c r="B7561" s="130">
        <v>28</v>
      </c>
      <c r="E7561" s="131"/>
    </row>
    <row r="7562" spans="1:5" x14ac:dyDescent="0.25">
      <c r="A7562" s="753">
        <v>203308</v>
      </c>
      <c r="B7562" s="130">
        <v>118291</v>
      </c>
      <c r="E7562" s="131"/>
    </row>
    <row r="7563" spans="1:5" x14ac:dyDescent="0.25">
      <c r="A7563" s="753">
        <v>203310</v>
      </c>
      <c r="B7563" s="130">
        <v>28</v>
      </c>
      <c r="E7563" s="131"/>
    </row>
    <row r="7564" spans="1:5" x14ac:dyDescent="0.25">
      <c r="A7564" s="753">
        <v>203404</v>
      </c>
      <c r="B7564" s="130">
        <v>2158</v>
      </c>
      <c r="E7564" s="131"/>
    </row>
    <row r="7565" spans="1:5" x14ac:dyDescent="0.25">
      <c r="A7565" s="753">
        <v>203406</v>
      </c>
      <c r="B7565" s="130">
        <v>4</v>
      </c>
      <c r="E7565" s="131"/>
    </row>
    <row r="7566" spans="1:5" x14ac:dyDescent="0.25">
      <c r="A7566" s="753">
        <v>203408</v>
      </c>
      <c r="B7566" s="130">
        <v>24097</v>
      </c>
      <c r="E7566" s="131"/>
    </row>
    <row r="7567" spans="1:5" x14ac:dyDescent="0.25">
      <c r="A7567" s="753">
        <v>203410</v>
      </c>
      <c r="B7567" s="130">
        <v>6</v>
      </c>
      <c r="E7567" s="131"/>
    </row>
    <row r="7568" spans="1:5" x14ac:dyDescent="0.25">
      <c r="A7568" s="753">
        <v>203504</v>
      </c>
      <c r="B7568" s="130">
        <v>283</v>
      </c>
      <c r="E7568" s="131"/>
    </row>
    <row r="7569" spans="1:5" x14ac:dyDescent="0.25">
      <c r="A7569" s="753">
        <v>203506</v>
      </c>
      <c r="B7569" s="130">
        <v>1</v>
      </c>
      <c r="E7569" s="131"/>
    </row>
    <row r="7570" spans="1:5" x14ac:dyDescent="0.25">
      <c r="A7570" s="753">
        <v>203508</v>
      </c>
      <c r="B7570" s="130">
        <v>3640</v>
      </c>
      <c r="E7570" s="131"/>
    </row>
    <row r="7571" spans="1:5" x14ac:dyDescent="0.25">
      <c r="A7571" s="753">
        <v>203510</v>
      </c>
      <c r="B7571" s="130">
        <v>1</v>
      </c>
      <c r="E7571" s="131"/>
    </row>
    <row r="7572" spans="1:5" x14ac:dyDescent="0.25">
      <c r="A7572" s="753">
        <v>203604</v>
      </c>
      <c r="B7572" s="130">
        <v>6307</v>
      </c>
      <c r="E7572" s="131"/>
    </row>
    <row r="7573" spans="1:5" x14ac:dyDescent="0.25">
      <c r="A7573" s="753">
        <v>203606</v>
      </c>
      <c r="B7573" s="130">
        <v>12</v>
      </c>
      <c r="E7573" s="131"/>
    </row>
    <row r="7574" spans="1:5" x14ac:dyDescent="0.25">
      <c r="A7574" s="753">
        <v>203608</v>
      </c>
      <c r="B7574" s="130">
        <v>63074</v>
      </c>
      <c r="E7574" s="131"/>
    </row>
    <row r="7575" spans="1:5" x14ac:dyDescent="0.25">
      <c r="A7575" s="753">
        <v>203610</v>
      </c>
      <c r="B7575" s="130">
        <v>15</v>
      </c>
      <c r="E7575" s="131"/>
    </row>
    <row r="7576" spans="1:5" x14ac:dyDescent="0.25">
      <c r="A7576" s="753">
        <v>203704</v>
      </c>
      <c r="B7576" s="130">
        <v>473</v>
      </c>
      <c r="E7576" s="131"/>
    </row>
    <row r="7577" spans="1:5" x14ac:dyDescent="0.25">
      <c r="A7577" s="753">
        <v>203706</v>
      </c>
      <c r="B7577" s="130">
        <v>1</v>
      </c>
      <c r="E7577" s="131"/>
    </row>
    <row r="7578" spans="1:5" x14ac:dyDescent="0.25">
      <c r="A7578" s="753">
        <v>203708</v>
      </c>
      <c r="B7578" s="130">
        <v>5359</v>
      </c>
      <c r="E7578" s="131"/>
    </row>
    <row r="7579" spans="1:5" x14ac:dyDescent="0.25">
      <c r="A7579" s="753">
        <v>203710</v>
      </c>
      <c r="B7579" s="130">
        <v>1</v>
      </c>
      <c r="E7579" s="131"/>
    </row>
    <row r="7580" spans="1:5" x14ac:dyDescent="0.25">
      <c r="A7580" s="753">
        <v>203804</v>
      </c>
      <c r="B7580" s="130">
        <v>3003</v>
      </c>
      <c r="E7580" s="131"/>
    </row>
    <row r="7581" spans="1:5" x14ac:dyDescent="0.25">
      <c r="A7581" s="753">
        <v>203806</v>
      </c>
      <c r="B7581" s="130">
        <v>6</v>
      </c>
      <c r="E7581" s="131"/>
    </row>
    <row r="7582" spans="1:5" x14ac:dyDescent="0.25">
      <c r="A7582" s="753">
        <v>203808</v>
      </c>
      <c r="B7582" s="130">
        <v>14727</v>
      </c>
      <c r="E7582" s="131"/>
    </row>
    <row r="7583" spans="1:5" x14ac:dyDescent="0.25">
      <c r="A7583" s="753">
        <v>203810</v>
      </c>
      <c r="B7583" s="130">
        <v>3</v>
      </c>
      <c r="E7583" s="131"/>
    </row>
    <row r="7584" spans="1:5" x14ac:dyDescent="0.25">
      <c r="A7584" s="753">
        <v>203904</v>
      </c>
      <c r="B7584" s="130">
        <v>1163</v>
      </c>
      <c r="E7584" s="131"/>
    </row>
    <row r="7585" spans="1:5" x14ac:dyDescent="0.25">
      <c r="A7585" s="753">
        <v>203906</v>
      </c>
      <c r="B7585" s="130">
        <v>2</v>
      </c>
      <c r="E7585" s="131"/>
    </row>
    <row r="7586" spans="1:5" x14ac:dyDescent="0.25">
      <c r="A7586" s="753">
        <v>203908</v>
      </c>
      <c r="B7586" s="130">
        <v>13384</v>
      </c>
      <c r="E7586" s="131"/>
    </row>
    <row r="7587" spans="1:5" x14ac:dyDescent="0.25">
      <c r="A7587" s="753">
        <v>203910</v>
      </c>
      <c r="B7587" s="130">
        <v>3</v>
      </c>
      <c r="E7587" s="131"/>
    </row>
    <row r="7588" spans="1:5" x14ac:dyDescent="0.25">
      <c r="A7588" s="753">
        <v>204004</v>
      </c>
      <c r="B7588" s="130">
        <v>1784</v>
      </c>
      <c r="E7588" s="131"/>
    </row>
    <row r="7589" spans="1:5" x14ac:dyDescent="0.25">
      <c r="A7589" s="753">
        <v>204006</v>
      </c>
      <c r="B7589" s="130">
        <v>3</v>
      </c>
      <c r="E7589" s="131"/>
    </row>
    <row r="7590" spans="1:5" x14ac:dyDescent="0.25">
      <c r="A7590" s="753">
        <v>204008</v>
      </c>
      <c r="B7590" s="130">
        <v>9526</v>
      </c>
      <c r="E7590" s="131"/>
    </row>
    <row r="7591" spans="1:5" x14ac:dyDescent="0.25">
      <c r="A7591" s="753">
        <v>204010</v>
      </c>
      <c r="B7591" s="130">
        <v>2</v>
      </c>
      <c r="E7591" s="131"/>
    </row>
    <row r="7592" spans="1:5" x14ac:dyDescent="0.25">
      <c r="A7592" s="753">
        <v>204104</v>
      </c>
      <c r="B7592" s="130">
        <v>0</v>
      </c>
      <c r="E7592" s="131"/>
    </row>
    <row r="7593" spans="1:5" x14ac:dyDescent="0.25">
      <c r="A7593" s="753">
        <v>204106</v>
      </c>
      <c r="B7593" s="130">
        <v>0</v>
      </c>
      <c r="E7593" s="131"/>
    </row>
    <row r="7594" spans="1:5" x14ac:dyDescent="0.25">
      <c r="A7594" s="753">
        <v>204108</v>
      </c>
      <c r="B7594" s="130">
        <v>0</v>
      </c>
      <c r="E7594" s="131"/>
    </row>
    <row r="7595" spans="1:5" x14ac:dyDescent="0.25">
      <c r="A7595" s="753">
        <v>204110</v>
      </c>
      <c r="B7595" s="130">
        <v>0</v>
      </c>
      <c r="E7595" s="131"/>
    </row>
    <row r="7596" spans="1:5" x14ac:dyDescent="0.25">
      <c r="A7596" s="753">
        <v>204204</v>
      </c>
      <c r="B7596" s="130">
        <v>8774</v>
      </c>
      <c r="E7596" s="131"/>
    </row>
    <row r="7597" spans="1:5" x14ac:dyDescent="0.25">
      <c r="A7597" s="753">
        <v>204206</v>
      </c>
      <c r="B7597" s="130">
        <v>17</v>
      </c>
      <c r="E7597" s="131"/>
    </row>
    <row r="7598" spans="1:5" x14ac:dyDescent="0.25">
      <c r="A7598" s="753">
        <v>204208</v>
      </c>
      <c r="B7598" s="130">
        <v>63417</v>
      </c>
      <c r="E7598" s="131"/>
    </row>
    <row r="7599" spans="1:5" x14ac:dyDescent="0.25">
      <c r="A7599" s="753">
        <v>204210</v>
      </c>
      <c r="B7599" s="130">
        <v>15</v>
      </c>
      <c r="E7599" s="131"/>
    </row>
    <row r="7600" spans="1:5" x14ac:dyDescent="0.25">
      <c r="A7600" s="753">
        <v>204304</v>
      </c>
      <c r="B7600" s="130">
        <v>7426</v>
      </c>
      <c r="E7600" s="131"/>
    </row>
    <row r="7601" spans="1:5" x14ac:dyDescent="0.25">
      <c r="A7601" s="753">
        <v>204306</v>
      </c>
      <c r="B7601" s="130">
        <v>14</v>
      </c>
      <c r="E7601" s="131"/>
    </row>
    <row r="7602" spans="1:5" x14ac:dyDescent="0.25">
      <c r="A7602" s="753">
        <v>204308</v>
      </c>
      <c r="B7602" s="130">
        <v>57860</v>
      </c>
      <c r="E7602" s="131"/>
    </row>
    <row r="7603" spans="1:5" x14ac:dyDescent="0.25">
      <c r="A7603" s="753">
        <v>204310</v>
      </c>
      <c r="B7603" s="130">
        <v>14</v>
      </c>
      <c r="E7603" s="131"/>
    </row>
    <row r="7604" spans="1:5" x14ac:dyDescent="0.25">
      <c r="A7604" s="753">
        <v>204404</v>
      </c>
      <c r="B7604" s="130">
        <v>85710</v>
      </c>
      <c r="E7604" s="131"/>
    </row>
    <row r="7605" spans="1:5" x14ac:dyDescent="0.25">
      <c r="A7605" s="753">
        <v>204406</v>
      </c>
      <c r="B7605" s="130">
        <v>166</v>
      </c>
      <c r="E7605" s="131"/>
    </row>
    <row r="7606" spans="1:5" x14ac:dyDescent="0.25">
      <c r="A7606" s="753">
        <v>204408</v>
      </c>
      <c r="B7606" s="130">
        <v>719644</v>
      </c>
      <c r="E7606" s="131"/>
    </row>
    <row r="7607" spans="1:5" x14ac:dyDescent="0.25">
      <c r="A7607" s="753">
        <v>204410</v>
      </c>
      <c r="B7607" s="130">
        <v>169</v>
      </c>
      <c r="E7607" s="131"/>
    </row>
    <row r="7608" spans="1:5" x14ac:dyDescent="0.25">
      <c r="A7608" s="753">
        <v>204504</v>
      </c>
      <c r="B7608" s="130">
        <v>50000</v>
      </c>
      <c r="E7608" s="131"/>
    </row>
    <row r="7609" spans="1:5" x14ac:dyDescent="0.25">
      <c r="A7609" s="753">
        <v>204506</v>
      </c>
      <c r="B7609" s="130">
        <v>97</v>
      </c>
      <c r="E7609" s="131"/>
    </row>
    <row r="7610" spans="1:5" x14ac:dyDescent="0.25">
      <c r="A7610" s="753">
        <v>204508</v>
      </c>
      <c r="B7610" s="130">
        <v>500000</v>
      </c>
      <c r="E7610" s="131"/>
    </row>
    <row r="7611" spans="1:5" x14ac:dyDescent="0.25">
      <c r="A7611" s="753">
        <v>204510</v>
      </c>
      <c r="B7611" s="130">
        <v>118</v>
      </c>
      <c r="E7611" s="131"/>
    </row>
    <row r="7612" spans="1:5" x14ac:dyDescent="0.25">
      <c r="A7612" s="753">
        <v>204604</v>
      </c>
      <c r="B7612" s="130">
        <v>10711</v>
      </c>
      <c r="E7612" s="131"/>
    </row>
    <row r="7613" spans="1:5" x14ac:dyDescent="0.25">
      <c r="A7613" s="753">
        <v>204606</v>
      </c>
      <c r="B7613" s="130">
        <v>21</v>
      </c>
      <c r="E7613" s="131"/>
    </row>
    <row r="7614" spans="1:5" x14ac:dyDescent="0.25">
      <c r="A7614" s="753">
        <v>204608</v>
      </c>
      <c r="B7614" s="130">
        <v>107101</v>
      </c>
      <c r="E7614" s="131"/>
    </row>
    <row r="7615" spans="1:5" x14ac:dyDescent="0.25">
      <c r="A7615" s="753">
        <v>204610</v>
      </c>
      <c r="B7615" s="130">
        <v>25</v>
      </c>
      <c r="E7615" s="131"/>
    </row>
    <row r="7616" spans="1:5" x14ac:dyDescent="0.25">
      <c r="A7616" s="753">
        <v>204704</v>
      </c>
      <c r="B7616" s="130">
        <v>0</v>
      </c>
      <c r="E7616" s="131"/>
    </row>
    <row r="7617" spans="1:5" x14ac:dyDescent="0.25">
      <c r="A7617" s="753">
        <v>204706</v>
      </c>
      <c r="B7617" s="130">
        <v>0</v>
      </c>
      <c r="E7617" s="131"/>
    </row>
    <row r="7618" spans="1:5" x14ac:dyDescent="0.25">
      <c r="A7618" s="753">
        <v>204708</v>
      </c>
      <c r="B7618" s="130">
        <v>0</v>
      </c>
      <c r="E7618" s="131"/>
    </row>
    <row r="7619" spans="1:5" x14ac:dyDescent="0.25">
      <c r="A7619" s="753">
        <v>204710</v>
      </c>
      <c r="B7619" s="130">
        <v>0</v>
      </c>
      <c r="E7619" s="131"/>
    </row>
    <row r="7620" spans="1:5" x14ac:dyDescent="0.25">
      <c r="A7620" s="753">
        <v>204804</v>
      </c>
      <c r="B7620" s="130">
        <v>0</v>
      </c>
      <c r="E7620" s="131"/>
    </row>
    <row r="7621" spans="1:5" x14ac:dyDescent="0.25">
      <c r="A7621" s="753">
        <v>204806</v>
      </c>
      <c r="B7621" s="130">
        <v>0</v>
      </c>
      <c r="E7621" s="131"/>
    </row>
    <row r="7622" spans="1:5" x14ac:dyDescent="0.25">
      <c r="A7622" s="753">
        <v>204808</v>
      </c>
      <c r="B7622" s="130">
        <v>0</v>
      </c>
      <c r="E7622" s="131"/>
    </row>
    <row r="7623" spans="1:5" x14ac:dyDescent="0.25">
      <c r="A7623" s="753">
        <v>204810</v>
      </c>
      <c r="B7623" s="130">
        <v>0</v>
      </c>
      <c r="E7623" s="131"/>
    </row>
    <row r="7624" spans="1:5" x14ac:dyDescent="0.25">
      <c r="A7624" s="753">
        <v>204904</v>
      </c>
      <c r="B7624" s="130">
        <v>5535</v>
      </c>
      <c r="E7624" s="131"/>
    </row>
    <row r="7625" spans="1:5" x14ac:dyDescent="0.25">
      <c r="A7625" s="753">
        <v>204906</v>
      </c>
      <c r="B7625" s="130">
        <v>11</v>
      </c>
      <c r="E7625" s="131"/>
    </row>
    <row r="7626" spans="1:5" x14ac:dyDescent="0.25">
      <c r="A7626" s="753">
        <v>204908</v>
      </c>
      <c r="B7626" s="130">
        <v>57374</v>
      </c>
      <c r="E7626" s="131"/>
    </row>
    <row r="7627" spans="1:5" x14ac:dyDescent="0.25">
      <c r="A7627" s="753">
        <v>204910</v>
      </c>
      <c r="B7627" s="130">
        <v>14</v>
      </c>
      <c r="E7627" s="131"/>
    </row>
    <row r="7628" spans="1:5" x14ac:dyDescent="0.25">
      <c r="A7628" s="753">
        <v>205004</v>
      </c>
      <c r="B7628" s="130">
        <v>4350</v>
      </c>
      <c r="E7628" s="131"/>
    </row>
    <row r="7629" spans="1:5" x14ac:dyDescent="0.25">
      <c r="A7629" s="753">
        <v>205006</v>
      </c>
      <c r="B7629" s="130">
        <v>8</v>
      </c>
      <c r="E7629" s="131"/>
    </row>
    <row r="7630" spans="1:5" x14ac:dyDescent="0.25">
      <c r="A7630" s="753">
        <v>205008</v>
      </c>
      <c r="B7630" s="130">
        <v>43498</v>
      </c>
      <c r="E7630" s="131"/>
    </row>
    <row r="7631" spans="1:5" x14ac:dyDescent="0.25">
      <c r="A7631" s="753">
        <v>205010</v>
      </c>
      <c r="B7631" s="130">
        <v>10</v>
      </c>
      <c r="E7631" s="131"/>
    </row>
    <row r="7632" spans="1:5" x14ac:dyDescent="0.25">
      <c r="A7632" s="753">
        <v>205104</v>
      </c>
      <c r="B7632" s="130">
        <v>4054</v>
      </c>
      <c r="E7632" s="131"/>
    </row>
    <row r="7633" spans="1:5" x14ac:dyDescent="0.25">
      <c r="A7633" s="753">
        <v>205106</v>
      </c>
      <c r="B7633" s="130">
        <v>8</v>
      </c>
      <c r="E7633" s="131"/>
    </row>
    <row r="7634" spans="1:5" x14ac:dyDescent="0.25">
      <c r="A7634" s="753">
        <v>205108</v>
      </c>
      <c r="B7634" s="130">
        <v>48551</v>
      </c>
      <c r="E7634" s="131"/>
    </row>
    <row r="7635" spans="1:5" x14ac:dyDescent="0.25">
      <c r="A7635" s="753">
        <v>205110</v>
      </c>
      <c r="B7635" s="130">
        <v>11</v>
      </c>
      <c r="E7635" s="131"/>
    </row>
    <row r="7636" spans="1:5" x14ac:dyDescent="0.25">
      <c r="A7636" s="753">
        <v>205204</v>
      </c>
      <c r="B7636" s="130">
        <v>74650</v>
      </c>
      <c r="E7636" s="131"/>
    </row>
    <row r="7637" spans="1:5" x14ac:dyDescent="0.25">
      <c r="A7637" s="753">
        <v>205206</v>
      </c>
      <c r="B7637" s="130">
        <v>145</v>
      </c>
      <c r="E7637" s="131"/>
    </row>
    <row r="7638" spans="1:5" x14ac:dyDescent="0.25">
      <c r="A7638" s="753">
        <v>205208</v>
      </c>
      <c r="B7638" s="130">
        <v>756524</v>
      </c>
      <c r="E7638" s="131"/>
    </row>
    <row r="7639" spans="1:5" x14ac:dyDescent="0.25">
      <c r="A7639" s="753">
        <v>205210</v>
      </c>
      <c r="B7639" s="130">
        <v>178</v>
      </c>
      <c r="E7639" s="131"/>
    </row>
    <row r="7640" spans="1:5" x14ac:dyDescent="0.25">
      <c r="A7640" s="753">
        <v>205304</v>
      </c>
      <c r="B7640" s="130">
        <v>0</v>
      </c>
      <c r="E7640" s="131"/>
    </row>
    <row r="7641" spans="1:5" x14ac:dyDescent="0.25">
      <c r="A7641" s="753">
        <v>205306</v>
      </c>
      <c r="B7641" s="130">
        <v>0</v>
      </c>
      <c r="E7641" s="131"/>
    </row>
    <row r="7642" spans="1:5" x14ac:dyDescent="0.25">
      <c r="A7642" s="753">
        <v>205308</v>
      </c>
      <c r="B7642" s="130">
        <v>1314</v>
      </c>
      <c r="E7642" s="131"/>
    </row>
    <row r="7643" spans="1:5" x14ac:dyDescent="0.25">
      <c r="A7643" s="753">
        <v>205310</v>
      </c>
      <c r="B7643" s="130">
        <v>0</v>
      </c>
      <c r="E7643" s="131"/>
    </row>
    <row r="7644" spans="1:5" x14ac:dyDescent="0.25">
      <c r="A7644" s="753">
        <v>205404</v>
      </c>
      <c r="B7644" s="130">
        <v>2372</v>
      </c>
      <c r="E7644" s="131"/>
    </row>
    <row r="7645" spans="1:5" x14ac:dyDescent="0.25">
      <c r="A7645" s="753">
        <v>205406</v>
      </c>
      <c r="B7645" s="130">
        <v>5</v>
      </c>
      <c r="E7645" s="131"/>
    </row>
    <row r="7646" spans="1:5" x14ac:dyDescent="0.25">
      <c r="A7646" s="753">
        <v>205408</v>
      </c>
      <c r="B7646" s="130">
        <v>24590</v>
      </c>
      <c r="E7646" s="131"/>
    </row>
    <row r="7647" spans="1:5" x14ac:dyDescent="0.25">
      <c r="A7647" s="753">
        <v>205410</v>
      </c>
      <c r="B7647" s="130">
        <v>6</v>
      </c>
      <c r="E7647" s="131"/>
    </row>
    <row r="7648" spans="1:5" x14ac:dyDescent="0.25">
      <c r="A7648" s="753">
        <v>205504</v>
      </c>
      <c r="B7648" s="130">
        <v>0</v>
      </c>
      <c r="E7648" s="131"/>
    </row>
    <row r="7649" spans="1:5" x14ac:dyDescent="0.25">
      <c r="A7649" s="753">
        <v>205506</v>
      </c>
      <c r="B7649" s="130">
        <v>0</v>
      </c>
      <c r="E7649" s="131"/>
    </row>
    <row r="7650" spans="1:5" x14ac:dyDescent="0.25">
      <c r="A7650" s="753">
        <v>205508</v>
      </c>
      <c r="B7650" s="130">
        <v>3586</v>
      </c>
      <c r="E7650" s="131"/>
    </row>
    <row r="7651" spans="1:5" x14ac:dyDescent="0.25">
      <c r="A7651" s="753">
        <v>205510</v>
      </c>
      <c r="B7651" s="130">
        <v>1</v>
      </c>
      <c r="E7651" s="131"/>
    </row>
    <row r="7652" spans="1:5" x14ac:dyDescent="0.25">
      <c r="A7652" s="753">
        <v>205604</v>
      </c>
      <c r="B7652" s="130">
        <v>10260</v>
      </c>
      <c r="E7652" s="131"/>
    </row>
    <row r="7653" spans="1:5" x14ac:dyDescent="0.25">
      <c r="A7653" s="753">
        <v>205606</v>
      </c>
      <c r="B7653" s="130">
        <v>20</v>
      </c>
      <c r="E7653" s="131"/>
    </row>
    <row r="7654" spans="1:5" x14ac:dyDescent="0.25">
      <c r="A7654" s="753">
        <v>205608</v>
      </c>
      <c r="B7654" s="130">
        <v>102601</v>
      </c>
      <c r="E7654" s="131"/>
    </row>
    <row r="7655" spans="1:5" x14ac:dyDescent="0.25">
      <c r="A7655" s="753">
        <v>205610</v>
      </c>
      <c r="B7655" s="130">
        <v>24</v>
      </c>
      <c r="E7655" s="131"/>
    </row>
    <row r="7656" spans="1:5" x14ac:dyDescent="0.25">
      <c r="A7656" s="753">
        <v>205704</v>
      </c>
      <c r="B7656" s="130">
        <v>529</v>
      </c>
      <c r="E7656" s="131"/>
    </row>
    <row r="7657" spans="1:5" x14ac:dyDescent="0.25">
      <c r="A7657" s="753">
        <v>205706</v>
      </c>
      <c r="B7657" s="130">
        <v>1</v>
      </c>
      <c r="E7657" s="131"/>
    </row>
    <row r="7658" spans="1:5" x14ac:dyDescent="0.25">
      <c r="A7658" s="753">
        <v>205708</v>
      </c>
      <c r="B7658" s="130">
        <v>2096</v>
      </c>
      <c r="E7658" s="131"/>
    </row>
    <row r="7659" spans="1:5" x14ac:dyDescent="0.25">
      <c r="A7659" s="753">
        <v>205710</v>
      </c>
      <c r="B7659" s="130">
        <v>0</v>
      </c>
      <c r="E7659" s="131"/>
    </row>
    <row r="7660" spans="1:5" x14ac:dyDescent="0.25">
      <c r="A7660" s="753">
        <v>205804</v>
      </c>
      <c r="B7660" s="130">
        <v>87811</v>
      </c>
      <c r="E7660" s="131"/>
    </row>
    <row r="7661" spans="1:5" x14ac:dyDescent="0.25">
      <c r="A7661" s="753">
        <v>205806</v>
      </c>
      <c r="B7661" s="130">
        <v>170</v>
      </c>
      <c r="E7661" s="131"/>
    </row>
    <row r="7662" spans="1:5" x14ac:dyDescent="0.25">
      <c r="A7662" s="753">
        <v>205808</v>
      </c>
      <c r="B7662" s="130">
        <v>890711</v>
      </c>
      <c r="E7662" s="131"/>
    </row>
    <row r="7663" spans="1:5" x14ac:dyDescent="0.25">
      <c r="A7663" s="753">
        <v>205810</v>
      </c>
      <c r="B7663" s="130">
        <v>210</v>
      </c>
      <c r="E7663" s="131"/>
    </row>
    <row r="7664" spans="1:5" x14ac:dyDescent="0.25">
      <c r="A7664" s="753">
        <v>205904</v>
      </c>
      <c r="B7664" s="130">
        <v>352354</v>
      </c>
      <c r="E7664" s="131"/>
    </row>
    <row r="7665" spans="1:5" x14ac:dyDescent="0.25">
      <c r="A7665" s="753">
        <v>205906</v>
      </c>
      <c r="B7665" s="130">
        <v>683</v>
      </c>
      <c r="E7665" s="131"/>
    </row>
    <row r="7666" spans="1:5" x14ac:dyDescent="0.25">
      <c r="A7666" s="753">
        <v>205908</v>
      </c>
      <c r="B7666" s="130">
        <v>3175922</v>
      </c>
      <c r="E7666" s="131"/>
    </row>
    <row r="7667" spans="1:5" x14ac:dyDescent="0.25">
      <c r="A7667" s="753">
        <v>205910</v>
      </c>
      <c r="B7667" s="130">
        <v>747</v>
      </c>
      <c r="E7667" s="131"/>
    </row>
    <row r="7668" spans="1:5" x14ac:dyDescent="0.25">
      <c r="A7668" s="753">
        <v>206004</v>
      </c>
      <c r="B7668" s="130">
        <v>477516</v>
      </c>
      <c r="E7668" s="131"/>
    </row>
    <row r="7669" spans="1:5" x14ac:dyDescent="0.25">
      <c r="A7669" s="753">
        <v>206006</v>
      </c>
      <c r="B7669" s="130">
        <v>925</v>
      </c>
      <c r="E7669" s="131"/>
    </row>
    <row r="7670" spans="1:5" x14ac:dyDescent="0.25">
      <c r="A7670" s="753">
        <v>206008</v>
      </c>
      <c r="B7670" s="130">
        <v>4429795</v>
      </c>
      <c r="E7670" s="131"/>
    </row>
    <row r="7671" spans="1:5" x14ac:dyDescent="0.25">
      <c r="A7671" s="753">
        <v>206010</v>
      </c>
      <c r="B7671" s="130">
        <v>1043</v>
      </c>
      <c r="E7671" s="131"/>
    </row>
    <row r="7672" spans="1:5" x14ac:dyDescent="0.25">
      <c r="A7672" s="753">
        <v>206104</v>
      </c>
      <c r="B7672" s="130">
        <v>38631</v>
      </c>
      <c r="E7672" s="131"/>
    </row>
    <row r="7673" spans="1:5" x14ac:dyDescent="0.25">
      <c r="A7673" s="753">
        <v>206108</v>
      </c>
      <c r="B7673" s="130">
        <v>-181056</v>
      </c>
      <c r="E7673" s="131"/>
    </row>
    <row r="7674" spans="1:5" x14ac:dyDescent="0.25">
      <c r="A7674" s="753">
        <v>206204</v>
      </c>
      <c r="B7674" s="130">
        <v>71607</v>
      </c>
      <c r="E7674" s="131"/>
    </row>
    <row r="7675" spans="1:5" x14ac:dyDescent="0.25">
      <c r="A7675" s="753">
        <v>206208</v>
      </c>
      <c r="B7675" s="130">
        <v>699111</v>
      </c>
      <c r="E7675" s="131"/>
    </row>
    <row r="7676" spans="1:5" x14ac:dyDescent="0.25">
      <c r="A7676" s="753">
        <v>206214</v>
      </c>
      <c r="B7676" s="130">
        <v>71607</v>
      </c>
      <c r="E7676" s="131"/>
    </row>
    <row r="7677" spans="1:5" x14ac:dyDescent="0.25">
      <c r="A7677" s="753">
        <v>206218</v>
      </c>
      <c r="B7677" s="130">
        <v>699111</v>
      </c>
      <c r="E7677" s="131"/>
    </row>
    <row r="7678" spans="1:5" x14ac:dyDescent="0.25">
      <c r="A7678" s="753">
        <v>206404</v>
      </c>
      <c r="B7678" s="130">
        <v>110238</v>
      </c>
      <c r="E7678" s="131"/>
    </row>
    <row r="7679" spans="1:5" x14ac:dyDescent="0.25">
      <c r="A7679" s="753">
        <v>206408</v>
      </c>
      <c r="B7679" s="130">
        <v>518055</v>
      </c>
      <c r="E7679" s="131"/>
    </row>
    <row r="7680" spans="1:5" x14ac:dyDescent="0.25">
      <c r="A7680" s="753">
        <v>206414</v>
      </c>
      <c r="B7680" s="130">
        <v>114121</v>
      </c>
      <c r="E7680" s="131"/>
    </row>
    <row r="7681" spans="1:5" x14ac:dyDescent="0.25">
      <c r="A7681" s="753">
        <v>206418</v>
      </c>
      <c r="B7681" s="130">
        <v>559631</v>
      </c>
      <c r="E7681" s="131"/>
    </row>
    <row r="7682" spans="1:5" x14ac:dyDescent="0.25">
      <c r="A7682" s="753">
        <v>206504</v>
      </c>
      <c r="B7682" s="130">
        <v>0</v>
      </c>
      <c r="E7682" s="131"/>
    </row>
    <row r="7683" spans="1:5" x14ac:dyDescent="0.25">
      <c r="A7683" s="753">
        <v>206508</v>
      </c>
      <c r="B7683" s="130">
        <v>0</v>
      </c>
      <c r="E7683" s="131"/>
    </row>
    <row r="7684" spans="1:5" x14ac:dyDescent="0.25">
      <c r="A7684" s="753">
        <v>206804</v>
      </c>
      <c r="B7684" s="130">
        <v>110238</v>
      </c>
      <c r="E7684" s="131"/>
    </row>
    <row r="7685" spans="1:5" x14ac:dyDescent="0.25">
      <c r="A7685" s="753">
        <v>206808</v>
      </c>
      <c r="B7685" s="130">
        <v>518055</v>
      </c>
      <c r="E7685" s="131"/>
    </row>
    <row r="7686" spans="1:5" x14ac:dyDescent="0.25">
      <c r="A7686" s="753">
        <v>206814</v>
      </c>
      <c r="B7686" s="130">
        <v>114121</v>
      </c>
      <c r="E7686" s="131"/>
    </row>
    <row r="7687" spans="1:5" x14ac:dyDescent="0.25">
      <c r="A7687" s="753">
        <v>206818</v>
      </c>
      <c r="B7687" s="130">
        <v>559631</v>
      </c>
      <c r="E7687" s="131"/>
    </row>
    <row r="7688" spans="1:5" x14ac:dyDescent="0.25">
      <c r="A7688" s="753">
        <v>207204</v>
      </c>
      <c r="B7688" s="130">
        <v>81576</v>
      </c>
      <c r="E7688" s="131"/>
    </row>
    <row r="7689" spans="1:5" x14ac:dyDescent="0.25">
      <c r="A7689" s="753">
        <v>207208</v>
      </c>
      <c r="B7689" s="130">
        <v>383361</v>
      </c>
      <c r="E7689" s="131"/>
    </row>
    <row r="7690" spans="1:5" x14ac:dyDescent="0.25">
      <c r="A7690" s="753">
        <v>1001108</v>
      </c>
      <c r="B7690" s="130">
        <v>3499315</v>
      </c>
      <c r="E7690" s="131"/>
    </row>
    <row r="7691" spans="1:5" x14ac:dyDescent="0.25">
      <c r="A7691" s="753">
        <v>1001114</v>
      </c>
      <c r="B7691" s="130">
        <v>271466</v>
      </c>
      <c r="E7691" s="131"/>
    </row>
    <row r="7692" spans="1:5" x14ac:dyDescent="0.25">
      <c r="A7692" s="753">
        <v>1001116</v>
      </c>
      <c r="B7692" s="130">
        <v>78</v>
      </c>
      <c r="E7692" s="131"/>
    </row>
    <row r="7693" spans="1:5" x14ac:dyDescent="0.25">
      <c r="A7693" s="753">
        <v>1001118</v>
      </c>
      <c r="B7693" s="130">
        <v>33528236</v>
      </c>
      <c r="E7693" s="131"/>
    </row>
    <row r="7694" spans="1:5" x14ac:dyDescent="0.25">
      <c r="A7694" s="753">
        <v>1001120</v>
      </c>
      <c r="B7694" s="130">
        <v>2504788</v>
      </c>
      <c r="E7694" s="131"/>
    </row>
    <row r="7695" spans="1:5" x14ac:dyDescent="0.25">
      <c r="A7695" s="753">
        <v>1001122</v>
      </c>
      <c r="B7695" s="130">
        <v>75</v>
      </c>
      <c r="E7695" s="131"/>
    </row>
    <row r="7696" spans="1:5" x14ac:dyDescent="0.25">
      <c r="A7696" s="753">
        <v>1001308</v>
      </c>
      <c r="B7696" s="130">
        <v>4042886</v>
      </c>
      <c r="E7696" s="131"/>
    </row>
    <row r="7697" spans="1:5" x14ac:dyDescent="0.25">
      <c r="A7697" s="753">
        <v>1001314</v>
      </c>
      <c r="B7697" s="130">
        <v>516147</v>
      </c>
      <c r="E7697" s="131"/>
    </row>
    <row r="7698" spans="1:5" x14ac:dyDescent="0.25">
      <c r="A7698" s="753">
        <v>1001316</v>
      </c>
      <c r="B7698" s="130">
        <v>128</v>
      </c>
      <c r="E7698" s="131"/>
    </row>
    <row r="7699" spans="1:5" x14ac:dyDescent="0.25">
      <c r="A7699" s="753">
        <v>1001318</v>
      </c>
      <c r="B7699" s="130">
        <v>37653284</v>
      </c>
      <c r="E7699" s="131"/>
    </row>
    <row r="7700" spans="1:5" x14ac:dyDescent="0.25">
      <c r="A7700" s="753">
        <v>1001320</v>
      </c>
      <c r="B7700" s="130">
        <v>4248739</v>
      </c>
      <c r="E7700" s="131"/>
    </row>
    <row r="7701" spans="1:5" x14ac:dyDescent="0.25">
      <c r="A7701" s="753">
        <v>1001322</v>
      </c>
      <c r="B7701" s="130">
        <v>113</v>
      </c>
      <c r="E7701" s="131"/>
    </row>
    <row r="7702" spans="1:5" x14ac:dyDescent="0.25">
      <c r="A7702" s="753">
        <v>1001414</v>
      </c>
      <c r="B7702" s="130">
        <v>125162</v>
      </c>
      <c r="E7702" s="131"/>
    </row>
    <row r="7703" spans="1:5" x14ac:dyDescent="0.25">
      <c r="A7703" s="753">
        <v>1001416</v>
      </c>
      <c r="B7703" s="130">
        <v>242</v>
      </c>
      <c r="E7703" s="131"/>
    </row>
    <row r="7704" spans="1:5" x14ac:dyDescent="0.25">
      <c r="A7704" s="753">
        <v>1001420</v>
      </c>
      <c r="B7704" s="130">
        <v>1253873</v>
      </c>
      <c r="E7704" s="131"/>
    </row>
    <row r="7705" spans="1:5" x14ac:dyDescent="0.25">
      <c r="A7705" s="753">
        <v>1001422</v>
      </c>
      <c r="B7705" s="130">
        <v>295</v>
      </c>
      <c r="E7705" s="131"/>
    </row>
    <row r="7706" spans="1:5" x14ac:dyDescent="0.25">
      <c r="A7706" s="753">
        <v>1001514</v>
      </c>
      <c r="B7706" s="130">
        <v>178833</v>
      </c>
      <c r="E7706" s="131"/>
    </row>
    <row r="7707" spans="1:5" x14ac:dyDescent="0.25">
      <c r="A7707" s="753">
        <v>1001516</v>
      </c>
      <c r="B7707" s="130">
        <v>346</v>
      </c>
      <c r="E7707" s="131"/>
    </row>
    <row r="7708" spans="1:5" x14ac:dyDescent="0.25">
      <c r="A7708" s="753">
        <v>1001520</v>
      </c>
      <c r="B7708" s="130">
        <v>1565567</v>
      </c>
      <c r="E7708" s="131"/>
    </row>
    <row r="7709" spans="1:5" x14ac:dyDescent="0.25">
      <c r="A7709" s="753">
        <v>1001522</v>
      </c>
      <c r="B7709" s="130">
        <v>368</v>
      </c>
      <c r="E7709" s="131"/>
    </row>
    <row r="7710" spans="1:5" x14ac:dyDescent="0.25">
      <c r="A7710" s="753">
        <v>1001614</v>
      </c>
      <c r="B7710" s="130">
        <v>85710</v>
      </c>
      <c r="E7710" s="131"/>
    </row>
    <row r="7711" spans="1:5" x14ac:dyDescent="0.25">
      <c r="A7711" s="753">
        <v>1001616</v>
      </c>
      <c r="B7711" s="130">
        <v>166</v>
      </c>
      <c r="E7711" s="131"/>
    </row>
    <row r="7712" spans="1:5" x14ac:dyDescent="0.25">
      <c r="A7712" s="753">
        <v>1001620</v>
      </c>
      <c r="B7712" s="130">
        <v>719644</v>
      </c>
      <c r="E7712" s="131"/>
    </row>
    <row r="7713" spans="1:10" x14ac:dyDescent="0.25">
      <c r="A7713" s="753">
        <v>1001622</v>
      </c>
      <c r="B7713" s="130">
        <v>169</v>
      </c>
      <c r="E7713" s="131"/>
    </row>
    <row r="7714" spans="1:10" x14ac:dyDescent="0.25">
      <c r="A7714" s="753">
        <v>1001714</v>
      </c>
      <c r="B7714" s="130">
        <v>87811</v>
      </c>
      <c r="E7714" s="131"/>
    </row>
    <row r="7715" spans="1:10" x14ac:dyDescent="0.25">
      <c r="A7715" s="753">
        <v>1001716</v>
      </c>
      <c r="B7715" s="130">
        <v>170</v>
      </c>
      <c r="E7715" s="131"/>
    </row>
    <row r="7716" spans="1:10" x14ac:dyDescent="0.25">
      <c r="A7716" s="753">
        <v>1001720</v>
      </c>
      <c r="B7716" s="130">
        <v>890711</v>
      </c>
      <c r="E7716" s="131"/>
    </row>
    <row r="7717" spans="1:10" x14ac:dyDescent="0.25">
      <c r="A7717" s="753">
        <v>1001722</v>
      </c>
      <c r="B7717" s="130">
        <v>210</v>
      </c>
      <c r="E7717" s="131"/>
    </row>
    <row r="7718" spans="1:10" x14ac:dyDescent="0.25">
      <c r="A7718" s="753">
        <v>1001814</v>
      </c>
      <c r="B7718" s="130">
        <v>38631</v>
      </c>
      <c r="E7718" s="131"/>
    </row>
    <row r="7719" spans="1:10" x14ac:dyDescent="0.25">
      <c r="A7719" s="753">
        <v>1001820</v>
      </c>
      <c r="B7719" s="130">
        <v>-181056</v>
      </c>
      <c r="E7719" s="131"/>
    </row>
    <row r="7720" spans="1:10" x14ac:dyDescent="0.25">
      <c r="A7720" s="753">
        <v>1004004</v>
      </c>
      <c r="B7720" s="130">
        <v>15</v>
      </c>
      <c r="E7720" s="131"/>
    </row>
    <row r="7721" spans="1:10" x14ac:dyDescent="0.25">
      <c r="A7721" s="753">
        <v>1004504</v>
      </c>
      <c r="B7721" s="130">
        <v>0</v>
      </c>
      <c r="E7721" s="131"/>
    </row>
    <row r="7722" spans="1:10" x14ac:dyDescent="0.25">
      <c r="A7722" s="753">
        <v>702818</v>
      </c>
      <c r="B7722" s="130">
        <v>1866</v>
      </c>
      <c r="E7722" s="131"/>
    </row>
    <row r="7723" spans="1:10" x14ac:dyDescent="0.25">
      <c r="A7723" s="753">
        <v>702828</v>
      </c>
      <c r="B7723" s="130">
        <v>2592</v>
      </c>
      <c r="E7723" s="131"/>
    </row>
    <row r="7724" spans="1:10" x14ac:dyDescent="0.25">
      <c r="A7724" s="753">
        <v>707518</v>
      </c>
      <c r="B7724" s="130">
        <v>4158</v>
      </c>
      <c r="E7724" s="131"/>
    </row>
    <row r="7725" spans="1:10" x14ac:dyDescent="0.25">
      <c r="A7725" s="753">
        <v>707528</v>
      </c>
      <c r="B7725" s="130">
        <v>2996</v>
      </c>
      <c r="E7725" s="131"/>
    </row>
    <row r="7726" spans="1:10" x14ac:dyDescent="0.25">
      <c r="A7726" s="753">
        <v>707618</v>
      </c>
      <c r="B7726" s="130">
        <v>5719</v>
      </c>
      <c r="E7726" s="131"/>
    </row>
    <row r="7727" spans="1:10" x14ac:dyDescent="0.25">
      <c r="A7727" s="753">
        <v>707628</v>
      </c>
      <c r="B7727" s="130">
        <v>4420</v>
      </c>
      <c r="E7727" s="131"/>
    </row>
    <row r="7728" spans="1:10" x14ac:dyDescent="0.25">
      <c r="A7728" s="753">
        <v>0</v>
      </c>
      <c r="B7728" s="130" t="s">
        <v>2257</v>
      </c>
      <c r="E7728" s="131"/>
      <c r="G7728" s="767">
        <v>45292</v>
      </c>
      <c r="H7728" s="767">
        <v>45566</v>
      </c>
      <c r="J7728" s="767">
        <v>9091</v>
      </c>
    </row>
    <row r="7729" spans="1:5" x14ac:dyDescent="0.25">
      <c r="A7729" s="753"/>
      <c r="E7729" s="131"/>
    </row>
    <row r="7730" spans="1:5" x14ac:dyDescent="0.25">
      <c r="A7730" s="753"/>
      <c r="E7730" s="131"/>
    </row>
    <row r="7731" spans="1:5" x14ac:dyDescent="0.25">
      <c r="A7731" s="753"/>
      <c r="E7731" s="131"/>
    </row>
    <row r="7732" spans="1:5" x14ac:dyDescent="0.25">
      <c r="A7732" s="753"/>
      <c r="E7732" s="131"/>
    </row>
    <row r="7733" spans="1:5" x14ac:dyDescent="0.25">
      <c r="A7733" s="753"/>
      <c r="E7733" s="131"/>
    </row>
    <row r="7734" spans="1:5" x14ac:dyDescent="0.25">
      <c r="A7734" s="753"/>
      <c r="E7734" s="131"/>
    </row>
    <row r="7735" spans="1:5" x14ac:dyDescent="0.25">
      <c r="A7735" s="753"/>
      <c r="E7735" s="131"/>
    </row>
    <row r="7736" spans="1:5" x14ac:dyDescent="0.25">
      <c r="A7736" s="753"/>
      <c r="E7736" s="131"/>
    </row>
    <row r="7737" spans="1:5" x14ac:dyDescent="0.25">
      <c r="A7737" s="753"/>
      <c r="E7737" s="131"/>
    </row>
    <row r="7738" spans="1:5" x14ac:dyDescent="0.25">
      <c r="A7738" s="753"/>
      <c r="E7738" s="131"/>
    </row>
    <row r="7739" spans="1:5" x14ac:dyDescent="0.25">
      <c r="A7739" s="753"/>
      <c r="E7739" s="131"/>
    </row>
    <row r="7740" spans="1:5" x14ac:dyDescent="0.25">
      <c r="A7740" s="753"/>
      <c r="E7740" s="131"/>
    </row>
    <row r="7741" spans="1:5" x14ac:dyDescent="0.25">
      <c r="A7741" s="753"/>
      <c r="E7741" s="131"/>
    </row>
    <row r="7742" spans="1:5" x14ac:dyDescent="0.25">
      <c r="A7742" s="753"/>
      <c r="E7742" s="131"/>
    </row>
    <row r="7743" spans="1:5" x14ac:dyDescent="0.25">
      <c r="A7743" s="753"/>
      <c r="E7743" s="131"/>
    </row>
    <row r="7744" spans="1:5" x14ac:dyDescent="0.25">
      <c r="A7744" s="753"/>
      <c r="E7744" s="131"/>
    </row>
    <row r="7745" spans="1:5" x14ac:dyDescent="0.25">
      <c r="A7745" s="753"/>
      <c r="E7745" s="131"/>
    </row>
    <row r="7746" spans="1:5" x14ac:dyDescent="0.25">
      <c r="A7746" s="753"/>
      <c r="E7746" s="131"/>
    </row>
    <row r="7747" spans="1:5" x14ac:dyDescent="0.25">
      <c r="A7747" s="753"/>
      <c r="E7747" s="131"/>
    </row>
    <row r="7748" spans="1:5" x14ac:dyDescent="0.25">
      <c r="A7748" s="753"/>
      <c r="E7748" s="131"/>
    </row>
    <row r="7749" spans="1:5" x14ac:dyDescent="0.25">
      <c r="A7749" s="753"/>
      <c r="E7749" s="131"/>
    </row>
    <row r="7750" spans="1:5" x14ac:dyDescent="0.25">
      <c r="A7750" s="753"/>
      <c r="E7750" s="131"/>
    </row>
    <row r="7751" spans="1:5" x14ac:dyDescent="0.25">
      <c r="A7751" s="753"/>
      <c r="E7751" s="131"/>
    </row>
    <row r="7752" spans="1:5" x14ac:dyDescent="0.25">
      <c r="A7752" s="753"/>
      <c r="E7752" s="131"/>
    </row>
    <row r="7753" spans="1:5" x14ac:dyDescent="0.25">
      <c r="A7753" s="753"/>
      <c r="E7753" s="131"/>
    </row>
    <row r="7754" spans="1:5" x14ac:dyDescent="0.25">
      <c r="A7754" s="753"/>
      <c r="E7754" s="131"/>
    </row>
    <row r="7755" spans="1:5" x14ac:dyDescent="0.25">
      <c r="A7755" s="753"/>
      <c r="E7755" s="131"/>
    </row>
    <row r="7756" spans="1:5" x14ac:dyDescent="0.25">
      <c r="A7756" s="753"/>
      <c r="E7756" s="131"/>
    </row>
    <row r="7757" spans="1:5" x14ac:dyDescent="0.25">
      <c r="A7757" s="753"/>
      <c r="E7757" s="131"/>
    </row>
    <row r="7758" spans="1:5" x14ac:dyDescent="0.25">
      <c r="A7758" s="753"/>
      <c r="E7758" s="131"/>
    </row>
    <row r="7759" spans="1:5" x14ac:dyDescent="0.25">
      <c r="A7759" s="753"/>
      <c r="E7759" s="131"/>
    </row>
    <row r="7760" spans="1:5" x14ac:dyDescent="0.25">
      <c r="A7760" s="753"/>
      <c r="E7760" s="131"/>
    </row>
    <row r="7761" spans="1:5" x14ac:dyDescent="0.25">
      <c r="A7761" s="753"/>
      <c r="E7761" s="131"/>
    </row>
    <row r="7762" spans="1:5" x14ac:dyDescent="0.25">
      <c r="A7762" s="753"/>
      <c r="E7762" s="131"/>
    </row>
    <row r="7763" spans="1:5" x14ac:dyDescent="0.25">
      <c r="A7763" s="753"/>
      <c r="E7763" s="131"/>
    </row>
    <row r="7764" spans="1:5" x14ac:dyDescent="0.25">
      <c r="A7764" s="753"/>
      <c r="E7764" s="131"/>
    </row>
    <row r="7765" spans="1:5" x14ac:dyDescent="0.25">
      <c r="A7765" s="753"/>
      <c r="E7765" s="131"/>
    </row>
    <row r="7766" spans="1:5" x14ac:dyDescent="0.25">
      <c r="A7766" s="753"/>
      <c r="E7766" s="131"/>
    </row>
    <row r="7767" spans="1:5" x14ac:dyDescent="0.25">
      <c r="A7767" s="753"/>
      <c r="E7767" s="131"/>
    </row>
    <row r="7768" spans="1:5" x14ac:dyDescent="0.25">
      <c r="A7768" s="753"/>
      <c r="E7768" s="131"/>
    </row>
    <row r="7769" spans="1:5" x14ac:dyDescent="0.25">
      <c r="A7769" s="753"/>
      <c r="E7769" s="131"/>
    </row>
    <row r="7770" spans="1:5" x14ac:dyDescent="0.25">
      <c r="A7770" s="753"/>
      <c r="E7770" s="131"/>
    </row>
    <row r="7771" spans="1:5" x14ac:dyDescent="0.25">
      <c r="A7771" s="753"/>
      <c r="E7771" s="131"/>
    </row>
    <row r="7772" spans="1:5" x14ac:dyDescent="0.25">
      <c r="A7772" s="753"/>
      <c r="E7772" s="131"/>
    </row>
    <row r="7773" spans="1:5" x14ac:dyDescent="0.25">
      <c r="A7773" s="753"/>
      <c r="E7773" s="131"/>
    </row>
    <row r="7774" spans="1:5" x14ac:dyDescent="0.25">
      <c r="A7774" s="753"/>
      <c r="E7774" s="131"/>
    </row>
    <row r="7775" spans="1:5" x14ac:dyDescent="0.25">
      <c r="A7775" s="753"/>
      <c r="E7775" s="131"/>
    </row>
    <row r="7776" spans="1:5" x14ac:dyDescent="0.25">
      <c r="A7776" s="753"/>
      <c r="E7776" s="131"/>
    </row>
    <row r="7777" spans="1:5" x14ac:dyDescent="0.25">
      <c r="A7777" s="753"/>
      <c r="E7777" s="131"/>
    </row>
    <row r="7778" spans="1:5" x14ac:dyDescent="0.25">
      <c r="A7778" s="753"/>
      <c r="E7778" s="131"/>
    </row>
    <row r="7779" spans="1:5" x14ac:dyDescent="0.25">
      <c r="A7779" s="753"/>
      <c r="E7779" s="131"/>
    </row>
    <row r="7780" spans="1:5" x14ac:dyDescent="0.25">
      <c r="A7780" s="753"/>
      <c r="E7780" s="131"/>
    </row>
    <row r="7781" spans="1:5" x14ac:dyDescent="0.25">
      <c r="A7781" s="753"/>
      <c r="E7781" s="131"/>
    </row>
    <row r="7782" spans="1:5" x14ac:dyDescent="0.25">
      <c r="A7782" s="753"/>
      <c r="E7782" s="131"/>
    </row>
    <row r="7783" spans="1:5" x14ac:dyDescent="0.25">
      <c r="A7783" s="753"/>
      <c r="E7783" s="131"/>
    </row>
    <row r="7784" spans="1:5" x14ac:dyDescent="0.25">
      <c r="A7784" s="753"/>
      <c r="E7784" s="131"/>
    </row>
    <row r="7785" spans="1:5" x14ac:dyDescent="0.25">
      <c r="A7785" s="753"/>
      <c r="E7785" s="131"/>
    </row>
    <row r="7786" spans="1:5" x14ac:dyDescent="0.25">
      <c r="A7786" s="753"/>
      <c r="E7786" s="131"/>
    </row>
    <row r="7787" spans="1:5" x14ac:dyDescent="0.25">
      <c r="A7787" s="753"/>
      <c r="E7787" s="131"/>
    </row>
    <row r="7788" spans="1:5" x14ac:dyDescent="0.25">
      <c r="A7788" s="753"/>
      <c r="E7788" s="131"/>
    </row>
    <row r="7789" spans="1:5" x14ac:dyDescent="0.25">
      <c r="A7789" s="753"/>
      <c r="E7789" s="131"/>
    </row>
    <row r="7790" spans="1:5" x14ac:dyDescent="0.25">
      <c r="A7790" s="753"/>
      <c r="E7790" s="131"/>
    </row>
    <row r="7791" spans="1:5" x14ac:dyDescent="0.25">
      <c r="A7791" s="753"/>
      <c r="E7791" s="131"/>
    </row>
    <row r="7792" spans="1:5" x14ac:dyDescent="0.25">
      <c r="A7792" s="753"/>
      <c r="E7792" s="131"/>
    </row>
    <row r="7793" spans="1:5" x14ac:dyDescent="0.25">
      <c r="A7793" s="753"/>
      <c r="E7793" s="131"/>
    </row>
    <row r="7794" spans="1:5" x14ac:dyDescent="0.25">
      <c r="A7794" s="753"/>
      <c r="E7794" s="131"/>
    </row>
    <row r="7795" spans="1:5" x14ac:dyDescent="0.25">
      <c r="A7795" s="753"/>
      <c r="E7795" s="131"/>
    </row>
    <row r="7796" spans="1:5" x14ac:dyDescent="0.25">
      <c r="A7796" s="753"/>
      <c r="E7796" s="131"/>
    </row>
    <row r="7797" spans="1:5" x14ac:dyDescent="0.25">
      <c r="A7797" s="753"/>
      <c r="E7797" s="131"/>
    </row>
    <row r="7798" spans="1:5" x14ac:dyDescent="0.25">
      <c r="A7798" s="753"/>
      <c r="E7798" s="131"/>
    </row>
    <row r="7799" spans="1:5" x14ac:dyDescent="0.25">
      <c r="A7799" s="753"/>
      <c r="E7799" s="131"/>
    </row>
    <row r="7800" spans="1:5" x14ac:dyDescent="0.25">
      <c r="A7800" s="753"/>
      <c r="E7800" s="131"/>
    </row>
    <row r="7801" spans="1:5" x14ac:dyDescent="0.25">
      <c r="A7801" s="753"/>
      <c r="E7801" s="131"/>
    </row>
    <row r="7802" spans="1:5" x14ac:dyDescent="0.25">
      <c r="A7802" s="753"/>
      <c r="E7802" s="131"/>
    </row>
    <row r="7803" spans="1:5" x14ac:dyDescent="0.25">
      <c r="A7803" s="753"/>
      <c r="E7803" s="131"/>
    </row>
    <row r="7804" spans="1:5" x14ac:dyDescent="0.25">
      <c r="A7804" s="753"/>
      <c r="E7804" s="131"/>
    </row>
    <row r="7805" spans="1:5" x14ac:dyDescent="0.25">
      <c r="A7805" s="753"/>
      <c r="E7805" s="131"/>
    </row>
    <row r="7806" spans="1:5" x14ac:dyDescent="0.25">
      <c r="A7806" s="753"/>
      <c r="E7806" s="131"/>
    </row>
    <row r="7807" spans="1:5" x14ac:dyDescent="0.25">
      <c r="A7807" s="753"/>
      <c r="E7807" s="131"/>
    </row>
    <row r="7808" spans="1:5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2024-11-11T21:03:58Z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