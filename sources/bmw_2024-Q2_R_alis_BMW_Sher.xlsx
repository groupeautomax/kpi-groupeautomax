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6D7CA350-2E63-453A-A4F8-E0D469F65D3E}" xr6:coauthVersionLast="47" xr6:coauthVersionMax="47" xr10:uidLastSave="{00000000-0000-0000-0000-000000000000}"/>
  <bookViews>
    <workbookView xWindow="-120" yWindow="-120" windowWidth="29040" windowHeight="15720" activeTab="1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Conso!$C$1:$S$353,Conso!$V$402:$AO$498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99" i="5" l="1"/>
  <c r="A498" i="5"/>
  <c r="A497" i="5"/>
  <c r="AO497" i="5" s="1"/>
  <c r="A496" i="5"/>
  <c r="AO496" i="5" s="1"/>
  <c r="A495" i="5"/>
  <c r="A494" i="5"/>
  <c r="AO493" i="5"/>
  <c r="AN493" i="5"/>
  <c r="A493" i="5"/>
  <c r="AI493" i="5" s="1"/>
  <c r="AH492" i="5"/>
  <c r="A492" i="5"/>
  <c r="AI492" i="5" s="1"/>
  <c r="A491" i="5"/>
  <c r="A490" i="5"/>
  <c r="A489" i="5"/>
  <c r="A488" i="5"/>
  <c r="A487" i="5"/>
  <c r="A486" i="5"/>
  <c r="A484" i="5"/>
  <c r="A483" i="5"/>
  <c r="AO482" i="5"/>
  <c r="AN482" i="5"/>
  <c r="A482" i="5"/>
  <c r="A481" i="5"/>
  <c r="A480" i="5"/>
  <c r="A479" i="5"/>
  <c r="A478" i="5"/>
  <c r="AH477" i="5"/>
  <c r="AI477" i="5" s="1"/>
  <c r="A477" i="5"/>
  <c r="A476" i="5"/>
  <c r="A475" i="5"/>
  <c r="A474" i="5"/>
  <c r="A473" i="5"/>
  <c r="A472" i="5"/>
  <c r="A471" i="5"/>
  <c r="A470" i="5"/>
  <c r="AH469" i="5"/>
  <c r="AI469" i="5" s="1"/>
  <c r="A469" i="5"/>
  <c r="AR468" i="5"/>
  <c r="AR483" i="5" s="1"/>
  <c r="A468" i="5"/>
  <c r="AO467" i="5"/>
  <c r="AN467" i="5"/>
  <c r="AH467" i="5"/>
  <c r="A467" i="5"/>
  <c r="A466" i="5"/>
  <c r="A465" i="5"/>
  <c r="A464" i="5"/>
  <c r="A463" i="5"/>
  <c r="A462" i="5"/>
  <c r="A461" i="5"/>
  <c r="A460" i="5"/>
  <c r="A459" i="5"/>
  <c r="AQ458" i="5"/>
  <c r="AO458" i="5"/>
  <c r="AH458" i="5"/>
  <c r="AN458" i="5"/>
  <c r="AI458" i="5"/>
  <c r="A458" i="5"/>
  <c r="AO457" i="5"/>
  <c r="AH457" i="5"/>
  <c r="AN457" i="5"/>
  <c r="A457" i="5"/>
  <c r="AO456" i="5"/>
  <c r="AN456" i="5"/>
  <c r="A456" i="5"/>
  <c r="AO455" i="5"/>
  <c r="AH455" i="5"/>
  <c r="AN455" i="5"/>
  <c r="A455" i="5"/>
  <c r="AH454" i="5"/>
  <c r="AN454" i="5"/>
  <c r="A454" i="5"/>
  <c r="AN453" i="5"/>
  <c r="A453" i="5"/>
  <c r="A452" i="5"/>
  <c r="A451" i="5"/>
  <c r="A450" i="5"/>
  <c r="A449" i="5"/>
  <c r="A448" i="5"/>
  <c r="A447" i="5"/>
  <c r="A446" i="5"/>
  <c r="A445" i="5"/>
  <c r="A444" i="5"/>
  <c r="AQ443" i="5"/>
  <c r="A443" i="5"/>
  <c r="A442" i="5"/>
  <c r="A441" i="5"/>
  <c r="AQ439" i="5"/>
  <c r="A439" i="5"/>
  <c r="A438" i="5"/>
  <c r="A437" i="5"/>
  <c r="A436" i="5"/>
  <c r="A435" i="5"/>
  <c r="AQ434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394" i="5"/>
  <c r="S393" i="5"/>
  <c r="A393" i="5"/>
  <c r="S392" i="5"/>
  <c r="A392" i="5"/>
  <c r="A391" i="5"/>
  <c r="A390" i="5"/>
  <c r="S389" i="5"/>
  <c r="A389" i="5"/>
  <c r="A388" i="5"/>
  <c r="A387" i="5"/>
  <c r="S386" i="5"/>
  <c r="A386" i="5"/>
  <c r="A385" i="5"/>
  <c r="S384" i="5"/>
  <c r="A384" i="5"/>
  <c r="S383" i="5"/>
  <c r="A383" i="5"/>
  <c r="A382" i="5"/>
  <c r="S381" i="5"/>
  <c r="A381" i="5"/>
  <c r="S380" i="5"/>
  <c r="A380" i="5"/>
  <c r="A379" i="5"/>
  <c r="S378" i="5"/>
  <c r="F395" i="5"/>
  <c r="E395" i="5" s="1"/>
  <c r="A378" i="5"/>
  <c r="A377" i="5"/>
  <c r="S376" i="5"/>
  <c r="A376" i="5"/>
  <c r="S375" i="5"/>
  <c r="A375" i="5"/>
  <c r="S374" i="5"/>
  <c r="A374" i="5"/>
  <c r="S373" i="5"/>
  <c r="A373" i="5"/>
  <c r="A372" i="5"/>
  <c r="S371" i="5"/>
  <c r="A371" i="5"/>
  <c r="S370" i="5"/>
  <c r="A370" i="5"/>
  <c r="S369" i="5"/>
  <c r="A369" i="5"/>
  <c r="S368" i="5"/>
  <c r="A368" i="5"/>
  <c r="S367" i="5"/>
  <c r="A367" i="5"/>
  <c r="A366" i="5"/>
  <c r="S365" i="5"/>
  <c r="A365" i="5"/>
  <c r="A364" i="5"/>
  <c r="A363" i="5"/>
  <c r="L362" i="5"/>
  <c r="A362" i="5"/>
  <c r="A361" i="5"/>
  <c r="K360" i="5"/>
  <c r="J362" i="5"/>
  <c r="K362" i="5" s="1"/>
  <c r="F362" i="5"/>
  <c r="A360" i="5"/>
  <c r="D362" i="5" s="1"/>
  <c r="E362" i="5" s="1"/>
  <c r="A359" i="5"/>
  <c r="N352" i="5"/>
  <c r="N348" i="5"/>
  <c r="A348" i="5"/>
  <c r="A347" i="5"/>
  <c r="S346" i="5"/>
  <c r="A346" i="5"/>
  <c r="A345" i="5"/>
  <c r="N344" i="5"/>
  <c r="A344" i="5"/>
  <c r="N343" i="5"/>
  <c r="A343" i="5"/>
  <c r="S343" i="5" s="1"/>
  <c r="A342" i="5"/>
  <c r="A341" i="5"/>
  <c r="A340" i="5"/>
  <c r="A339" i="5"/>
  <c r="N338" i="5"/>
  <c r="A338" i="5"/>
  <c r="S337" i="5"/>
  <c r="N337" i="5"/>
  <c r="A337" i="5"/>
  <c r="N336" i="5"/>
  <c r="A336" i="5"/>
  <c r="N335" i="5"/>
  <c r="A335" i="5"/>
  <c r="S335" i="5" s="1"/>
  <c r="A334" i="5"/>
  <c r="S334" i="5" s="1"/>
  <c r="S333" i="5"/>
  <c r="A333" i="5"/>
  <c r="N332" i="5"/>
  <c r="A332" i="5"/>
  <c r="S332" i="5" s="1"/>
  <c r="A331" i="5"/>
  <c r="A330" i="5"/>
  <c r="S329" i="5"/>
  <c r="N329" i="5"/>
  <c r="A329" i="5"/>
  <c r="N328" i="5"/>
  <c r="S328" i="5"/>
  <c r="A328" i="5"/>
  <c r="N327" i="5"/>
  <c r="A327" i="5"/>
  <c r="N326" i="5"/>
  <c r="S326" i="5"/>
  <c r="A326" i="5"/>
  <c r="S325" i="5"/>
  <c r="N325" i="5"/>
  <c r="A325" i="5"/>
  <c r="N324" i="5"/>
  <c r="A324" i="5"/>
  <c r="A323" i="5"/>
  <c r="A322" i="5"/>
  <c r="A321" i="5"/>
  <c r="S320" i="5"/>
  <c r="N320" i="5"/>
  <c r="A320" i="5"/>
  <c r="S319" i="5"/>
  <c r="A319" i="5"/>
  <c r="N319" i="5" s="1"/>
  <c r="A318" i="5"/>
  <c r="A317" i="5"/>
  <c r="A316" i="5"/>
  <c r="A315" i="5"/>
  <c r="A314" i="5"/>
  <c r="A313" i="5"/>
  <c r="P312" i="5"/>
  <c r="K312" i="5"/>
  <c r="N312" i="5"/>
  <c r="E312" i="5"/>
  <c r="A312" i="5"/>
  <c r="A311" i="5"/>
  <c r="A310" i="5"/>
  <c r="A309" i="5"/>
  <c r="S308" i="5"/>
  <c r="K308" i="5"/>
  <c r="A308" i="5"/>
  <c r="A307" i="5"/>
  <c r="E307" i="5" s="1"/>
  <c r="A306" i="5"/>
  <c r="A305" i="5"/>
  <c r="A304" i="5"/>
  <c r="K303" i="5"/>
  <c r="E303" i="5"/>
  <c r="A303" i="5"/>
  <c r="R302" i="5"/>
  <c r="N302" i="5"/>
  <c r="K302" i="5"/>
  <c r="A302" i="5"/>
  <c r="P301" i="5"/>
  <c r="N301" i="5"/>
  <c r="M301" i="5"/>
  <c r="K301" i="5"/>
  <c r="E301" i="5"/>
  <c r="A301" i="5"/>
  <c r="S301" i="5" s="1"/>
  <c r="K300" i="5"/>
  <c r="A300" i="5"/>
  <c r="A299" i="5"/>
  <c r="E299" i="5" s="1"/>
  <c r="S298" i="5"/>
  <c r="K298" i="5"/>
  <c r="N298" i="5"/>
  <c r="A298" i="5"/>
  <c r="S297" i="5"/>
  <c r="A297" i="5"/>
  <c r="K296" i="5"/>
  <c r="A296" i="5"/>
  <c r="N295" i="5"/>
  <c r="K295" i="5"/>
  <c r="E295" i="5"/>
  <c r="A295" i="5"/>
  <c r="S295" i="5" s="1"/>
  <c r="A294" i="5"/>
  <c r="N288" i="5"/>
  <c r="S284" i="5"/>
  <c r="N284" i="5"/>
  <c r="A284" i="5"/>
  <c r="A283" i="5"/>
  <c r="S283" i="5" s="1"/>
  <c r="A282" i="5"/>
  <c r="A281" i="5"/>
  <c r="S280" i="5"/>
  <c r="A280" i="5"/>
  <c r="A279" i="5"/>
  <c r="N279" i="5" s="1"/>
  <c r="S278" i="5"/>
  <c r="N278" i="5"/>
  <c r="A278" i="5"/>
  <c r="A277" i="5"/>
  <c r="A276" i="5"/>
  <c r="S275" i="5"/>
  <c r="A275" i="5"/>
  <c r="A274" i="5"/>
  <c r="S273" i="5"/>
  <c r="N273" i="5"/>
  <c r="A273" i="5"/>
  <c r="A272" i="5"/>
  <c r="A271" i="5"/>
  <c r="S271" i="5" s="1"/>
  <c r="A270" i="5"/>
  <c r="A269" i="5"/>
  <c r="S268" i="5"/>
  <c r="A268" i="5"/>
  <c r="A267" i="5"/>
  <c r="L266" i="5"/>
  <c r="A266" i="5"/>
  <c r="S265" i="5"/>
  <c r="A265" i="5"/>
  <c r="S264" i="5"/>
  <c r="A264" i="5"/>
  <c r="N264" i="5" s="1"/>
  <c r="A263" i="5"/>
  <c r="S262" i="5"/>
  <c r="A262" i="5"/>
  <c r="A261" i="5"/>
  <c r="S261" i="5" s="1"/>
  <c r="N260" i="5"/>
  <c r="A260" i="5"/>
  <c r="S260" i="5" s="1"/>
  <c r="A259" i="5"/>
  <c r="S259" i="5" s="1"/>
  <c r="S258" i="5"/>
  <c r="N258" i="5"/>
  <c r="A258" i="5"/>
  <c r="S257" i="5"/>
  <c r="A257" i="5"/>
  <c r="N256" i="5"/>
  <c r="A256" i="5"/>
  <c r="A255" i="5"/>
  <c r="S255" i="5" s="1"/>
  <c r="A254" i="5"/>
  <c r="A253" i="5"/>
  <c r="A252" i="5"/>
  <c r="A251" i="5"/>
  <c r="A250" i="5"/>
  <c r="A249" i="5"/>
  <c r="S248" i="5"/>
  <c r="Q248" i="5"/>
  <c r="F248" i="5"/>
  <c r="A248" i="5"/>
  <c r="R247" i="5"/>
  <c r="M247" i="5"/>
  <c r="S247" i="5"/>
  <c r="A247" i="5"/>
  <c r="A246" i="5"/>
  <c r="A245" i="5"/>
  <c r="P250" i="5"/>
  <c r="R244" i="5"/>
  <c r="K250" i="5"/>
  <c r="A244" i="5"/>
  <c r="A243" i="5"/>
  <c r="A242" i="5"/>
  <c r="L242" i="5"/>
  <c r="M241" i="5"/>
  <c r="A241" i="5"/>
  <c r="A240" i="5"/>
  <c r="A239" i="5"/>
  <c r="N232" i="5"/>
  <c r="S228" i="5"/>
  <c r="A228" i="5"/>
  <c r="S227" i="5"/>
  <c r="A227" i="5"/>
  <c r="S226" i="5"/>
  <c r="A226" i="5"/>
  <c r="S225" i="5"/>
  <c r="A225" i="5"/>
  <c r="A224" i="5"/>
  <c r="S224" i="5" s="1"/>
  <c r="A223" i="5"/>
  <c r="A222" i="5"/>
  <c r="S221" i="5"/>
  <c r="N221" i="5"/>
  <c r="A221" i="5"/>
  <c r="S220" i="5"/>
  <c r="A220" i="5"/>
  <c r="A219" i="5"/>
  <c r="S219" i="5" s="1"/>
  <c r="A218" i="5"/>
  <c r="A217" i="5"/>
  <c r="A216" i="5"/>
  <c r="A215" i="5"/>
  <c r="A214" i="5"/>
  <c r="S213" i="5"/>
  <c r="N213" i="5"/>
  <c r="A213" i="5"/>
  <c r="A212" i="5"/>
  <c r="N212" i="5" s="1"/>
  <c r="A211" i="5"/>
  <c r="A210" i="5"/>
  <c r="S209" i="5"/>
  <c r="A209" i="5"/>
  <c r="N208" i="5"/>
  <c r="A208" i="5"/>
  <c r="S207" i="5"/>
  <c r="A207" i="5"/>
  <c r="S206" i="5"/>
  <c r="A206" i="5"/>
  <c r="N205" i="5"/>
  <c r="A205" i="5"/>
  <c r="S204" i="5"/>
  <c r="A204" i="5"/>
  <c r="S203" i="5"/>
  <c r="N203" i="5"/>
  <c r="A203" i="5"/>
  <c r="A202" i="5"/>
  <c r="S202" i="5" s="1"/>
  <c r="S201" i="5"/>
  <c r="N201" i="5"/>
  <c r="A201" i="5"/>
  <c r="S200" i="5"/>
  <c r="A200" i="5"/>
  <c r="A199" i="5"/>
  <c r="N198" i="5"/>
  <c r="A198" i="5"/>
  <c r="A197" i="5"/>
  <c r="A196" i="5"/>
  <c r="A195" i="5"/>
  <c r="A194" i="5"/>
  <c r="A193" i="5"/>
  <c r="Q192" i="5"/>
  <c r="L192" i="5"/>
  <c r="F192" i="5"/>
  <c r="A192" i="5"/>
  <c r="A191" i="5"/>
  <c r="A190" i="5"/>
  <c r="A189" i="5"/>
  <c r="R188" i="5"/>
  <c r="M188" i="5"/>
  <c r="A188" i="5"/>
  <c r="F189" i="5" s="1"/>
  <c r="A187" i="5"/>
  <c r="A186" i="5"/>
  <c r="A185" i="5"/>
  <c r="A184" i="5"/>
  <c r="A183" i="5"/>
  <c r="M182" i="5"/>
  <c r="A182" i="5"/>
  <c r="R181" i="5"/>
  <c r="N181" i="5"/>
  <c r="A181" i="5"/>
  <c r="A180" i="5"/>
  <c r="R179" i="5"/>
  <c r="A179" i="5"/>
  <c r="A178" i="5"/>
  <c r="A177" i="5"/>
  <c r="A176" i="5"/>
  <c r="R175" i="5"/>
  <c r="N175" i="5"/>
  <c r="J185" i="5"/>
  <c r="K186" i="5" s="1"/>
  <c r="A175" i="5"/>
  <c r="A174" i="5"/>
  <c r="L173" i="5"/>
  <c r="A173" i="5"/>
  <c r="K185" i="5"/>
  <c r="A172" i="5"/>
  <c r="A171" i="5"/>
  <c r="A162" i="5"/>
  <c r="S162" i="5" s="1"/>
  <c r="S161" i="5"/>
  <c r="N161" i="5"/>
  <c r="A161" i="5"/>
  <c r="A160" i="5"/>
  <c r="A159" i="5"/>
  <c r="N159" i="5" s="1"/>
  <c r="N158" i="5"/>
  <c r="A158" i="5"/>
  <c r="A157" i="5"/>
  <c r="L163" i="5"/>
  <c r="A156" i="5"/>
  <c r="A155" i="5"/>
  <c r="A154" i="5"/>
  <c r="A153" i="5"/>
  <c r="N152" i="5"/>
  <c r="A152" i="5"/>
  <c r="S151" i="5"/>
  <c r="A151" i="5"/>
  <c r="S150" i="5"/>
  <c r="A150" i="5"/>
  <c r="S149" i="5"/>
  <c r="N149" i="5"/>
  <c r="A149" i="5"/>
  <c r="S148" i="5"/>
  <c r="N148" i="5"/>
  <c r="A148" i="5"/>
  <c r="A147" i="5"/>
  <c r="N146" i="5"/>
  <c r="A146" i="5"/>
  <c r="N145" i="5"/>
  <c r="S145" i="5"/>
  <c r="A145" i="5"/>
  <c r="A144" i="5"/>
  <c r="A143" i="5"/>
  <c r="A142" i="5"/>
  <c r="A141" i="5"/>
  <c r="S140" i="5"/>
  <c r="A140" i="5"/>
  <c r="N140" i="5" s="1"/>
  <c r="S139" i="5"/>
  <c r="N139" i="5"/>
  <c r="A139" i="5"/>
  <c r="S138" i="5"/>
  <c r="A138" i="5"/>
  <c r="A137" i="5"/>
  <c r="A136" i="5"/>
  <c r="A135" i="5"/>
  <c r="A134" i="5"/>
  <c r="S133" i="5"/>
  <c r="N133" i="5"/>
  <c r="A133" i="5"/>
  <c r="A132" i="5"/>
  <c r="S131" i="5"/>
  <c r="A131" i="5"/>
  <c r="A130" i="5"/>
  <c r="N129" i="5"/>
  <c r="A129" i="5"/>
  <c r="A128" i="5"/>
  <c r="S127" i="5"/>
  <c r="A127" i="5"/>
  <c r="A126" i="5"/>
  <c r="S125" i="5"/>
  <c r="N125" i="5"/>
  <c r="A125" i="5"/>
  <c r="S124" i="5"/>
  <c r="N124" i="5"/>
  <c r="A124" i="5"/>
  <c r="A123" i="5"/>
  <c r="A122" i="5"/>
  <c r="N121" i="5"/>
  <c r="S121" i="5"/>
  <c r="A121" i="5"/>
  <c r="A120" i="5"/>
  <c r="A119" i="5"/>
  <c r="A118" i="5"/>
  <c r="A117" i="5"/>
  <c r="A116" i="5"/>
  <c r="S115" i="5"/>
  <c r="A115" i="5"/>
  <c r="S114" i="5"/>
  <c r="N114" i="5"/>
  <c r="A114" i="5"/>
  <c r="A113" i="5"/>
  <c r="A112" i="5"/>
  <c r="A111" i="5"/>
  <c r="A110" i="5"/>
  <c r="A109" i="5"/>
  <c r="A108" i="5"/>
  <c r="A107" i="5"/>
  <c r="A106" i="5"/>
  <c r="A105" i="5"/>
  <c r="S104" i="5"/>
  <c r="E104" i="5"/>
  <c r="A104" i="5"/>
  <c r="A103" i="5"/>
  <c r="E103" i="5" s="1"/>
  <c r="E102" i="5"/>
  <c r="A102" i="5"/>
  <c r="A101" i="5"/>
  <c r="P100" i="5"/>
  <c r="E100" i="5"/>
  <c r="A100" i="5"/>
  <c r="A99" i="5"/>
  <c r="A98" i="5"/>
  <c r="A97" i="5"/>
  <c r="P96" i="5"/>
  <c r="N96" i="5"/>
  <c r="S96" i="5"/>
  <c r="E96" i="5"/>
  <c r="A96" i="5"/>
  <c r="O97" i="5"/>
  <c r="A95" i="5"/>
  <c r="P94" i="5"/>
  <c r="N94" i="5"/>
  <c r="M94" i="5"/>
  <c r="S94" i="5"/>
  <c r="K94" i="5"/>
  <c r="E94" i="5"/>
  <c r="A94" i="5"/>
  <c r="A93" i="5"/>
  <c r="B85" i="5"/>
  <c r="A85" i="5"/>
  <c r="B84" i="5"/>
  <c r="A84" i="5"/>
  <c r="B83" i="5"/>
  <c r="A83" i="5" s="1"/>
  <c r="B82" i="5"/>
  <c r="A82" i="5"/>
  <c r="S81" i="5"/>
  <c r="N81" i="5"/>
  <c r="B81" i="5"/>
  <c r="A81" i="5" s="1"/>
  <c r="B80" i="5"/>
  <c r="B79" i="5"/>
  <c r="B78" i="5"/>
  <c r="A78" i="5"/>
  <c r="S77" i="5"/>
  <c r="B77" i="5"/>
  <c r="A77" i="5"/>
  <c r="N76" i="5"/>
  <c r="B76" i="5"/>
  <c r="A76" i="5"/>
  <c r="B75" i="5"/>
  <c r="A75" i="5"/>
  <c r="B74" i="5"/>
  <c r="A74" i="5"/>
  <c r="B73" i="5"/>
  <c r="A73" i="5"/>
  <c r="B72" i="5"/>
  <c r="A72" i="5" s="1"/>
  <c r="B71" i="5"/>
  <c r="A71" i="5"/>
  <c r="B70" i="5"/>
  <c r="S69" i="5"/>
  <c r="B69" i="5"/>
  <c r="A69" i="5" s="1"/>
  <c r="N69" i="5" s="1"/>
  <c r="B68" i="5"/>
  <c r="S68" i="5" s="1"/>
  <c r="A68" i="5"/>
  <c r="B67" i="5"/>
  <c r="A67" i="5" s="1"/>
  <c r="B66" i="5"/>
  <c r="A66" i="5"/>
  <c r="B65" i="5"/>
  <c r="B64" i="5"/>
  <c r="A64" i="5" s="1"/>
  <c r="B63" i="5"/>
  <c r="A63" i="5"/>
  <c r="B62" i="5"/>
  <c r="A62" i="5" s="1"/>
  <c r="S61" i="5"/>
  <c r="B61" i="5"/>
  <c r="A61" i="5"/>
  <c r="S60" i="5"/>
  <c r="B60" i="5"/>
  <c r="A60" i="5"/>
  <c r="N60" i="5" s="1"/>
  <c r="B59" i="5"/>
  <c r="B58" i="5"/>
  <c r="B57" i="5"/>
  <c r="B56" i="5"/>
  <c r="A56" i="5"/>
  <c r="B55" i="5"/>
  <c r="A55" i="5" s="1"/>
  <c r="B54" i="5"/>
  <c r="A54" i="5" s="1"/>
  <c r="B53" i="5"/>
  <c r="B52" i="5"/>
  <c r="A52" i="5" s="1"/>
  <c r="B51" i="5"/>
  <c r="A51" i="5"/>
  <c r="N50" i="5"/>
  <c r="B50" i="5"/>
  <c r="A50" i="5" s="1"/>
  <c r="B49" i="5"/>
  <c r="A49" i="5"/>
  <c r="B48" i="5"/>
  <c r="A48" i="5"/>
  <c r="B47" i="5"/>
  <c r="A47" i="5"/>
  <c r="B46" i="5"/>
  <c r="A46" i="5" s="1"/>
  <c r="B45" i="5"/>
  <c r="A45" i="5"/>
  <c r="B44" i="5"/>
  <c r="B43" i="5"/>
  <c r="A43" i="5"/>
  <c r="B42" i="5"/>
  <c r="A42" i="5"/>
  <c r="B41" i="5"/>
  <c r="A41" i="5"/>
  <c r="B40" i="5"/>
  <c r="B39" i="5"/>
  <c r="A39" i="5" s="1"/>
  <c r="B38" i="5"/>
  <c r="A38" i="5" s="1"/>
  <c r="B37" i="5"/>
  <c r="V36" i="5"/>
  <c r="B36" i="5"/>
  <c r="A36" i="5"/>
  <c r="B35" i="5"/>
  <c r="A35" i="5"/>
  <c r="B34" i="5"/>
  <c r="S33" i="5"/>
  <c r="B33" i="5"/>
  <c r="A33" i="5"/>
  <c r="B32" i="5"/>
  <c r="B31" i="5"/>
  <c r="A31" i="5" s="1"/>
  <c r="B30" i="5"/>
  <c r="A30" i="5" s="1"/>
  <c r="B29" i="5"/>
  <c r="A29" i="5" s="1"/>
  <c r="B28" i="5"/>
  <c r="A28" i="5"/>
  <c r="B27" i="5"/>
  <c r="A27" i="5"/>
  <c r="B26" i="5"/>
  <c r="A26" i="5"/>
  <c r="B25" i="5"/>
  <c r="A25" i="5" s="1"/>
  <c r="B24" i="5"/>
  <c r="A24" i="5" s="1"/>
  <c r="E23" i="5"/>
  <c r="B23" i="5"/>
  <c r="A23" i="5"/>
  <c r="B22" i="5"/>
  <c r="A22" i="5"/>
  <c r="B21" i="5"/>
  <c r="L24" i="5" s="1"/>
  <c r="A21" i="5"/>
  <c r="B20" i="5"/>
  <c r="A20" i="5" s="1"/>
  <c r="R19" i="5"/>
  <c r="B19" i="5"/>
  <c r="A19" i="5" s="1"/>
  <c r="B18" i="5"/>
  <c r="A18" i="5"/>
  <c r="R17" i="5"/>
  <c r="P17" i="5"/>
  <c r="E17" i="5"/>
  <c r="B17" i="5"/>
  <c r="A17" i="5"/>
  <c r="B16" i="5"/>
  <c r="A16" i="5" s="1"/>
  <c r="B15" i="5"/>
  <c r="A15" i="5" s="1"/>
  <c r="B14" i="5"/>
  <c r="A14" i="5" s="1"/>
  <c r="B13" i="5"/>
  <c r="A13" i="5"/>
  <c r="P12" i="5"/>
  <c r="K12" i="5"/>
  <c r="E12" i="5"/>
  <c r="B12" i="5"/>
  <c r="A12" i="5"/>
  <c r="N11" i="5"/>
  <c r="K11" i="5"/>
  <c r="B11" i="5"/>
  <c r="A11" i="5"/>
  <c r="B10" i="5"/>
  <c r="A10" i="5"/>
  <c r="S9" i="5"/>
  <c r="P9" i="5"/>
  <c r="N9" i="5"/>
  <c r="K9" i="5"/>
  <c r="E9" i="5"/>
  <c r="M9" i="5"/>
  <c r="B9" i="5"/>
  <c r="A9" i="5"/>
  <c r="K8" i="5"/>
  <c r="B8" i="5"/>
  <c r="A8" i="5"/>
  <c r="K7" i="5"/>
  <c r="B7" i="5"/>
  <c r="A7" i="5"/>
  <c r="B6" i="5"/>
  <c r="A6" i="5" s="1"/>
  <c r="B5" i="5"/>
  <c r="A5" i="5"/>
  <c r="S89" i="5"/>
  <c r="A499" i="15"/>
  <c r="A498" i="15"/>
  <c r="AN497" i="15"/>
  <c r="A497" i="15"/>
  <c r="AO497" i="15" s="1"/>
  <c r="AN496" i="15"/>
  <c r="A496" i="15"/>
  <c r="AO496" i="15" s="1"/>
  <c r="A495" i="15"/>
  <c r="AN495" i="15" s="1"/>
  <c r="AO494" i="15"/>
  <c r="AN494" i="15"/>
  <c r="AI494" i="15"/>
  <c r="A494" i="15"/>
  <c r="AO493" i="15"/>
  <c r="AN493" i="15"/>
  <c r="AI493" i="15"/>
  <c r="A493" i="15"/>
  <c r="A492" i="15"/>
  <c r="AI492" i="15" s="1"/>
  <c r="AN491" i="15"/>
  <c r="A491" i="15"/>
  <c r="A490" i="15"/>
  <c r="A489" i="15"/>
  <c r="A488" i="15"/>
  <c r="A487" i="15"/>
  <c r="A486" i="15"/>
  <c r="A484" i="15"/>
  <c r="AR483" i="15"/>
  <c r="A483" i="15"/>
  <c r="AO482" i="15"/>
  <c r="AN482" i="15"/>
  <c r="A482" i="15"/>
  <c r="A481" i="15"/>
  <c r="AQ480" i="15"/>
  <c r="A480" i="15"/>
  <c r="A479" i="15"/>
  <c r="A478" i="15"/>
  <c r="A477" i="15"/>
  <c r="A476" i="15"/>
  <c r="A475" i="15"/>
  <c r="A474" i="15"/>
  <c r="A473" i="15"/>
  <c r="A472" i="15"/>
  <c r="AQ471" i="15"/>
  <c r="A471" i="15"/>
  <c r="A470" i="15"/>
  <c r="AQ469" i="15"/>
  <c r="A469" i="15"/>
  <c r="A468" i="15"/>
  <c r="AO467" i="15"/>
  <c r="AN467" i="15"/>
  <c r="AH467" i="15"/>
  <c r="A467" i="15"/>
  <c r="A466" i="15"/>
  <c r="A465" i="15"/>
  <c r="A464" i="15"/>
  <c r="A463" i="15"/>
  <c r="A462" i="15"/>
  <c r="AN461" i="15"/>
  <c r="A461" i="15"/>
  <c r="AO460" i="15"/>
  <c r="AN460" i="15"/>
  <c r="A460" i="15"/>
  <c r="AN459" i="15"/>
  <c r="A459" i="15"/>
  <c r="AQ458" i="15"/>
  <c r="A458" i="15"/>
  <c r="AN457" i="15"/>
  <c r="AO457" i="15" s="1"/>
  <c r="A457" i="15"/>
  <c r="AO456" i="15"/>
  <c r="AI456" i="15"/>
  <c r="AH456" i="15"/>
  <c r="AN456" i="15"/>
  <c r="A456" i="15"/>
  <c r="A455" i="15"/>
  <c r="AN454" i="15"/>
  <c r="AO454" i="15" s="1"/>
  <c r="A454" i="15"/>
  <c r="AN453" i="15"/>
  <c r="A453" i="15"/>
  <c r="A452" i="15"/>
  <c r="A451" i="15"/>
  <c r="A450" i="15"/>
  <c r="A449" i="15"/>
  <c r="A448" i="15"/>
  <c r="A447" i="15"/>
  <c r="AQ446" i="15"/>
  <c r="A446" i="15"/>
  <c r="A445" i="15"/>
  <c r="A444" i="15"/>
  <c r="A443" i="15"/>
  <c r="A442" i="15"/>
  <c r="A441" i="15"/>
  <c r="A439" i="15"/>
  <c r="A438" i="15"/>
  <c r="AQ437" i="15"/>
  <c r="A437" i="15"/>
  <c r="A436" i="15"/>
  <c r="A435" i="15"/>
  <c r="AQ434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A404" i="15"/>
  <c r="S394" i="15"/>
  <c r="A394" i="15"/>
  <c r="S393" i="15"/>
  <c r="A393" i="15"/>
  <c r="A392" i="15"/>
  <c r="S391" i="15"/>
  <c r="A391" i="15"/>
  <c r="S390" i="15"/>
  <c r="A390" i="15"/>
  <c r="S389" i="15"/>
  <c r="A389" i="15"/>
  <c r="A388" i="15"/>
  <c r="S387" i="15"/>
  <c r="A387" i="15"/>
  <c r="S386" i="15"/>
  <c r="A386" i="15"/>
  <c r="S385" i="15"/>
  <c r="A385" i="15"/>
  <c r="A384" i="15"/>
  <c r="S383" i="15"/>
  <c r="A383" i="15"/>
  <c r="S382" i="15"/>
  <c r="A382" i="15"/>
  <c r="S381" i="15"/>
  <c r="A381" i="15"/>
  <c r="A380" i="15"/>
  <c r="S379" i="15"/>
  <c r="A379" i="15"/>
  <c r="S378" i="15"/>
  <c r="A378" i="15"/>
  <c r="A377" i="15"/>
  <c r="S376" i="15"/>
  <c r="A376" i="15"/>
  <c r="S375" i="15"/>
  <c r="A375" i="15"/>
  <c r="A374" i="15"/>
  <c r="S374" i="15" s="1"/>
  <c r="A373" i="15"/>
  <c r="A372" i="15"/>
  <c r="A371" i="15"/>
  <c r="S370" i="15"/>
  <c r="A370" i="15"/>
  <c r="S369" i="15"/>
  <c r="A369" i="15"/>
  <c r="S368" i="15"/>
  <c r="A368" i="15"/>
  <c r="S367" i="15"/>
  <c r="A367" i="15"/>
  <c r="A366" i="15"/>
  <c r="S366" i="15" s="1"/>
  <c r="A365" i="15"/>
  <c r="A364" i="15"/>
  <c r="A363" i="15"/>
  <c r="L362" i="15"/>
  <c r="A362" i="15"/>
  <c r="A361" i="15"/>
  <c r="J362" i="15"/>
  <c r="K362" i="15" s="1"/>
  <c r="A360" i="15"/>
  <c r="F362" i="15" s="1"/>
  <c r="A359" i="15"/>
  <c r="N352" i="15"/>
  <c r="N348" i="15"/>
  <c r="A348" i="15"/>
  <c r="S347" i="15"/>
  <c r="N347" i="15"/>
  <c r="A347" i="15"/>
  <c r="A346" i="15"/>
  <c r="N345" i="15"/>
  <c r="A345" i="15"/>
  <c r="S344" i="15"/>
  <c r="A344" i="15"/>
  <c r="S343" i="15"/>
  <c r="N343" i="15"/>
  <c r="A343" i="15"/>
  <c r="A342" i="15"/>
  <c r="A341" i="15"/>
  <c r="A340" i="15"/>
  <c r="A339" i="15"/>
  <c r="A338" i="15"/>
  <c r="A337" i="15"/>
  <c r="N336" i="15"/>
  <c r="A336" i="15"/>
  <c r="A335" i="15"/>
  <c r="N334" i="15"/>
  <c r="A334" i="15"/>
  <c r="A333" i="15"/>
  <c r="A332" i="15"/>
  <c r="A331" i="15"/>
  <c r="A330" i="15"/>
  <c r="A329" i="15"/>
  <c r="A328" i="15"/>
  <c r="A327" i="15"/>
  <c r="S326" i="15"/>
  <c r="N326" i="15"/>
  <c r="A326" i="15"/>
  <c r="S325" i="15"/>
  <c r="N325" i="15"/>
  <c r="A325" i="15"/>
  <c r="A324" i="15"/>
  <c r="S323" i="15"/>
  <c r="A323" i="15"/>
  <c r="A322" i="15"/>
  <c r="S321" i="15"/>
  <c r="N321" i="15"/>
  <c r="A321" i="15"/>
  <c r="N320" i="15"/>
  <c r="A320" i="15"/>
  <c r="S320" i="15" s="1"/>
  <c r="S319" i="15"/>
  <c r="A319" i="15"/>
  <c r="N319" i="15" s="1"/>
  <c r="A318" i="15"/>
  <c r="A317" i="15"/>
  <c r="A316" i="15"/>
  <c r="A315" i="15"/>
  <c r="A314" i="15"/>
  <c r="A313" i="15"/>
  <c r="S312" i="15"/>
  <c r="R312" i="15" s="1"/>
  <c r="N312" i="15"/>
  <c r="K312" i="15"/>
  <c r="M312" i="15"/>
  <c r="A312" i="15"/>
  <c r="A311" i="15"/>
  <c r="A310" i="15"/>
  <c r="A309" i="15"/>
  <c r="N308" i="15"/>
  <c r="E308" i="15"/>
  <c r="A308" i="15"/>
  <c r="K307" i="15"/>
  <c r="A307" i="15"/>
  <c r="A306" i="15"/>
  <c r="A305" i="15"/>
  <c r="A304" i="15"/>
  <c r="S303" i="15"/>
  <c r="N303" i="15"/>
  <c r="K303" i="15"/>
  <c r="E303" i="15"/>
  <c r="A303" i="15"/>
  <c r="K302" i="15"/>
  <c r="E302" i="15"/>
  <c r="A302" i="15"/>
  <c r="K301" i="15"/>
  <c r="A301" i="15"/>
  <c r="A300" i="15"/>
  <c r="K299" i="15"/>
  <c r="M299" i="15"/>
  <c r="A299" i="15"/>
  <c r="A298" i="15"/>
  <c r="E297" i="15"/>
  <c r="A297" i="15"/>
  <c r="A296" i="15"/>
  <c r="A295" i="15"/>
  <c r="A294" i="15"/>
  <c r="N288" i="15"/>
  <c r="S284" i="15"/>
  <c r="N284" i="15"/>
  <c r="A284" i="15"/>
  <c r="S283" i="15"/>
  <c r="N283" i="15"/>
  <c r="A283" i="15"/>
  <c r="S282" i="15"/>
  <c r="N282" i="15"/>
  <c r="A282" i="15"/>
  <c r="S281" i="15"/>
  <c r="A281" i="15"/>
  <c r="S280" i="15"/>
  <c r="N280" i="15"/>
  <c r="A280" i="15"/>
  <c r="N279" i="15"/>
  <c r="A279" i="15"/>
  <c r="A278" i="15"/>
  <c r="A277" i="15"/>
  <c r="A276" i="15"/>
  <c r="A275" i="15"/>
  <c r="N274" i="15"/>
  <c r="A274" i="15"/>
  <c r="N273" i="15"/>
  <c r="A273" i="15"/>
  <c r="N272" i="15"/>
  <c r="A272" i="15"/>
  <c r="A271" i="15"/>
  <c r="A270" i="15"/>
  <c r="A269" i="15"/>
  <c r="N268" i="15"/>
  <c r="A268" i="15"/>
  <c r="A267" i="15"/>
  <c r="A266" i="15"/>
  <c r="S265" i="15"/>
  <c r="N265" i="15"/>
  <c r="A265" i="15"/>
  <c r="N264" i="15"/>
  <c r="A264" i="15"/>
  <c r="N263" i="15"/>
  <c r="A263" i="15"/>
  <c r="S263" i="15" s="1"/>
  <c r="A262" i="15"/>
  <c r="S262" i="15" s="1"/>
  <c r="A261" i="15"/>
  <c r="S260" i="15"/>
  <c r="N260" i="15"/>
  <c r="A260" i="15"/>
  <c r="S259" i="15"/>
  <c r="A259" i="15"/>
  <c r="S258" i="15"/>
  <c r="A258" i="15"/>
  <c r="N257" i="15"/>
  <c r="S257" i="15"/>
  <c r="A257" i="15"/>
  <c r="S256" i="15"/>
  <c r="A256" i="15"/>
  <c r="N256" i="15" s="1"/>
  <c r="L266" i="15"/>
  <c r="A255" i="15"/>
  <c r="A254" i="15"/>
  <c r="A253" i="15"/>
  <c r="A252" i="15"/>
  <c r="A251" i="15"/>
  <c r="A250" i="15"/>
  <c r="A249" i="15"/>
  <c r="S248" i="15"/>
  <c r="Q248" i="15"/>
  <c r="N248" i="15"/>
  <c r="F248" i="15"/>
  <c r="A248" i="15"/>
  <c r="R247" i="15"/>
  <c r="N247" i="15"/>
  <c r="K250" i="15"/>
  <c r="A247" i="15"/>
  <c r="A246" i="15"/>
  <c r="S245" i="15"/>
  <c r="A245" i="15"/>
  <c r="R244" i="15"/>
  <c r="K266" i="15"/>
  <c r="M244" i="15"/>
  <c r="A244" i="15"/>
  <c r="A243" i="15"/>
  <c r="F242" i="15"/>
  <c r="A242" i="15"/>
  <c r="Q242" i="15"/>
  <c r="R241" i="15"/>
  <c r="M241" i="15"/>
  <c r="A241" i="15"/>
  <c r="A240" i="15"/>
  <c r="A239" i="15"/>
  <c r="N232" i="15"/>
  <c r="S228" i="15"/>
  <c r="N228" i="15"/>
  <c r="A228" i="15"/>
  <c r="A227" i="15"/>
  <c r="A226" i="15"/>
  <c r="N225" i="15"/>
  <c r="A225" i="15"/>
  <c r="S225" i="15" s="1"/>
  <c r="N224" i="15"/>
  <c r="A224" i="15"/>
  <c r="A223" i="15"/>
  <c r="A222" i="15"/>
  <c r="A221" i="15"/>
  <c r="A220" i="15"/>
  <c r="S219" i="15"/>
  <c r="A219" i="15"/>
  <c r="S218" i="15"/>
  <c r="N218" i="15"/>
  <c r="A218" i="15"/>
  <c r="N217" i="15"/>
  <c r="A217" i="15"/>
  <c r="S216" i="15"/>
  <c r="A216" i="15"/>
  <c r="N215" i="15"/>
  <c r="A215" i="15"/>
  <c r="A214" i="15"/>
  <c r="A213" i="15"/>
  <c r="S213" i="15" s="1"/>
  <c r="S212" i="15"/>
  <c r="A212" i="15"/>
  <c r="N212" i="15" s="1"/>
  <c r="S211" i="15"/>
  <c r="A211" i="15"/>
  <c r="A210" i="15"/>
  <c r="A209" i="15"/>
  <c r="S208" i="15"/>
  <c r="N208" i="15"/>
  <c r="A208" i="15"/>
  <c r="A207" i="15"/>
  <c r="A206" i="15"/>
  <c r="N205" i="15"/>
  <c r="A205" i="15"/>
  <c r="A204" i="15"/>
  <c r="A203" i="15"/>
  <c r="A202" i="15"/>
  <c r="N202" i="15" s="1"/>
  <c r="S201" i="15"/>
  <c r="A201" i="15"/>
  <c r="L210" i="15"/>
  <c r="A200" i="15"/>
  <c r="S199" i="15"/>
  <c r="A199" i="15"/>
  <c r="A198" i="15"/>
  <c r="A197" i="15"/>
  <c r="A196" i="15"/>
  <c r="A195" i="15"/>
  <c r="A194" i="15"/>
  <c r="A193" i="15"/>
  <c r="L192" i="15"/>
  <c r="A192" i="15"/>
  <c r="A191" i="15"/>
  <c r="A190" i="15"/>
  <c r="L189" i="15"/>
  <c r="A189" i="15"/>
  <c r="R188" i="15"/>
  <c r="M188" i="15"/>
  <c r="A188" i="15"/>
  <c r="A187" i="15"/>
  <c r="A186" i="15"/>
  <c r="L185" i="15"/>
  <c r="A185" i="15"/>
  <c r="S184" i="15"/>
  <c r="A184" i="15"/>
  <c r="A183" i="15"/>
  <c r="M182" i="15"/>
  <c r="L182" i="15"/>
  <c r="A182" i="15"/>
  <c r="A181" i="15"/>
  <c r="A180" i="15"/>
  <c r="R179" i="15"/>
  <c r="A179" i="15"/>
  <c r="Q179" i="15"/>
  <c r="M178" i="15"/>
  <c r="A178" i="15"/>
  <c r="R178" i="15" s="1"/>
  <c r="A177" i="15"/>
  <c r="A176" i="15"/>
  <c r="R175" i="15"/>
  <c r="L176" i="15"/>
  <c r="A175" i="15"/>
  <c r="A174" i="15"/>
  <c r="A173" i="15"/>
  <c r="R172" i="15"/>
  <c r="M172" i="15"/>
  <c r="E174" i="15"/>
  <c r="A172" i="15"/>
  <c r="A171" i="15"/>
  <c r="N162" i="15"/>
  <c r="A162" i="15"/>
  <c r="A161" i="15"/>
  <c r="S160" i="15"/>
  <c r="A160" i="15"/>
  <c r="N160" i="15" s="1"/>
  <c r="S159" i="15"/>
  <c r="N159" i="15"/>
  <c r="A159" i="15"/>
  <c r="S158" i="15"/>
  <c r="A158" i="15"/>
  <c r="N157" i="15"/>
  <c r="A157" i="15"/>
  <c r="S157" i="15" s="1"/>
  <c r="S156" i="15"/>
  <c r="A156" i="15"/>
  <c r="A155" i="15"/>
  <c r="A154" i="15"/>
  <c r="A153" i="15"/>
  <c r="A152" i="15"/>
  <c r="S151" i="15"/>
  <c r="A151" i="15"/>
  <c r="N151" i="15" s="1"/>
  <c r="A150" i="15"/>
  <c r="A149" i="15"/>
  <c r="S148" i="15"/>
  <c r="A148" i="15"/>
  <c r="A147" i="15"/>
  <c r="A146" i="15"/>
  <c r="N146" i="15" s="1"/>
  <c r="S145" i="15"/>
  <c r="N145" i="15"/>
  <c r="A145" i="15"/>
  <c r="N144" i="15"/>
  <c r="A144" i="15"/>
  <c r="S143" i="15"/>
  <c r="A143" i="15"/>
  <c r="A142" i="15"/>
  <c r="S142" i="15" s="1"/>
  <c r="S141" i="15"/>
  <c r="A141" i="15"/>
  <c r="A140" i="15"/>
  <c r="S139" i="15"/>
  <c r="N139" i="15"/>
  <c r="A139" i="15"/>
  <c r="A138" i="15"/>
  <c r="A137" i="15"/>
  <c r="A136" i="15"/>
  <c r="A135" i="15"/>
  <c r="N134" i="15"/>
  <c r="A134" i="15"/>
  <c r="A133" i="15"/>
  <c r="A132" i="15"/>
  <c r="A131" i="15"/>
  <c r="A130" i="15"/>
  <c r="N129" i="15"/>
  <c r="A129" i="15"/>
  <c r="S129" i="15" s="1"/>
  <c r="A128" i="15"/>
  <c r="S127" i="15"/>
  <c r="A127" i="15"/>
  <c r="S126" i="15"/>
  <c r="A126" i="15"/>
  <c r="N125" i="15"/>
  <c r="A125" i="15"/>
  <c r="A124" i="15"/>
  <c r="A123" i="15"/>
  <c r="A122" i="15"/>
  <c r="A121" i="15"/>
  <c r="N121" i="15" s="1"/>
  <c r="S120" i="15"/>
  <c r="A120" i="15"/>
  <c r="A119" i="15"/>
  <c r="E119" i="15" s="1"/>
  <c r="S118" i="15"/>
  <c r="N118" i="15"/>
  <c r="A118" i="15"/>
  <c r="V117" i="15"/>
  <c r="A117" i="15"/>
  <c r="N117" i="15" s="1"/>
  <c r="N116" i="15"/>
  <c r="A116" i="15"/>
  <c r="A115" i="15"/>
  <c r="N114" i="15"/>
  <c r="A114" i="15"/>
  <c r="A113" i="15"/>
  <c r="A112" i="15"/>
  <c r="A111" i="15"/>
  <c r="A110" i="15"/>
  <c r="A109" i="15"/>
  <c r="A108" i="15"/>
  <c r="A107" i="15"/>
  <c r="A106" i="15"/>
  <c r="A105" i="15"/>
  <c r="N104" i="15"/>
  <c r="L105" i="15"/>
  <c r="A104" i="15"/>
  <c r="N103" i="15"/>
  <c r="E103" i="15"/>
  <c r="A103" i="15"/>
  <c r="A102" i="15"/>
  <c r="F105" i="15" s="1"/>
  <c r="A101" i="15"/>
  <c r="K100" i="15"/>
  <c r="A100" i="15"/>
  <c r="A99" i="15"/>
  <c r="A98" i="15"/>
  <c r="A97" i="15"/>
  <c r="P96" i="15"/>
  <c r="N96" i="15"/>
  <c r="S96" i="15"/>
  <c r="R96" i="15"/>
  <c r="A96" i="15"/>
  <c r="E96" i="15" s="1"/>
  <c r="S95" i="15"/>
  <c r="M95" i="15"/>
  <c r="K95" i="15"/>
  <c r="N95" i="15"/>
  <c r="E95" i="15"/>
  <c r="A95" i="15"/>
  <c r="Q97" i="15"/>
  <c r="P94" i="15"/>
  <c r="L97" i="15"/>
  <c r="K94" i="15"/>
  <c r="R94" i="15"/>
  <c r="D97" i="15"/>
  <c r="A94" i="15"/>
  <c r="A93" i="15"/>
  <c r="S89" i="15"/>
  <c r="B85" i="15"/>
  <c r="A85" i="15" s="1"/>
  <c r="B84" i="15"/>
  <c r="A84" i="15"/>
  <c r="B83" i="15"/>
  <c r="A83" i="15"/>
  <c r="B82" i="15"/>
  <c r="A82" i="15"/>
  <c r="N81" i="15"/>
  <c r="B81" i="15"/>
  <c r="A81" i="15" s="1"/>
  <c r="S81" i="15" s="1"/>
  <c r="B80" i="15"/>
  <c r="A80" i="15" s="1"/>
  <c r="B79" i="15"/>
  <c r="A79" i="15" s="1"/>
  <c r="B78" i="15"/>
  <c r="B77" i="15"/>
  <c r="A77" i="15"/>
  <c r="B76" i="15"/>
  <c r="A76" i="15" s="1"/>
  <c r="B75" i="15"/>
  <c r="A75" i="15" s="1"/>
  <c r="B74" i="15"/>
  <c r="A74" i="15"/>
  <c r="B73" i="15"/>
  <c r="A73" i="15" s="1"/>
  <c r="B72" i="15"/>
  <c r="A72" i="15"/>
  <c r="B71" i="15"/>
  <c r="N70" i="15"/>
  <c r="B70" i="15"/>
  <c r="A70" i="15"/>
  <c r="S69" i="15"/>
  <c r="B69" i="15"/>
  <c r="A69" i="15"/>
  <c r="N69" i="15" s="1"/>
  <c r="B68" i="15"/>
  <c r="A68" i="15"/>
  <c r="S67" i="15"/>
  <c r="B67" i="15"/>
  <c r="A67" i="15" s="1"/>
  <c r="B66" i="15"/>
  <c r="N66" i="15" s="1"/>
  <c r="A66" i="15"/>
  <c r="B65" i="15"/>
  <c r="B64" i="15"/>
  <c r="B63" i="15"/>
  <c r="A63" i="15"/>
  <c r="N63" i="15" s="1"/>
  <c r="B62" i="15"/>
  <c r="A62" i="15"/>
  <c r="S61" i="15"/>
  <c r="B61" i="15"/>
  <c r="A61" i="15" s="1"/>
  <c r="B60" i="15"/>
  <c r="A60" i="15" s="1"/>
  <c r="B59" i="15"/>
  <c r="B58" i="15"/>
  <c r="B57" i="15"/>
  <c r="A57" i="15"/>
  <c r="B56" i="15"/>
  <c r="A56" i="15" s="1"/>
  <c r="B55" i="15"/>
  <c r="A55" i="15" s="1"/>
  <c r="B54" i="15"/>
  <c r="A54" i="15" s="1"/>
  <c r="B53" i="15"/>
  <c r="A53" i="15"/>
  <c r="N52" i="15"/>
  <c r="B52" i="15"/>
  <c r="S52" i="15" s="1"/>
  <c r="A52" i="15"/>
  <c r="B51" i="15"/>
  <c r="A51" i="15"/>
  <c r="B50" i="15"/>
  <c r="A50" i="15"/>
  <c r="B49" i="15"/>
  <c r="A49" i="15"/>
  <c r="B48" i="15"/>
  <c r="N47" i="15"/>
  <c r="B47" i="15"/>
  <c r="A47" i="15"/>
  <c r="B46" i="15"/>
  <c r="A46" i="15"/>
  <c r="B45" i="15"/>
  <c r="A45" i="15" s="1"/>
  <c r="B44" i="15"/>
  <c r="B43" i="15"/>
  <c r="B42" i="15"/>
  <c r="B41" i="15"/>
  <c r="A41" i="15" s="1"/>
  <c r="K40" i="15"/>
  <c r="B40" i="15"/>
  <c r="A40" i="15"/>
  <c r="N39" i="15"/>
  <c r="K39" i="15"/>
  <c r="B39" i="15"/>
  <c r="A39" i="15"/>
  <c r="K38" i="15"/>
  <c r="B38" i="15"/>
  <c r="N38" i="15" s="1"/>
  <c r="A38" i="15"/>
  <c r="B37" i="15"/>
  <c r="B36" i="15"/>
  <c r="A36" i="15"/>
  <c r="B35" i="15"/>
  <c r="B34" i="15"/>
  <c r="S33" i="15"/>
  <c r="B33" i="15"/>
  <c r="A33" i="15"/>
  <c r="B32" i="15"/>
  <c r="A32" i="15"/>
  <c r="B31" i="15"/>
  <c r="A31" i="15"/>
  <c r="B30" i="15"/>
  <c r="A30" i="15" s="1"/>
  <c r="B29" i="15"/>
  <c r="A29" i="15"/>
  <c r="B28" i="15"/>
  <c r="A28" i="15"/>
  <c r="B27" i="15"/>
  <c r="A27" i="15" s="1"/>
  <c r="B26" i="15"/>
  <c r="A26" i="15" s="1"/>
  <c r="B25" i="15"/>
  <c r="A25" i="15" s="1"/>
  <c r="B24" i="15"/>
  <c r="A24" i="15"/>
  <c r="B23" i="15"/>
  <c r="A23" i="15" s="1"/>
  <c r="B22" i="15"/>
  <c r="A22" i="15"/>
  <c r="B21" i="15"/>
  <c r="A21" i="15" s="1"/>
  <c r="E21" i="15" s="1"/>
  <c r="B20" i="15"/>
  <c r="A20" i="15" s="1"/>
  <c r="S19" i="15"/>
  <c r="R19" i="15"/>
  <c r="E19" i="15"/>
  <c r="B19" i="15"/>
  <c r="A19" i="15" s="1"/>
  <c r="B18" i="15"/>
  <c r="A18" i="15" s="1"/>
  <c r="S17" i="15"/>
  <c r="P17" i="15"/>
  <c r="N17" i="15"/>
  <c r="B17" i="15"/>
  <c r="A17" i="15"/>
  <c r="B16" i="15"/>
  <c r="A16" i="15"/>
  <c r="K15" i="15"/>
  <c r="B15" i="15"/>
  <c r="B14" i="15"/>
  <c r="A14" i="15"/>
  <c r="B13" i="15"/>
  <c r="A13" i="15" s="1"/>
  <c r="B12" i="15"/>
  <c r="B11" i="15"/>
  <c r="N10" i="15"/>
  <c r="B10" i="15"/>
  <c r="A10" i="15"/>
  <c r="S9" i="15"/>
  <c r="P9" i="15"/>
  <c r="N9" i="15"/>
  <c r="B9" i="15"/>
  <c r="A9" i="15"/>
  <c r="P8" i="15"/>
  <c r="S8" i="15"/>
  <c r="N8" i="15"/>
  <c r="E8" i="15"/>
  <c r="B8" i="15"/>
  <c r="A8" i="15"/>
  <c r="P7" i="15"/>
  <c r="R7" i="15"/>
  <c r="M7" i="15"/>
  <c r="E7" i="15"/>
  <c r="B7" i="15"/>
  <c r="A7" i="15"/>
  <c r="R6" i="15"/>
  <c r="B6" i="15"/>
  <c r="A6" i="15"/>
  <c r="B5" i="15"/>
  <c r="A5" i="15" s="1"/>
  <c r="AO485" i="1"/>
  <c r="AO482" i="1"/>
  <c r="AN482" i="1"/>
  <c r="AO467" i="1"/>
  <c r="AN467" i="1"/>
  <c r="AO451" i="1"/>
  <c r="AO450" i="1"/>
  <c r="AO427" i="1"/>
  <c r="AO426" i="1"/>
  <c r="AO425" i="1"/>
  <c r="AO418" i="1"/>
  <c r="AO417" i="1"/>
  <c r="AO416" i="1"/>
  <c r="AH467" i="1"/>
  <c r="L329" i="1"/>
  <c r="I329" i="1"/>
  <c r="Q265" i="1"/>
  <c r="L265" i="1"/>
  <c r="I265" i="1"/>
  <c r="F265" i="1"/>
  <c r="N352" i="1"/>
  <c r="N288" i="1"/>
  <c r="N232" i="1"/>
  <c r="M182" i="1"/>
  <c r="S356" i="1"/>
  <c r="S291" i="1"/>
  <c r="S236" i="1"/>
  <c r="R188" i="1"/>
  <c r="R185" i="1"/>
  <c r="S186" i="1" s="1"/>
  <c r="R179" i="1"/>
  <c r="S168" i="1"/>
  <c r="S89" i="1"/>
  <c r="R19" i="1"/>
  <c r="S1" i="1"/>
  <c r="AL496" i="1"/>
  <c r="AO496" i="1" s="1"/>
  <c r="AF496" i="1"/>
  <c r="AC496" i="1"/>
  <c r="A499" i="6"/>
  <c r="A498" i="6"/>
  <c r="A497" i="6"/>
  <c r="AO497" i="6" s="1"/>
  <c r="A496" i="6"/>
  <c r="AO496" i="6" s="1"/>
  <c r="A495" i="6"/>
  <c r="A494" i="6"/>
  <c r="AO493" i="6"/>
  <c r="AN493" i="6"/>
  <c r="A493" i="6"/>
  <c r="AI493" i="6" s="1"/>
  <c r="AH492" i="6"/>
  <c r="A492" i="6"/>
  <c r="AI492" i="6" s="1"/>
  <c r="A491" i="6"/>
  <c r="A490" i="6"/>
  <c r="A489" i="6"/>
  <c r="A488" i="6"/>
  <c r="A487" i="6"/>
  <c r="A486" i="6"/>
  <c r="A484" i="6"/>
  <c r="A483" i="6"/>
  <c r="AO482" i="6"/>
  <c r="AN482" i="6"/>
  <c r="A482" i="6"/>
  <c r="A481" i="6"/>
  <c r="A480" i="6"/>
  <c r="A479" i="6"/>
  <c r="A478" i="6"/>
  <c r="AH477" i="6"/>
  <c r="AI477" i="6" s="1"/>
  <c r="AN477" i="6"/>
  <c r="A477" i="6"/>
  <c r="A476" i="6"/>
  <c r="A475" i="6"/>
  <c r="A474" i="6"/>
  <c r="A473" i="6"/>
  <c r="A472" i="6"/>
  <c r="AQ471" i="6"/>
  <c r="A471" i="6"/>
  <c r="A470" i="6"/>
  <c r="AN469" i="6"/>
  <c r="AO469" i="6"/>
  <c r="A469" i="6"/>
  <c r="AR468" i="6"/>
  <c r="AR483" i="6" s="1"/>
  <c r="A468" i="6"/>
  <c r="AO467" i="6"/>
  <c r="AN467" i="6"/>
  <c r="AH467" i="6"/>
  <c r="A467" i="6"/>
  <c r="A466" i="6"/>
  <c r="A465" i="6"/>
  <c r="A464" i="6"/>
  <c r="A463" i="6"/>
  <c r="A462" i="6"/>
  <c r="AH461" i="6"/>
  <c r="AI461" i="6"/>
  <c r="A461" i="6"/>
  <c r="AN460" i="6"/>
  <c r="A460" i="6"/>
  <c r="A459" i="6"/>
  <c r="AQ458" i="6"/>
  <c r="A458" i="6"/>
  <c r="A457" i="6"/>
  <c r="A456" i="6"/>
  <c r="A455" i="6"/>
  <c r="A454" i="6"/>
  <c r="A453" i="6"/>
  <c r="A452" i="6"/>
  <c r="A451" i="6"/>
  <c r="A450" i="6"/>
  <c r="A449" i="6"/>
  <c r="A448" i="6"/>
  <c r="AQ447" i="6"/>
  <c r="A447" i="6"/>
  <c r="A446" i="6"/>
  <c r="A445" i="6"/>
  <c r="A444" i="6"/>
  <c r="A443" i="6"/>
  <c r="AQ442" i="6"/>
  <c r="A442" i="6"/>
  <c r="A441" i="6"/>
  <c r="AQ439" i="6"/>
  <c r="A439" i="6"/>
  <c r="AQ438" i="6"/>
  <c r="A438" i="6"/>
  <c r="AQ437" i="6"/>
  <c r="A437" i="6"/>
  <c r="AQ436" i="6"/>
  <c r="A436" i="6"/>
  <c r="A435" i="6"/>
  <c r="AQ434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S375" i="6"/>
  <c r="A375" i="6"/>
  <c r="S374" i="6"/>
  <c r="A374" i="6"/>
  <c r="A373" i="6"/>
  <c r="S372" i="6"/>
  <c r="A372" i="6"/>
  <c r="S371" i="6"/>
  <c r="A371" i="6"/>
  <c r="A370" i="6"/>
  <c r="A369" i="6"/>
  <c r="S368" i="6"/>
  <c r="A368" i="6"/>
  <c r="A367" i="6"/>
  <c r="S366" i="6"/>
  <c r="A366" i="6"/>
  <c r="S365" i="6"/>
  <c r="A365" i="6"/>
  <c r="A364" i="6"/>
  <c r="A363" i="6"/>
  <c r="L362" i="6"/>
  <c r="A362" i="6"/>
  <c r="A361" i="6"/>
  <c r="A360" i="6"/>
  <c r="A359" i="6"/>
  <c r="N352" i="6"/>
  <c r="S348" i="6"/>
  <c r="N348" i="6"/>
  <c r="A348" i="6"/>
  <c r="A347" i="6"/>
  <c r="S346" i="6"/>
  <c r="N346" i="6"/>
  <c r="A346" i="6"/>
  <c r="S345" i="6"/>
  <c r="A345" i="6"/>
  <c r="A344" i="6"/>
  <c r="S343" i="6"/>
  <c r="A343" i="6"/>
  <c r="N342" i="6"/>
  <c r="A342" i="6"/>
  <c r="A341" i="6"/>
  <c r="N340" i="6"/>
  <c r="S340" i="6"/>
  <c r="A340" i="6"/>
  <c r="A339" i="6"/>
  <c r="S338" i="6"/>
  <c r="N338" i="6"/>
  <c r="A338" i="6"/>
  <c r="S337" i="6"/>
  <c r="A337" i="6"/>
  <c r="N336" i="6"/>
  <c r="A336" i="6"/>
  <c r="A335" i="6"/>
  <c r="N335" i="6" s="1"/>
  <c r="S334" i="6"/>
  <c r="N334" i="6"/>
  <c r="A334" i="6"/>
  <c r="S333" i="6"/>
  <c r="A333" i="6"/>
  <c r="S332" i="6"/>
  <c r="N332" i="6"/>
  <c r="A332" i="6"/>
  <c r="A331" i="6"/>
  <c r="A330" i="6"/>
  <c r="S329" i="6"/>
  <c r="A329" i="6"/>
  <c r="N329" i="6" s="1"/>
  <c r="S328" i="6"/>
  <c r="A328" i="6"/>
  <c r="S327" i="6"/>
  <c r="A327" i="6"/>
  <c r="N327" i="6" s="1"/>
  <c r="A326" i="6"/>
  <c r="A325" i="6"/>
  <c r="N324" i="6"/>
  <c r="A324" i="6"/>
  <c r="S324" i="6" s="1"/>
  <c r="A323" i="6"/>
  <c r="S323" i="6" s="1"/>
  <c r="A322" i="6"/>
  <c r="A321" i="6"/>
  <c r="A320" i="6"/>
  <c r="S319" i="6"/>
  <c r="A319" i="6"/>
  <c r="N319" i="6" s="1"/>
  <c r="A318" i="6"/>
  <c r="A317" i="6"/>
  <c r="A316" i="6"/>
  <c r="A315" i="6"/>
  <c r="A314" i="6"/>
  <c r="A313" i="6"/>
  <c r="K312" i="6"/>
  <c r="A312" i="6"/>
  <c r="A311" i="6"/>
  <c r="A310" i="6"/>
  <c r="A309" i="6"/>
  <c r="N308" i="6"/>
  <c r="E308" i="6"/>
  <c r="A308" i="6"/>
  <c r="M307" i="6"/>
  <c r="A307" i="6"/>
  <c r="A306" i="6"/>
  <c r="A305" i="6"/>
  <c r="A304" i="6"/>
  <c r="S303" i="6"/>
  <c r="N303" i="6"/>
  <c r="K303" i="6"/>
  <c r="A303" i="6"/>
  <c r="R303" i="6" s="1"/>
  <c r="R302" i="6"/>
  <c r="P302" i="6"/>
  <c r="S302" i="6"/>
  <c r="K302" i="6"/>
  <c r="E302" i="6"/>
  <c r="A302" i="6"/>
  <c r="K301" i="6"/>
  <c r="A301" i="6"/>
  <c r="N300" i="6"/>
  <c r="A300" i="6"/>
  <c r="E300" i="6" s="1"/>
  <c r="M299" i="6"/>
  <c r="A299" i="6"/>
  <c r="K298" i="6"/>
  <c r="A298" i="6"/>
  <c r="E297" i="6"/>
  <c r="A297" i="6"/>
  <c r="K296" i="6"/>
  <c r="A296" i="6"/>
  <c r="K295" i="6"/>
  <c r="A295" i="6"/>
  <c r="A294" i="6"/>
  <c r="N288" i="6"/>
  <c r="N284" i="6"/>
  <c r="S284" i="6"/>
  <c r="A284" i="6"/>
  <c r="A283" i="6"/>
  <c r="S282" i="6"/>
  <c r="N282" i="6"/>
  <c r="A282" i="6"/>
  <c r="S281" i="6"/>
  <c r="A281" i="6"/>
  <c r="N281" i="6" s="1"/>
  <c r="N280" i="6"/>
  <c r="A280" i="6"/>
  <c r="S280" i="6" s="1"/>
  <c r="A279" i="6"/>
  <c r="N278" i="6"/>
  <c r="A278" i="6"/>
  <c r="A277" i="6"/>
  <c r="S276" i="6"/>
  <c r="N276" i="6"/>
  <c r="A276" i="6"/>
  <c r="A275" i="6"/>
  <c r="A274" i="6"/>
  <c r="S274" i="6" s="1"/>
  <c r="S273" i="6"/>
  <c r="N273" i="6"/>
  <c r="A273" i="6"/>
  <c r="A272" i="6"/>
  <c r="A271" i="6"/>
  <c r="N271" i="6" s="1"/>
  <c r="A270" i="6"/>
  <c r="S269" i="6"/>
  <c r="A269" i="6"/>
  <c r="A268" i="6"/>
  <c r="A267" i="6"/>
  <c r="S267" i="6" s="1"/>
  <c r="A266" i="6"/>
  <c r="N265" i="6"/>
  <c r="A265" i="6"/>
  <c r="S265" i="6" s="1"/>
  <c r="A264" i="6"/>
  <c r="A263" i="6"/>
  <c r="A262" i="6"/>
  <c r="N261" i="6"/>
  <c r="A261" i="6"/>
  <c r="A260" i="6"/>
  <c r="S259" i="6"/>
  <c r="N259" i="6"/>
  <c r="A259" i="6"/>
  <c r="A258" i="6"/>
  <c r="N257" i="6"/>
  <c r="A257" i="6"/>
  <c r="S257" i="6" s="1"/>
  <c r="N256" i="6"/>
  <c r="S256" i="6"/>
  <c r="A256" i="6"/>
  <c r="N255" i="6"/>
  <c r="A255" i="6"/>
  <c r="N254" i="6"/>
  <c r="A254" i="6"/>
  <c r="A253" i="6"/>
  <c r="A252" i="6"/>
  <c r="A251" i="6"/>
  <c r="K250" i="6"/>
  <c r="A250" i="6"/>
  <c r="A249" i="6"/>
  <c r="S248" i="6"/>
  <c r="Q248" i="6"/>
  <c r="N248" i="6"/>
  <c r="F248" i="6"/>
  <c r="A248" i="6"/>
  <c r="S247" i="6"/>
  <c r="R247" i="6"/>
  <c r="M247" i="6"/>
  <c r="N247" i="6"/>
  <c r="A247" i="6"/>
  <c r="A246" i="6"/>
  <c r="A245" i="6"/>
  <c r="K266" i="6"/>
  <c r="A244" i="6"/>
  <c r="A243" i="6"/>
  <c r="A242" i="6"/>
  <c r="A241" i="6"/>
  <c r="A240" i="6"/>
  <c r="A239" i="6"/>
  <c r="N232" i="6"/>
  <c r="S228" i="6"/>
  <c r="N228" i="6"/>
  <c r="A228" i="6"/>
  <c r="A227" i="6"/>
  <c r="S226" i="6"/>
  <c r="A226" i="6"/>
  <c r="S225" i="6"/>
  <c r="N225" i="6"/>
  <c r="A225" i="6"/>
  <c r="N224" i="6"/>
  <c r="A224" i="6"/>
  <c r="A223" i="6"/>
  <c r="A222" i="6"/>
  <c r="A221" i="6"/>
  <c r="S220" i="6"/>
  <c r="A220" i="6"/>
  <c r="N220" i="6" s="1"/>
  <c r="S219" i="6"/>
  <c r="N219" i="6"/>
  <c r="A219" i="6"/>
  <c r="S218" i="6"/>
  <c r="N218" i="6"/>
  <c r="A218" i="6"/>
  <c r="S217" i="6"/>
  <c r="N217" i="6"/>
  <c r="A217" i="6"/>
  <c r="A216" i="6"/>
  <c r="S215" i="6"/>
  <c r="N215" i="6"/>
  <c r="A215" i="6"/>
  <c r="A214" i="6"/>
  <c r="S214" i="6" s="1"/>
  <c r="A213" i="6"/>
  <c r="A212" i="6"/>
  <c r="N211" i="6"/>
  <c r="S211" i="6"/>
  <c r="A211" i="6"/>
  <c r="A210" i="6"/>
  <c r="A209" i="6"/>
  <c r="A208" i="6"/>
  <c r="S208" i="6" s="1"/>
  <c r="A207" i="6"/>
  <c r="N206" i="6"/>
  <c r="A206" i="6"/>
  <c r="A205" i="6"/>
  <c r="N204" i="6"/>
  <c r="S204" i="6"/>
  <c r="A204" i="6"/>
  <c r="A203" i="6"/>
  <c r="S202" i="6"/>
  <c r="A202" i="6"/>
  <c r="N202" i="6" s="1"/>
  <c r="S201" i="6"/>
  <c r="N201" i="6"/>
  <c r="A201" i="6"/>
  <c r="A200" i="6"/>
  <c r="S200" i="6" s="1"/>
  <c r="N199" i="6"/>
  <c r="A199" i="6"/>
  <c r="S198" i="6"/>
  <c r="A198" i="6"/>
  <c r="A197" i="6"/>
  <c r="A196" i="6"/>
  <c r="A195" i="6"/>
  <c r="A194" i="6"/>
  <c r="A193" i="6"/>
  <c r="L192" i="6"/>
  <c r="A192" i="6"/>
  <c r="A191" i="6"/>
  <c r="Q192" i="6" s="1"/>
  <c r="A190" i="6"/>
  <c r="A189" i="6"/>
  <c r="R188" i="6"/>
  <c r="Q189" i="6"/>
  <c r="S188" i="6"/>
  <c r="A188" i="6"/>
  <c r="A187" i="6"/>
  <c r="A186" i="6"/>
  <c r="A185" i="6"/>
  <c r="A184" i="6"/>
  <c r="N184" i="6" s="1"/>
  <c r="P183" i="6"/>
  <c r="A183" i="6"/>
  <c r="M182" i="6"/>
  <c r="A182" i="6"/>
  <c r="N181" i="6"/>
  <c r="A181" i="6"/>
  <c r="A180" i="6"/>
  <c r="R179" i="6"/>
  <c r="A179" i="6"/>
  <c r="A178" i="6"/>
  <c r="A177" i="6"/>
  <c r="A176" i="6"/>
  <c r="R175" i="6"/>
  <c r="M175" i="6"/>
  <c r="F176" i="6"/>
  <c r="A175" i="6"/>
  <c r="A174" i="6"/>
  <c r="A173" i="6"/>
  <c r="J185" i="6"/>
  <c r="A172" i="6"/>
  <c r="A171" i="6"/>
  <c r="A162" i="6"/>
  <c r="S162" i="6" s="1"/>
  <c r="N161" i="6"/>
  <c r="A161" i="6"/>
  <c r="S160" i="6"/>
  <c r="A160" i="6"/>
  <c r="V159" i="6"/>
  <c r="A159" i="6"/>
  <c r="S159" i="6" s="1"/>
  <c r="A158" i="6"/>
  <c r="S157" i="6"/>
  <c r="A157" i="6"/>
  <c r="A156" i="6"/>
  <c r="A155" i="6"/>
  <c r="A154" i="6"/>
  <c r="A153" i="6"/>
  <c r="N152" i="6"/>
  <c r="A152" i="6"/>
  <c r="A151" i="6"/>
  <c r="S151" i="6" s="1"/>
  <c r="A150" i="6"/>
  <c r="N149" i="6"/>
  <c r="S149" i="6"/>
  <c r="A149" i="6"/>
  <c r="S148" i="6"/>
  <c r="A148" i="6"/>
  <c r="S147" i="6"/>
  <c r="N147" i="6"/>
  <c r="A147" i="6"/>
  <c r="A146" i="6"/>
  <c r="S146" i="6" s="1"/>
  <c r="S145" i="6"/>
  <c r="A145" i="6"/>
  <c r="A144" i="6"/>
  <c r="S144" i="6" s="1"/>
  <c r="S143" i="6"/>
  <c r="A143" i="6"/>
  <c r="N142" i="6"/>
  <c r="A142" i="6"/>
  <c r="S141" i="6"/>
  <c r="A141" i="6"/>
  <c r="N141" i="6" s="1"/>
  <c r="S140" i="6"/>
  <c r="A140" i="6"/>
  <c r="A139" i="6"/>
  <c r="A138" i="6"/>
  <c r="A137" i="6"/>
  <c r="N136" i="6"/>
  <c r="A136" i="6"/>
  <c r="A135" i="6"/>
  <c r="S134" i="6"/>
  <c r="A134" i="6"/>
  <c r="N133" i="6"/>
  <c r="A133" i="6"/>
  <c r="S132" i="6"/>
  <c r="A132" i="6"/>
  <c r="S131" i="6"/>
  <c r="N131" i="6"/>
  <c r="A131" i="6"/>
  <c r="S130" i="6"/>
  <c r="A130" i="6"/>
  <c r="A129" i="6"/>
  <c r="S128" i="6"/>
  <c r="A128" i="6"/>
  <c r="A127" i="6"/>
  <c r="S126" i="6"/>
  <c r="A126" i="6"/>
  <c r="S125" i="6"/>
  <c r="A125" i="6"/>
  <c r="N125" i="6" s="1"/>
  <c r="S124" i="6"/>
  <c r="N124" i="6"/>
  <c r="A124" i="6"/>
  <c r="A123" i="6"/>
  <c r="A122" i="6"/>
  <c r="A121" i="6"/>
  <c r="A120" i="6"/>
  <c r="N119" i="6"/>
  <c r="A119" i="6"/>
  <c r="S118" i="6"/>
  <c r="N118" i="6"/>
  <c r="A118" i="6"/>
  <c r="A117" i="6"/>
  <c r="S116" i="6"/>
  <c r="N116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E104" i="6"/>
  <c r="A104" i="6"/>
  <c r="N103" i="6"/>
  <c r="S103" i="6"/>
  <c r="E103" i="6"/>
  <c r="A103" i="6"/>
  <c r="E102" i="6"/>
  <c r="A102" i="6"/>
  <c r="A101" i="6"/>
  <c r="A100" i="6"/>
  <c r="A99" i="6"/>
  <c r="A98" i="6"/>
  <c r="A97" i="6"/>
  <c r="P96" i="6"/>
  <c r="N96" i="6"/>
  <c r="S96" i="6"/>
  <c r="K96" i="6"/>
  <c r="M96" i="6"/>
  <c r="F97" i="6"/>
  <c r="A96" i="6"/>
  <c r="E96" i="6" s="1"/>
  <c r="P95" i="6"/>
  <c r="N95" i="6"/>
  <c r="M95" i="6"/>
  <c r="E95" i="6"/>
  <c r="A95" i="6"/>
  <c r="P94" i="6"/>
  <c r="R94" i="6"/>
  <c r="A94" i="6"/>
  <c r="A93" i="6"/>
  <c r="B85" i="6"/>
  <c r="A85" i="6"/>
  <c r="B84" i="6"/>
  <c r="A84" i="6"/>
  <c r="B83" i="6"/>
  <c r="A83" i="6" s="1"/>
  <c r="B82" i="6"/>
  <c r="S81" i="6"/>
  <c r="N81" i="6"/>
  <c r="B81" i="6"/>
  <c r="A81" i="6"/>
  <c r="B80" i="6"/>
  <c r="S79" i="6"/>
  <c r="N79" i="6"/>
  <c r="B79" i="6"/>
  <c r="A79" i="6"/>
  <c r="B78" i="6"/>
  <c r="A78" i="6"/>
  <c r="B77" i="6"/>
  <c r="B76" i="6"/>
  <c r="A76" i="6"/>
  <c r="S75" i="6"/>
  <c r="N75" i="6"/>
  <c r="B75" i="6"/>
  <c r="A75" i="6"/>
  <c r="B74" i="6"/>
  <c r="A74" i="6"/>
  <c r="B73" i="6"/>
  <c r="A73" i="6"/>
  <c r="B72" i="6"/>
  <c r="A72" i="6" s="1"/>
  <c r="B71" i="6"/>
  <c r="B70" i="6"/>
  <c r="N70" i="6" s="1"/>
  <c r="A70" i="6"/>
  <c r="B69" i="6"/>
  <c r="A69" i="6"/>
  <c r="S69" i="6" s="1"/>
  <c r="B68" i="6"/>
  <c r="N67" i="6"/>
  <c r="B67" i="6"/>
  <c r="A67" i="6"/>
  <c r="S66" i="6"/>
  <c r="B66" i="6"/>
  <c r="A66" i="6"/>
  <c r="N66" i="6" s="1"/>
  <c r="B65" i="6"/>
  <c r="A65" i="6"/>
  <c r="S64" i="6"/>
  <c r="N64" i="6"/>
  <c r="B64" i="6"/>
  <c r="A64" i="6"/>
  <c r="B63" i="6"/>
  <c r="A63" i="6"/>
  <c r="B62" i="6"/>
  <c r="A62" i="6"/>
  <c r="S61" i="6"/>
  <c r="B61" i="6"/>
  <c r="A61" i="6"/>
  <c r="N61" i="6" s="1"/>
  <c r="B60" i="6"/>
  <c r="A60" i="6"/>
  <c r="B59" i="6"/>
  <c r="B58" i="6"/>
  <c r="A58" i="6"/>
  <c r="S57" i="6"/>
  <c r="B57" i="6"/>
  <c r="A57" i="6"/>
  <c r="N57" i="6" s="1"/>
  <c r="B56" i="6"/>
  <c r="A56" i="6"/>
  <c r="N55" i="6"/>
  <c r="B55" i="6"/>
  <c r="A55" i="6"/>
  <c r="B54" i="6"/>
  <c r="A54" i="6" s="1"/>
  <c r="B53" i="6"/>
  <c r="A53" i="6"/>
  <c r="B52" i="6"/>
  <c r="S51" i="6"/>
  <c r="B51" i="6"/>
  <c r="A51" i="6"/>
  <c r="B50" i="6"/>
  <c r="A50" i="6"/>
  <c r="N50" i="6" s="1"/>
  <c r="B49" i="6"/>
  <c r="A49" i="6"/>
  <c r="S48" i="6"/>
  <c r="N48" i="6"/>
  <c r="B48" i="6"/>
  <c r="A48" i="6"/>
  <c r="B47" i="6"/>
  <c r="A47" i="6"/>
  <c r="B46" i="6"/>
  <c r="A46" i="6"/>
  <c r="S45" i="6"/>
  <c r="N45" i="6"/>
  <c r="B45" i="6"/>
  <c r="A45" i="6"/>
  <c r="B44" i="6"/>
  <c r="A44" i="6"/>
  <c r="B43" i="6"/>
  <c r="S42" i="6"/>
  <c r="B42" i="6"/>
  <c r="A42" i="6"/>
  <c r="B41" i="6"/>
  <c r="A41" i="6" s="1"/>
  <c r="B40" i="6"/>
  <c r="A40" i="6" s="1"/>
  <c r="B39" i="6"/>
  <c r="A39" i="6" s="1"/>
  <c r="B38" i="6"/>
  <c r="A38" i="6"/>
  <c r="B37" i="6"/>
  <c r="V36" i="6"/>
  <c r="B36" i="6"/>
  <c r="B35" i="6"/>
  <c r="B34" i="6"/>
  <c r="B33" i="6"/>
  <c r="A33" i="6" s="1"/>
  <c r="B32" i="6"/>
  <c r="A32" i="6" s="1"/>
  <c r="B31" i="6"/>
  <c r="B30" i="6"/>
  <c r="A30" i="6" s="1"/>
  <c r="B29" i="6"/>
  <c r="A29" i="6" s="1"/>
  <c r="B28" i="6"/>
  <c r="A28" i="6" s="1"/>
  <c r="B27" i="6"/>
  <c r="A27" i="6"/>
  <c r="B26" i="6"/>
  <c r="A26" i="6"/>
  <c r="B25" i="6"/>
  <c r="A25" i="6"/>
  <c r="B24" i="6"/>
  <c r="A24" i="6"/>
  <c r="B23" i="6"/>
  <c r="A23" i="6" s="1"/>
  <c r="E22" i="6"/>
  <c r="B22" i="6"/>
  <c r="A22" i="6"/>
  <c r="S21" i="6"/>
  <c r="B21" i="6"/>
  <c r="A21" i="6"/>
  <c r="B20" i="6"/>
  <c r="A20" i="6"/>
  <c r="R19" i="6"/>
  <c r="B19" i="6"/>
  <c r="A19" i="6"/>
  <c r="E19" i="6" s="1"/>
  <c r="B18" i="6"/>
  <c r="A18" i="6" s="1"/>
  <c r="P17" i="6"/>
  <c r="N17" i="6"/>
  <c r="E17" i="6"/>
  <c r="B17" i="6"/>
  <c r="A17" i="6"/>
  <c r="S17" i="6" s="1"/>
  <c r="B16" i="6"/>
  <c r="A16" i="6"/>
  <c r="K15" i="6"/>
  <c r="B15" i="6"/>
  <c r="B14" i="6"/>
  <c r="A14" i="6"/>
  <c r="B13" i="6"/>
  <c r="A13" i="6"/>
  <c r="S12" i="6"/>
  <c r="B12" i="6"/>
  <c r="A12" i="6"/>
  <c r="P12" i="6" s="1"/>
  <c r="K11" i="6"/>
  <c r="B11" i="6"/>
  <c r="A11" i="6" s="1"/>
  <c r="S10" i="6"/>
  <c r="P10" i="6"/>
  <c r="K10" i="6"/>
  <c r="N10" i="6"/>
  <c r="B10" i="6"/>
  <c r="A10" i="6"/>
  <c r="E10" i="6" s="1"/>
  <c r="P9" i="6"/>
  <c r="S9" i="6"/>
  <c r="K9" i="6"/>
  <c r="E9" i="6"/>
  <c r="B9" i="6"/>
  <c r="A9" i="6"/>
  <c r="B8" i="6"/>
  <c r="A8" i="6"/>
  <c r="P8" i="6" s="1"/>
  <c r="B7" i="6"/>
  <c r="A7" i="6"/>
  <c r="B6" i="6"/>
  <c r="B5" i="6"/>
  <c r="P117" i="5" l="1"/>
  <c r="S35" i="5"/>
  <c r="O108" i="5"/>
  <c r="O105" i="5"/>
  <c r="P116" i="5"/>
  <c r="P121" i="5"/>
  <c r="P114" i="5"/>
  <c r="J32" i="5"/>
  <c r="A44" i="5"/>
  <c r="AF442" i="5"/>
  <c r="N68" i="5"/>
  <c r="D53" i="5"/>
  <c r="K10" i="5"/>
  <c r="M12" i="5"/>
  <c r="A53" i="5"/>
  <c r="N56" i="5"/>
  <c r="S78" i="5"/>
  <c r="E19" i="5"/>
  <c r="S19" i="5"/>
  <c r="N19" i="5"/>
  <c r="S21" i="5"/>
  <c r="S47" i="5"/>
  <c r="N47" i="5"/>
  <c r="S50" i="5"/>
  <c r="A57" i="5"/>
  <c r="S66" i="5"/>
  <c r="S75" i="5"/>
  <c r="S82" i="5"/>
  <c r="Z480" i="5"/>
  <c r="P119" i="5"/>
  <c r="S39" i="5"/>
  <c r="K95" i="5"/>
  <c r="R95" i="5"/>
  <c r="P180" i="5"/>
  <c r="Q13" i="5"/>
  <c r="N78" i="5"/>
  <c r="N95" i="5"/>
  <c r="P177" i="5"/>
  <c r="AF411" i="5"/>
  <c r="Z435" i="5"/>
  <c r="V485" i="5"/>
  <c r="A485" i="5" s="1"/>
  <c r="AF445" i="5"/>
  <c r="V402" i="5"/>
  <c r="AF463" i="5"/>
  <c r="AF475" i="5"/>
  <c r="AL476" i="5"/>
  <c r="AO476" i="5" s="1"/>
  <c r="AF414" i="5"/>
  <c r="Z424" i="5"/>
  <c r="AF413" i="5"/>
  <c r="AL474" i="5"/>
  <c r="C168" i="5"/>
  <c r="C291" i="5"/>
  <c r="C356" i="5" s="1"/>
  <c r="C236" i="5"/>
  <c r="C89" i="5"/>
  <c r="AL446" i="5" s="1"/>
  <c r="S8" i="5"/>
  <c r="P8" i="5"/>
  <c r="E10" i="5"/>
  <c r="N7" i="5"/>
  <c r="P10" i="5"/>
  <c r="R12" i="5"/>
  <c r="F24" i="5"/>
  <c r="N24" i="5" s="1"/>
  <c r="N25" i="5" s="1"/>
  <c r="S22" i="5"/>
  <c r="S42" i="5"/>
  <c r="P95" i="5"/>
  <c r="S112" i="5"/>
  <c r="N112" i="5"/>
  <c r="AO485" i="5"/>
  <c r="AO402" i="5"/>
  <c r="S356" i="5"/>
  <c r="S291" i="5"/>
  <c r="S236" i="5"/>
  <c r="S168" i="5"/>
  <c r="M7" i="5"/>
  <c r="R7" i="5"/>
  <c r="N8" i="5"/>
  <c r="S7" i="5"/>
  <c r="S43" i="5"/>
  <c r="N43" i="5"/>
  <c r="N45" i="5"/>
  <c r="S45" i="5"/>
  <c r="AF437" i="5"/>
  <c r="A58" i="5"/>
  <c r="N67" i="5"/>
  <c r="F97" i="5"/>
  <c r="N12" i="5"/>
  <c r="N21" i="5"/>
  <c r="K40" i="5"/>
  <c r="E22" i="5"/>
  <c r="S63" i="5"/>
  <c r="P7" i="5"/>
  <c r="N17" i="5"/>
  <c r="S36" i="5"/>
  <c r="AL447" i="5"/>
  <c r="S76" i="5"/>
  <c r="A80" i="5"/>
  <c r="L83" i="5"/>
  <c r="N130" i="5"/>
  <c r="S130" i="5"/>
  <c r="S48" i="5"/>
  <c r="N48" i="5"/>
  <c r="P11" i="5"/>
  <c r="N23" i="5"/>
  <c r="S23" i="5"/>
  <c r="S55" i="5"/>
  <c r="E8" i="5"/>
  <c r="N42" i="5"/>
  <c r="F13" i="5"/>
  <c r="D31" i="5" s="1"/>
  <c r="S51" i="5"/>
  <c r="N64" i="5"/>
  <c r="S64" i="5"/>
  <c r="P118" i="5"/>
  <c r="R9" i="5"/>
  <c r="E21" i="5"/>
  <c r="Q24" i="5"/>
  <c r="AF409" i="5"/>
  <c r="A37" i="5"/>
  <c r="K39" i="5"/>
  <c r="S46" i="5"/>
  <c r="N46" i="5"/>
  <c r="AL428" i="5"/>
  <c r="Z428" i="5"/>
  <c r="N55" i="5"/>
  <c r="A59" i="5"/>
  <c r="A65" i="5"/>
  <c r="R96" i="5"/>
  <c r="S71" i="5"/>
  <c r="N71" i="5"/>
  <c r="K100" i="5"/>
  <c r="R100" i="5"/>
  <c r="M100" i="5"/>
  <c r="N103" i="5"/>
  <c r="J113" i="5"/>
  <c r="M10" i="5"/>
  <c r="S17" i="5"/>
  <c r="A32" i="5"/>
  <c r="N39" i="5"/>
  <c r="Z442" i="5"/>
  <c r="S100" i="5"/>
  <c r="N100" i="5"/>
  <c r="P115" i="5"/>
  <c r="P183" i="5"/>
  <c r="M17" i="5"/>
  <c r="A40" i="5"/>
  <c r="L105" i="5"/>
  <c r="S102" i="5"/>
  <c r="S103" i="5"/>
  <c r="N116" i="5"/>
  <c r="Q330" i="5"/>
  <c r="S318" i="5"/>
  <c r="K17" i="5"/>
  <c r="A70" i="5"/>
  <c r="Q97" i="5"/>
  <c r="P97" i="5" s="1"/>
  <c r="N102" i="5"/>
  <c r="S118" i="5"/>
  <c r="L153" i="5"/>
  <c r="S136" i="5"/>
  <c r="Q182" i="5"/>
  <c r="S181" i="5"/>
  <c r="R307" i="5"/>
  <c r="S113" i="5"/>
  <c r="N128" i="5"/>
  <c r="S128" i="5"/>
  <c r="N136" i="5"/>
  <c r="M297" i="5"/>
  <c r="N66" i="5"/>
  <c r="R94" i="5"/>
  <c r="R97" i="5" s="1"/>
  <c r="R98" i="5" s="1"/>
  <c r="N51" i="5"/>
  <c r="N61" i="5"/>
  <c r="N63" i="5"/>
  <c r="N75" i="5"/>
  <c r="N77" i="5"/>
  <c r="A79" i="5"/>
  <c r="N113" i="5"/>
  <c r="S116" i="5"/>
  <c r="L122" i="5"/>
  <c r="S137" i="5"/>
  <c r="N137" i="5"/>
  <c r="N142" i="5"/>
  <c r="P113" i="5"/>
  <c r="L135" i="5"/>
  <c r="S134" i="5"/>
  <c r="S143" i="5"/>
  <c r="N188" i="5"/>
  <c r="L189" i="5"/>
  <c r="S279" i="5"/>
  <c r="AF412" i="5"/>
  <c r="A34" i="5"/>
  <c r="M95" i="5"/>
  <c r="N104" i="5"/>
  <c r="N115" i="5"/>
  <c r="N126" i="5"/>
  <c r="N134" i="5"/>
  <c r="S12" i="5"/>
  <c r="N35" i="5"/>
  <c r="AL435" i="5"/>
  <c r="F105" i="5"/>
  <c r="D113" i="5" s="1"/>
  <c r="N144" i="5"/>
  <c r="N178" i="5"/>
  <c r="F179" i="5"/>
  <c r="J97" i="5"/>
  <c r="N117" i="5"/>
  <c r="S126" i="5"/>
  <c r="S144" i="5"/>
  <c r="S218" i="5"/>
  <c r="N218" i="5"/>
  <c r="M96" i="5"/>
  <c r="K96" i="5"/>
  <c r="N119" i="5"/>
  <c r="S119" i="5"/>
  <c r="N123" i="5"/>
  <c r="N132" i="5"/>
  <c r="S132" i="5"/>
  <c r="S147" i="5"/>
  <c r="N147" i="5"/>
  <c r="L97" i="5"/>
  <c r="S129" i="5"/>
  <c r="N138" i="5"/>
  <c r="S152" i="5"/>
  <c r="S160" i="5"/>
  <c r="S212" i="5"/>
  <c r="S214" i="5"/>
  <c r="N272" i="5"/>
  <c r="N160" i="5"/>
  <c r="L179" i="5"/>
  <c r="M178" i="5"/>
  <c r="N200" i="5"/>
  <c r="N214" i="5"/>
  <c r="Q266" i="5"/>
  <c r="S266" i="5" s="1"/>
  <c r="S272" i="5"/>
  <c r="S123" i="5"/>
  <c r="M181" i="5"/>
  <c r="F182" i="5"/>
  <c r="N127" i="5"/>
  <c r="S142" i="5"/>
  <c r="F163" i="5"/>
  <c r="S158" i="5"/>
  <c r="K174" i="5"/>
  <c r="N209" i="5"/>
  <c r="S215" i="5"/>
  <c r="N215" i="5"/>
  <c r="N227" i="5"/>
  <c r="S254" i="5"/>
  <c r="S276" i="5"/>
  <c r="R299" i="5"/>
  <c r="P299" i="5"/>
  <c r="Q176" i="5"/>
  <c r="L251" i="5"/>
  <c r="N151" i="5"/>
  <c r="M172" i="5"/>
  <c r="S175" i="5"/>
  <c r="L210" i="5"/>
  <c r="S198" i="5"/>
  <c r="N225" i="5"/>
  <c r="S269" i="5"/>
  <c r="M298" i="5"/>
  <c r="E298" i="5"/>
  <c r="Q105" i="5"/>
  <c r="S117" i="5"/>
  <c r="N131" i="5"/>
  <c r="N143" i="5"/>
  <c r="S141" i="5"/>
  <c r="S156" i="5"/>
  <c r="M175" i="5"/>
  <c r="F176" i="5"/>
  <c r="N207" i="5"/>
  <c r="N216" i="5"/>
  <c r="S216" i="5"/>
  <c r="S222" i="5"/>
  <c r="N141" i="5"/>
  <c r="S157" i="5"/>
  <c r="S159" i="5"/>
  <c r="S184" i="5"/>
  <c r="N202" i="5"/>
  <c r="S282" i="5"/>
  <c r="N157" i="5"/>
  <c r="R178" i="5"/>
  <c r="K194" i="5"/>
  <c r="S199" i="5"/>
  <c r="S217" i="5"/>
  <c r="R241" i="5"/>
  <c r="P298" i="5"/>
  <c r="R298" i="5"/>
  <c r="S146" i="5"/>
  <c r="N150" i="5"/>
  <c r="N162" i="5"/>
  <c r="S205" i="5"/>
  <c r="N223" i="5"/>
  <c r="S223" i="5"/>
  <c r="L285" i="5"/>
  <c r="K285" i="5" s="1"/>
  <c r="N270" i="5"/>
  <c r="E296" i="5"/>
  <c r="S321" i="5"/>
  <c r="N321" i="5"/>
  <c r="N255" i="5"/>
  <c r="N268" i="5"/>
  <c r="S274" i="5"/>
  <c r="N280" i="5"/>
  <c r="M299" i="5"/>
  <c r="S300" i="5"/>
  <c r="N300" i="5"/>
  <c r="P302" i="5"/>
  <c r="M307" i="5"/>
  <c r="AN494" i="5"/>
  <c r="N241" i="5"/>
  <c r="N242" i="5" s="1"/>
  <c r="N259" i="5"/>
  <c r="N261" i="5"/>
  <c r="N274" i="5"/>
  <c r="N276" i="5"/>
  <c r="M296" i="5"/>
  <c r="K297" i="5"/>
  <c r="K299" i="5"/>
  <c r="K307" i="5"/>
  <c r="N347" i="5"/>
  <c r="L185" i="5"/>
  <c r="S270" i="5"/>
  <c r="N299" i="5"/>
  <c r="N303" i="5"/>
  <c r="S303" i="5"/>
  <c r="J304" i="5"/>
  <c r="N307" i="5"/>
  <c r="S347" i="5"/>
  <c r="N220" i="5"/>
  <c r="N224" i="5"/>
  <c r="S244" i="5"/>
  <c r="F250" i="5"/>
  <c r="N257" i="5"/>
  <c r="S263" i="5"/>
  <c r="L304" i="5"/>
  <c r="N296" i="5"/>
  <c r="S322" i="5"/>
  <c r="L330" i="5"/>
  <c r="S360" i="5"/>
  <c r="N184" i="5"/>
  <c r="Q189" i="5"/>
  <c r="N199" i="5"/>
  <c r="N204" i="5"/>
  <c r="N206" i="5"/>
  <c r="N222" i="5"/>
  <c r="E250" i="5"/>
  <c r="N247" i="5"/>
  <c r="N263" i="5"/>
  <c r="N265" i="5"/>
  <c r="F285" i="5"/>
  <c r="E285" i="5" s="1"/>
  <c r="N271" i="5"/>
  <c r="N277" i="5"/>
  <c r="N281" i="5"/>
  <c r="N283" i="5"/>
  <c r="M295" i="5"/>
  <c r="M312" i="5"/>
  <c r="N322" i="5"/>
  <c r="R360" i="5"/>
  <c r="O362" i="5"/>
  <c r="S267" i="5"/>
  <c r="S281" i="5"/>
  <c r="R301" i="5"/>
  <c r="Q362" i="5"/>
  <c r="S362" i="5" s="1"/>
  <c r="P360" i="5"/>
  <c r="S208" i="5"/>
  <c r="N217" i="5"/>
  <c r="N219" i="5"/>
  <c r="N226" i="5"/>
  <c r="N228" i="5"/>
  <c r="N267" i="5"/>
  <c r="N269" i="5"/>
  <c r="Q285" i="5"/>
  <c r="S299" i="5"/>
  <c r="F330" i="5"/>
  <c r="S341" i="5"/>
  <c r="S366" i="5"/>
  <c r="S372" i="5"/>
  <c r="Q242" i="5"/>
  <c r="M244" i="5"/>
  <c r="N254" i="5"/>
  <c r="N275" i="5"/>
  <c r="P295" i="5"/>
  <c r="Q304" i="5"/>
  <c r="E308" i="5"/>
  <c r="M308" i="5"/>
  <c r="L176" i="5"/>
  <c r="L182" i="5"/>
  <c r="K266" i="5"/>
  <c r="L250" i="5"/>
  <c r="L245" i="5"/>
  <c r="L248" i="5"/>
  <c r="S277" i="5"/>
  <c r="S296" i="5"/>
  <c r="S323" i="5"/>
  <c r="N323" i="5"/>
  <c r="L229" i="5"/>
  <c r="F242" i="5"/>
  <c r="N244" i="5"/>
  <c r="N245" i="5" s="1"/>
  <c r="N248" i="5"/>
  <c r="S256" i="5"/>
  <c r="N262" i="5"/>
  <c r="F282" i="1"/>
  <c r="R295" i="5"/>
  <c r="F304" i="5"/>
  <c r="F309" i="5" s="1"/>
  <c r="F314" i="5" s="1"/>
  <c r="O304" i="5"/>
  <c r="Q349" i="5"/>
  <c r="S327" i="5"/>
  <c r="AO495" i="5"/>
  <c r="AN495" i="5"/>
  <c r="S345" i="5"/>
  <c r="L395" i="5"/>
  <c r="K395" i="5" s="1"/>
  <c r="AN420" i="5"/>
  <c r="AO420" i="5" s="1"/>
  <c r="AO454" i="5"/>
  <c r="S307" i="5"/>
  <c r="N308" i="5"/>
  <c r="L349" i="5"/>
  <c r="S331" i="5"/>
  <c r="S339" i="5"/>
  <c r="N341" i="5"/>
  <c r="N345" i="5"/>
  <c r="L377" i="5"/>
  <c r="AI457" i="5"/>
  <c r="AH459" i="5"/>
  <c r="E302" i="5"/>
  <c r="N331" i="5"/>
  <c r="N333" i="5"/>
  <c r="N339" i="5"/>
  <c r="AI455" i="5"/>
  <c r="AN459" i="5"/>
  <c r="AO459" i="5" s="1"/>
  <c r="AN491" i="5"/>
  <c r="S302" i="5"/>
  <c r="N318" i="5"/>
  <c r="AN496" i="5"/>
  <c r="AI453" i="5"/>
  <c r="AN460" i="5"/>
  <c r="AN466" i="5" s="1"/>
  <c r="AH460" i="5"/>
  <c r="AI460" i="5" s="1"/>
  <c r="S387" i="5"/>
  <c r="S390" i="5"/>
  <c r="AH453" i="5"/>
  <c r="AN477" i="5"/>
  <c r="AO477" i="5" s="1"/>
  <c r="AN497" i="5"/>
  <c r="N340" i="5"/>
  <c r="N342" i="5"/>
  <c r="E360" i="5"/>
  <c r="F377" i="5"/>
  <c r="Q395" i="5"/>
  <c r="P395" i="5" s="1"/>
  <c r="S324" i="5"/>
  <c r="N334" i="5"/>
  <c r="S340" i="5"/>
  <c r="S344" i="5"/>
  <c r="N346" i="5"/>
  <c r="AO453" i="5"/>
  <c r="AN461" i="5"/>
  <c r="AO461" i="5" s="1"/>
  <c r="S338" i="5"/>
  <c r="S342" i="5"/>
  <c r="S348" i="5"/>
  <c r="AI456" i="5"/>
  <c r="AH456" i="5"/>
  <c r="S312" i="5"/>
  <c r="R312" i="5" s="1"/>
  <c r="S336" i="5"/>
  <c r="Q377" i="5"/>
  <c r="S379" i="5"/>
  <c r="S382" i="5"/>
  <c r="S385" i="5"/>
  <c r="S388" i="5"/>
  <c r="S391" i="5"/>
  <c r="S394" i="5"/>
  <c r="AI454" i="5"/>
  <c r="AO494" i="5"/>
  <c r="AI494" i="5"/>
  <c r="AL460" i="1"/>
  <c r="AH491" i="5"/>
  <c r="AH494" i="5"/>
  <c r="AH496" i="5"/>
  <c r="AH420" i="5"/>
  <c r="AH493" i="5"/>
  <c r="AN469" i="5"/>
  <c r="AO469" i="5" s="1"/>
  <c r="E22" i="15"/>
  <c r="M8" i="15"/>
  <c r="K8" i="15"/>
  <c r="R8" i="15"/>
  <c r="AN496" i="1"/>
  <c r="E23" i="15"/>
  <c r="S7" i="15"/>
  <c r="N7" i="15"/>
  <c r="D53" i="15"/>
  <c r="S6" i="15"/>
  <c r="N6" i="15"/>
  <c r="S10" i="15"/>
  <c r="S32" i="15"/>
  <c r="N32" i="15"/>
  <c r="R9" i="15"/>
  <c r="K9" i="15"/>
  <c r="A44" i="15"/>
  <c r="AF423" i="15"/>
  <c r="V485" i="15"/>
  <c r="A485" i="15" s="1"/>
  <c r="AL475" i="15"/>
  <c r="AO475" i="15" s="1"/>
  <c r="AF415" i="15"/>
  <c r="AF440" i="15"/>
  <c r="AF413" i="15"/>
  <c r="AL443" i="15"/>
  <c r="AL434" i="15"/>
  <c r="AF424" i="15"/>
  <c r="Z472" i="15"/>
  <c r="AL476" i="15"/>
  <c r="AO476" i="15" s="1"/>
  <c r="V402" i="15"/>
  <c r="C236" i="15"/>
  <c r="AL431" i="15"/>
  <c r="C168" i="15"/>
  <c r="C291" i="15"/>
  <c r="C356" i="15" s="1"/>
  <c r="C89" i="15"/>
  <c r="Z446" i="15" s="1"/>
  <c r="A59" i="15"/>
  <c r="R17" i="15"/>
  <c r="M17" i="15"/>
  <c r="S46" i="15"/>
  <c r="N46" i="15"/>
  <c r="Z428" i="15"/>
  <c r="A58" i="15"/>
  <c r="A65" i="15"/>
  <c r="L108" i="15"/>
  <c r="K11" i="15"/>
  <c r="S265" i="1"/>
  <c r="P6" i="15"/>
  <c r="K10" i="15"/>
  <c r="AF451" i="15"/>
  <c r="K17" i="15"/>
  <c r="N19" i="15"/>
  <c r="L24" i="15"/>
  <c r="Z471" i="15"/>
  <c r="A43" i="15"/>
  <c r="AL442" i="15"/>
  <c r="Z442" i="15"/>
  <c r="A71" i="15"/>
  <c r="S75" i="15"/>
  <c r="S80" i="15"/>
  <c r="S50" i="15"/>
  <c r="N50" i="15"/>
  <c r="N55" i="15"/>
  <c r="AL472" i="15"/>
  <c r="AO472" i="15" s="1"/>
  <c r="N76" i="15"/>
  <c r="N62" i="15"/>
  <c r="S62" i="15"/>
  <c r="N68" i="15"/>
  <c r="S68" i="15"/>
  <c r="A34" i="15"/>
  <c r="S55" i="15"/>
  <c r="AL473" i="15"/>
  <c r="AO473" i="15" s="1"/>
  <c r="Z473" i="15"/>
  <c r="D113" i="15"/>
  <c r="N105" i="15"/>
  <c r="N106" i="15" s="1"/>
  <c r="J112" i="15"/>
  <c r="S123" i="15"/>
  <c r="S36" i="15"/>
  <c r="N53" i="15"/>
  <c r="S56" i="15"/>
  <c r="N77" i="15"/>
  <c r="S77" i="15"/>
  <c r="N22" i="15"/>
  <c r="Z409" i="15"/>
  <c r="AL409" i="15"/>
  <c r="N36" i="15"/>
  <c r="S47" i="15"/>
  <c r="Z430" i="15"/>
  <c r="AL430" i="15"/>
  <c r="S53" i="15"/>
  <c r="N56" i="15"/>
  <c r="Z439" i="15"/>
  <c r="A78" i="15"/>
  <c r="L83" i="15"/>
  <c r="A11" i="15"/>
  <c r="A12" i="15"/>
  <c r="A15" i="15"/>
  <c r="AL424" i="15"/>
  <c r="Z424" i="15"/>
  <c r="A48" i="15"/>
  <c r="AF464" i="15"/>
  <c r="AF439" i="15"/>
  <c r="S66" i="15"/>
  <c r="J113" i="15"/>
  <c r="N51" i="15"/>
  <c r="AL436" i="15"/>
  <c r="N57" i="15"/>
  <c r="S63" i="15"/>
  <c r="D108" i="15"/>
  <c r="E108" i="15" s="1"/>
  <c r="E118" i="15"/>
  <c r="D105" i="15"/>
  <c r="E105" i="15" s="1"/>
  <c r="P10" i="15"/>
  <c r="E10" i="15"/>
  <c r="F24" i="15"/>
  <c r="S22" i="15"/>
  <c r="K6" i="15"/>
  <c r="K7" i="15"/>
  <c r="E9" i="15"/>
  <c r="E17" i="15"/>
  <c r="L41" i="15"/>
  <c r="A35" i="15"/>
  <c r="AF421" i="15"/>
  <c r="A42" i="15"/>
  <c r="S51" i="15"/>
  <c r="S57" i="15"/>
  <c r="A64" i="15"/>
  <c r="N67" i="15"/>
  <c r="R95" i="15"/>
  <c r="R97" i="15" s="1"/>
  <c r="R98" i="15" s="1"/>
  <c r="O97" i="15"/>
  <c r="P119" i="15" s="1"/>
  <c r="P95" i="15"/>
  <c r="S49" i="15"/>
  <c r="N49" i="15"/>
  <c r="E114" i="15"/>
  <c r="A37" i="15"/>
  <c r="S70" i="15"/>
  <c r="R100" i="15"/>
  <c r="E115" i="15"/>
  <c r="S116" i="15"/>
  <c r="S124" i="15"/>
  <c r="S133" i="15"/>
  <c r="N141" i="15"/>
  <c r="N61" i="15"/>
  <c r="S82" i="15"/>
  <c r="M96" i="15"/>
  <c r="N120" i="15"/>
  <c r="N100" i="15"/>
  <c r="S102" i="15"/>
  <c r="N113" i="15"/>
  <c r="N115" i="15"/>
  <c r="E117" i="15"/>
  <c r="L122" i="15"/>
  <c r="N130" i="15"/>
  <c r="S94" i="15"/>
  <c r="S97" i="15" s="1"/>
  <c r="S98" i="15" s="1"/>
  <c r="M100" i="15"/>
  <c r="N102" i="15"/>
  <c r="S130" i="15"/>
  <c r="F97" i="15"/>
  <c r="F108" i="15" s="1"/>
  <c r="P100" i="15"/>
  <c r="Q105" i="15"/>
  <c r="Q108" i="15" s="1"/>
  <c r="E104" i="15"/>
  <c r="S104" i="15"/>
  <c r="S113" i="15"/>
  <c r="N127" i="15"/>
  <c r="N156" i="15"/>
  <c r="F163" i="15"/>
  <c r="Q185" i="15"/>
  <c r="Q173" i="15"/>
  <c r="S181" i="15"/>
  <c r="J97" i="15"/>
  <c r="S115" i="15"/>
  <c r="E121" i="15"/>
  <c r="S125" i="15"/>
  <c r="N119" i="15"/>
  <c r="S119" i="15"/>
  <c r="S131" i="15"/>
  <c r="N131" i="15"/>
  <c r="S100" i="15"/>
  <c r="S114" i="15"/>
  <c r="E116" i="15"/>
  <c r="N143" i="15"/>
  <c r="N128" i="15"/>
  <c r="S128" i="15"/>
  <c r="S132" i="15"/>
  <c r="N132" i="15"/>
  <c r="L153" i="15"/>
  <c r="S140" i="15"/>
  <c r="N80" i="15"/>
  <c r="M94" i="15"/>
  <c r="Z480" i="15"/>
  <c r="E113" i="15"/>
  <c r="S137" i="15"/>
  <c r="N137" i="15"/>
  <c r="AO485" i="15"/>
  <c r="S356" i="15"/>
  <c r="AO402" i="15"/>
  <c r="S291" i="15"/>
  <c r="S168" i="15"/>
  <c r="S236" i="15"/>
  <c r="K96" i="15"/>
  <c r="E100" i="15"/>
  <c r="E102" i="15"/>
  <c r="E120" i="15"/>
  <c r="N124" i="15"/>
  <c r="N126" i="15"/>
  <c r="L231" i="15"/>
  <c r="N161" i="15"/>
  <c r="S161" i="15"/>
  <c r="P174" i="15"/>
  <c r="F189" i="15"/>
  <c r="N199" i="15"/>
  <c r="S205" i="15"/>
  <c r="F229" i="15"/>
  <c r="N219" i="15"/>
  <c r="S227" i="15"/>
  <c r="N227" i="15"/>
  <c r="S270" i="15"/>
  <c r="S295" i="15"/>
  <c r="K295" i="15"/>
  <c r="P297" i="15"/>
  <c r="R297" i="15"/>
  <c r="N152" i="15"/>
  <c r="N175" i="15"/>
  <c r="S202" i="15"/>
  <c r="N214" i="15"/>
  <c r="S214" i="15"/>
  <c r="N335" i="15"/>
  <c r="S335" i="15"/>
  <c r="S103" i="15"/>
  <c r="N133" i="15"/>
  <c r="L135" i="15"/>
  <c r="S150" i="15"/>
  <c r="N150" i="15"/>
  <c r="K185" i="15"/>
  <c r="S220" i="15"/>
  <c r="N300" i="15"/>
  <c r="J304" i="15"/>
  <c r="M181" i="15"/>
  <c r="S185" i="15"/>
  <c r="L194" i="15"/>
  <c r="S188" i="15"/>
  <c r="N203" i="15"/>
  <c r="S206" i="15"/>
  <c r="N206" i="15"/>
  <c r="R303" i="15"/>
  <c r="P303" i="15"/>
  <c r="L304" i="15"/>
  <c r="R308" i="15"/>
  <c r="S333" i="15"/>
  <c r="N333" i="15"/>
  <c r="S121" i="15"/>
  <c r="F140" i="1"/>
  <c r="N142" i="15"/>
  <c r="N188" i="15"/>
  <c r="S209" i="15"/>
  <c r="N209" i="15"/>
  <c r="S254" i="15"/>
  <c r="N148" i="15"/>
  <c r="D185" i="15"/>
  <c r="L179" i="15"/>
  <c r="N200" i="15"/>
  <c r="S203" i="15"/>
  <c r="N301" i="15"/>
  <c r="E301" i="15"/>
  <c r="Q304" i="15"/>
  <c r="S138" i="15"/>
  <c r="N138" i="15"/>
  <c r="S146" i="15"/>
  <c r="N221" i="15"/>
  <c r="S221" i="15"/>
  <c r="N158" i="15"/>
  <c r="S162" i="15"/>
  <c r="J185" i="15"/>
  <c r="K186" i="15" s="1"/>
  <c r="S175" i="15"/>
  <c r="N181" i="15"/>
  <c r="N198" i="15"/>
  <c r="L287" i="15"/>
  <c r="S276" i="15"/>
  <c r="N276" i="15"/>
  <c r="S144" i="15"/>
  <c r="N149" i="15"/>
  <c r="S149" i="15"/>
  <c r="L163" i="15"/>
  <c r="K174" i="15"/>
  <c r="P180" i="15"/>
  <c r="S204" i="15"/>
  <c r="N204" i="15"/>
  <c r="S207" i="15"/>
  <c r="N207" i="15"/>
  <c r="N213" i="15"/>
  <c r="S222" i="15"/>
  <c r="L173" i="15"/>
  <c r="S172" i="15"/>
  <c r="P177" i="15"/>
  <c r="E185" i="15"/>
  <c r="E194" i="15" s="1"/>
  <c r="R181" i="15"/>
  <c r="N184" i="15"/>
  <c r="N241" i="15"/>
  <c r="N242" i="15" s="1"/>
  <c r="L242" i="15"/>
  <c r="S241" i="15"/>
  <c r="S242" i="15" s="1"/>
  <c r="S277" i="15"/>
  <c r="S134" i="15"/>
  <c r="Q163" i="15"/>
  <c r="S223" i="15"/>
  <c r="N226" i="15"/>
  <c r="Q266" i="15"/>
  <c r="N261" i="15"/>
  <c r="S269" i="15"/>
  <c r="N269" i="15"/>
  <c r="R302" i="15"/>
  <c r="P302" i="15"/>
  <c r="S339" i="15"/>
  <c r="N339" i="15"/>
  <c r="N147" i="15"/>
  <c r="S147" i="15"/>
  <c r="S152" i="15"/>
  <c r="Q192" i="15"/>
  <c r="F192" i="15"/>
  <c r="N223" i="15"/>
  <c r="S226" i="15"/>
  <c r="S342" i="15"/>
  <c r="N342" i="15"/>
  <c r="S384" i="15"/>
  <c r="S198" i="15"/>
  <c r="S200" i="15"/>
  <c r="S215" i="15"/>
  <c r="S217" i="15"/>
  <c r="P250" i="15"/>
  <c r="L285" i="15"/>
  <c r="K285" i="15" s="1"/>
  <c r="S274" i="15"/>
  <c r="E299" i="15"/>
  <c r="M301" i="15"/>
  <c r="S307" i="15"/>
  <c r="P312" i="15"/>
  <c r="E312" i="15"/>
  <c r="N324" i="15"/>
  <c r="S324" i="15"/>
  <c r="S345" i="15"/>
  <c r="S178" i="15"/>
  <c r="Q189" i="15"/>
  <c r="S261" i="15"/>
  <c r="S371" i="15"/>
  <c r="P285" i="15"/>
  <c r="P287" i="15"/>
  <c r="N298" i="15"/>
  <c r="M298" i="15"/>
  <c r="M300" i="15"/>
  <c r="K300" i="15"/>
  <c r="S301" i="15"/>
  <c r="S322" i="15"/>
  <c r="N322" i="15"/>
  <c r="S336" i="15"/>
  <c r="K360" i="15"/>
  <c r="L377" i="15"/>
  <c r="AO453" i="15"/>
  <c r="N216" i="15"/>
  <c r="N220" i="15"/>
  <c r="E250" i="15"/>
  <c r="N255" i="15"/>
  <c r="N259" i="15"/>
  <c r="N281" i="15"/>
  <c r="S300" i="15"/>
  <c r="S340" i="15"/>
  <c r="N340" i="15"/>
  <c r="S346" i="15"/>
  <c r="N346" i="15"/>
  <c r="S372" i="15"/>
  <c r="L229" i="15"/>
  <c r="F250" i="15"/>
  <c r="S244" i="15"/>
  <c r="M247" i="15"/>
  <c r="N270" i="15"/>
  <c r="N277" i="15"/>
  <c r="N296" i="15"/>
  <c r="S331" i="15"/>
  <c r="L349" i="15"/>
  <c r="AO477" i="15"/>
  <c r="L250" i="15"/>
  <c r="S272" i="15"/>
  <c r="N275" i="15"/>
  <c r="S279" i="15"/>
  <c r="E296" i="15"/>
  <c r="K298" i="15"/>
  <c r="S299" i="15"/>
  <c r="S328" i="15"/>
  <c r="N328" i="15"/>
  <c r="N331" i="15"/>
  <c r="S337" i="15"/>
  <c r="N201" i="15"/>
  <c r="F210" i="15"/>
  <c r="N211" i="15"/>
  <c r="N222" i="15"/>
  <c r="S224" i="15"/>
  <c r="F245" i="15"/>
  <c r="S247" i="15"/>
  <c r="S255" i="15"/>
  <c r="Q285" i="15"/>
  <c r="S275" i="15"/>
  <c r="M297" i="15"/>
  <c r="K297" i="15"/>
  <c r="S298" i="15"/>
  <c r="N323" i="15"/>
  <c r="N337" i="15"/>
  <c r="L245" i="15"/>
  <c r="N262" i="15"/>
  <c r="S297" i="15"/>
  <c r="N307" i="15"/>
  <c r="S332" i="15"/>
  <c r="S373" i="15"/>
  <c r="N254" i="15"/>
  <c r="N258" i="15"/>
  <c r="S264" i="15"/>
  <c r="P266" i="15"/>
  <c r="N271" i="15"/>
  <c r="N278" i="15"/>
  <c r="K296" i="15"/>
  <c r="N297" i="15"/>
  <c r="S302" i="15"/>
  <c r="N302" i="15"/>
  <c r="M307" i="15"/>
  <c r="M308" i="15"/>
  <c r="K308" i="15"/>
  <c r="S338" i="15"/>
  <c r="N338" i="15"/>
  <c r="N244" i="15"/>
  <c r="N245" i="15" s="1"/>
  <c r="L248" i="15"/>
  <c r="Q250" i="15"/>
  <c r="S271" i="15"/>
  <c r="S273" i="15"/>
  <c r="S278" i="15"/>
  <c r="S296" i="15"/>
  <c r="S318" i="15"/>
  <c r="L330" i="15"/>
  <c r="N318" i="15"/>
  <c r="N329" i="15"/>
  <c r="S380" i="15"/>
  <c r="AO495" i="15"/>
  <c r="F395" i="15"/>
  <c r="E395" i="15" s="1"/>
  <c r="Q395" i="15"/>
  <c r="P395" i="15" s="1"/>
  <c r="S308" i="15"/>
  <c r="L395" i="15"/>
  <c r="K395" i="15" s="1"/>
  <c r="AI491" i="15"/>
  <c r="AO461" i="15"/>
  <c r="AN469" i="15"/>
  <c r="AO469" i="15" s="1"/>
  <c r="AH491" i="15"/>
  <c r="S267" i="15"/>
  <c r="N344" i="15"/>
  <c r="S365" i="15"/>
  <c r="S388" i="15"/>
  <c r="AI457" i="15"/>
  <c r="AH459" i="15"/>
  <c r="AI459" i="15" s="1"/>
  <c r="AH469" i="15"/>
  <c r="AI469" i="15" s="1"/>
  <c r="AO491" i="15"/>
  <c r="AH494" i="15"/>
  <c r="AN455" i="15"/>
  <c r="AH455" i="15"/>
  <c r="AO459" i="15"/>
  <c r="F329" i="1"/>
  <c r="N329" i="1" s="1"/>
  <c r="F377" i="15"/>
  <c r="AH492" i="15"/>
  <c r="S341" i="15"/>
  <c r="N341" i="15"/>
  <c r="AN420" i="15"/>
  <c r="AO420" i="15" s="1"/>
  <c r="AH420" i="15"/>
  <c r="AI420" i="15" s="1"/>
  <c r="AH453" i="15"/>
  <c r="S327" i="15"/>
  <c r="N327" i="15"/>
  <c r="S334" i="15"/>
  <c r="S348" i="15"/>
  <c r="AH460" i="15"/>
  <c r="AI460" i="15" s="1"/>
  <c r="AN477" i="15"/>
  <c r="AH461" i="15"/>
  <c r="AI461" i="15" s="1"/>
  <c r="AH477" i="15"/>
  <c r="AI477" i="15" s="1"/>
  <c r="AH493" i="15"/>
  <c r="AH496" i="15"/>
  <c r="AI496" i="15" s="1"/>
  <c r="AH454" i="15"/>
  <c r="AI454" i="15" s="1"/>
  <c r="AH457" i="15"/>
  <c r="N265" i="1"/>
  <c r="AB496" i="1"/>
  <c r="E11" i="6"/>
  <c r="N11" i="6"/>
  <c r="P11" i="6"/>
  <c r="E23" i="6"/>
  <c r="V82" i="6"/>
  <c r="A6" i="6"/>
  <c r="N7" i="6"/>
  <c r="S11" i="6"/>
  <c r="N19" i="6"/>
  <c r="AF448" i="6"/>
  <c r="A68" i="6"/>
  <c r="L189" i="6"/>
  <c r="M188" i="6"/>
  <c r="K8" i="6"/>
  <c r="M8" i="6"/>
  <c r="S44" i="6"/>
  <c r="N44" i="6"/>
  <c r="A52" i="6"/>
  <c r="K38" i="6"/>
  <c r="S60" i="6"/>
  <c r="N60" i="6"/>
  <c r="S121" i="6"/>
  <c r="V485" i="6"/>
  <c r="A485" i="6" s="1"/>
  <c r="V402" i="6"/>
  <c r="C291" i="6"/>
  <c r="C356" i="6" s="1"/>
  <c r="C168" i="6"/>
  <c r="C236" i="6"/>
  <c r="A37" i="6"/>
  <c r="A5" i="6"/>
  <c r="R12" i="6"/>
  <c r="N94" i="6"/>
  <c r="S94" i="6"/>
  <c r="L97" i="6"/>
  <c r="E12" i="6"/>
  <c r="AF411" i="6"/>
  <c r="A80" i="6"/>
  <c r="S40" i="6"/>
  <c r="K40" i="6"/>
  <c r="E8" i="6"/>
  <c r="S49" i="6"/>
  <c r="N49" i="6"/>
  <c r="M10" i="6"/>
  <c r="N63" i="6"/>
  <c r="S63" i="6"/>
  <c r="S50" i="6"/>
  <c r="AF473" i="6"/>
  <c r="A77" i="6"/>
  <c r="N100" i="6"/>
  <c r="P308" i="6"/>
  <c r="R308" i="6"/>
  <c r="P7" i="6"/>
  <c r="S7" i="6"/>
  <c r="AO485" i="6"/>
  <c r="AO402" i="6"/>
  <c r="S356" i="6"/>
  <c r="S236" i="6"/>
  <c r="S291" i="6"/>
  <c r="S168" i="6"/>
  <c r="S89" i="6"/>
  <c r="A35" i="6"/>
  <c r="N38" i="6"/>
  <c r="N51" i="6"/>
  <c r="M9" i="6"/>
  <c r="S19" i="6"/>
  <c r="N9" i="6"/>
  <c r="S47" i="6"/>
  <c r="N47" i="6"/>
  <c r="R8" i="6"/>
  <c r="S22" i="6"/>
  <c r="AL411" i="6"/>
  <c r="R9" i="6"/>
  <c r="AF425" i="6"/>
  <c r="N42" i="6"/>
  <c r="D53" i="6"/>
  <c r="S55" i="6"/>
  <c r="Q97" i="6"/>
  <c r="O112" i="6" s="1"/>
  <c r="Q135" i="6"/>
  <c r="S123" i="6"/>
  <c r="M17" i="6"/>
  <c r="K17" i="6"/>
  <c r="AF409" i="6"/>
  <c r="A31" i="6"/>
  <c r="K12" i="6"/>
  <c r="E21" i="6"/>
  <c r="AL435" i="6"/>
  <c r="N56" i="6"/>
  <c r="S58" i="6"/>
  <c r="N159" i="6"/>
  <c r="R11" i="6"/>
  <c r="M11" i="6"/>
  <c r="R17" i="6"/>
  <c r="L24" i="6"/>
  <c r="A43" i="6"/>
  <c r="N58" i="6"/>
  <c r="S78" i="6"/>
  <c r="C89" i="6"/>
  <c r="Z444" i="6" s="1"/>
  <c r="Q105" i="6"/>
  <c r="P119" i="6"/>
  <c r="S119" i="6"/>
  <c r="Q24" i="6"/>
  <c r="S46" i="6"/>
  <c r="N46" i="6"/>
  <c r="A59" i="6"/>
  <c r="AL442" i="6"/>
  <c r="Z442" i="6"/>
  <c r="S65" i="6"/>
  <c r="N65" i="6"/>
  <c r="S67" i="6"/>
  <c r="S156" i="6"/>
  <c r="N156" i="6"/>
  <c r="L163" i="6"/>
  <c r="L54" i="6"/>
  <c r="N62" i="6"/>
  <c r="S62" i="6"/>
  <c r="S223" i="6"/>
  <c r="N223" i="6"/>
  <c r="S70" i="6"/>
  <c r="R100" i="6"/>
  <c r="M172" i="6"/>
  <c r="K185" i="6"/>
  <c r="K186" i="6" s="1"/>
  <c r="K174" i="6"/>
  <c r="N178" i="6"/>
  <c r="L179" i="6"/>
  <c r="N179" i="6" s="1"/>
  <c r="S178" i="6"/>
  <c r="R181" i="6"/>
  <c r="S203" i="6"/>
  <c r="N203" i="6"/>
  <c r="N227" i="6"/>
  <c r="R241" i="6"/>
  <c r="F242" i="6"/>
  <c r="M241" i="6"/>
  <c r="R300" i="6"/>
  <c r="N76" i="6"/>
  <c r="N138" i="6"/>
  <c r="A71" i="6"/>
  <c r="S76" i="6"/>
  <c r="N78" i="6"/>
  <c r="A82" i="6"/>
  <c r="K100" i="6"/>
  <c r="F105" i="6"/>
  <c r="F108" i="6" s="1"/>
  <c r="P116" i="6"/>
  <c r="N126" i="6"/>
  <c r="N129" i="6"/>
  <c r="S138" i="6"/>
  <c r="N143" i="6"/>
  <c r="N150" i="6"/>
  <c r="W159" i="6"/>
  <c r="N162" i="6"/>
  <c r="N172" i="6"/>
  <c r="L173" i="6"/>
  <c r="L185" i="6"/>
  <c r="N200" i="6"/>
  <c r="S227" i="6"/>
  <c r="S263" i="6"/>
  <c r="N69" i="6"/>
  <c r="O97" i="6"/>
  <c r="P121" i="6" s="1"/>
  <c r="S100" i="6"/>
  <c r="P112" i="6"/>
  <c r="L122" i="6"/>
  <c r="S136" i="6"/>
  <c r="S150" i="6"/>
  <c r="L153" i="6"/>
  <c r="N175" i="6"/>
  <c r="F266" i="6"/>
  <c r="N264" i="6"/>
  <c r="S264" i="6"/>
  <c r="S102" i="6"/>
  <c r="L105" i="6"/>
  <c r="E117" i="6"/>
  <c r="N146" i="6"/>
  <c r="F210" i="6"/>
  <c r="S272" i="6"/>
  <c r="S279" i="6"/>
  <c r="N279" i="6"/>
  <c r="S296" i="6"/>
  <c r="S115" i="6"/>
  <c r="S53" i="6"/>
  <c r="N102" i="6"/>
  <c r="S117" i="6"/>
  <c r="S129" i="6"/>
  <c r="N134" i="6"/>
  <c r="Q153" i="6"/>
  <c r="N139" i="6"/>
  <c r="N144" i="6"/>
  <c r="N148" i="6"/>
  <c r="N157" i="6"/>
  <c r="S172" i="6"/>
  <c r="P177" i="6"/>
  <c r="N221" i="6"/>
  <c r="S221" i="6"/>
  <c r="R10" i="6"/>
  <c r="A15" i="6"/>
  <c r="N22" i="6"/>
  <c r="A34" i="6"/>
  <c r="N53" i="6"/>
  <c r="N117" i="6"/>
  <c r="S127" i="6"/>
  <c r="N132" i="6"/>
  <c r="N151" i="6"/>
  <c r="N160" i="6"/>
  <c r="N198" i="6"/>
  <c r="N208" i="6"/>
  <c r="N347" i="6"/>
  <c r="S347" i="6"/>
  <c r="E94" i="6"/>
  <c r="R95" i="6"/>
  <c r="R97" i="6" s="1"/>
  <c r="R98" i="6" s="1"/>
  <c r="P114" i="6"/>
  <c r="F135" i="6"/>
  <c r="N127" i="6"/>
  <c r="N130" i="6"/>
  <c r="S139" i="6"/>
  <c r="S142" i="6"/>
  <c r="Q163" i="6"/>
  <c r="N158" i="6"/>
  <c r="Q229" i="6"/>
  <c r="F229" i="6"/>
  <c r="S216" i="6"/>
  <c r="S254" i="6"/>
  <c r="D97" i="6"/>
  <c r="E119" i="6" s="1"/>
  <c r="P117" i="6"/>
  <c r="L135" i="6"/>
  <c r="S137" i="6"/>
  <c r="S205" i="6"/>
  <c r="N205" i="6"/>
  <c r="S209" i="6"/>
  <c r="N209" i="6"/>
  <c r="N212" i="6"/>
  <c r="N216" i="6"/>
  <c r="N283" i="6"/>
  <c r="S283" i="6"/>
  <c r="S104" i="6"/>
  <c r="S114" i="6"/>
  <c r="E116" i="6"/>
  <c r="N137" i="6"/>
  <c r="N140" i="6"/>
  <c r="S158" i="6"/>
  <c r="S222" i="6"/>
  <c r="L251" i="6"/>
  <c r="A36" i="6"/>
  <c r="M94" i="6"/>
  <c r="K95" i="6"/>
  <c r="S112" i="6"/>
  <c r="S161" i="6"/>
  <c r="R178" i="6"/>
  <c r="F179" i="6"/>
  <c r="M178" i="6"/>
  <c r="S184" i="6"/>
  <c r="F189" i="6"/>
  <c r="N188" i="6"/>
  <c r="R244" i="6"/>
  <c r="N244" i="6"/>
  <c r="N245" i="6" s="1"/>
  <c r="S255" i="6"/>
  <c r="S258" i="6"/>
  <c r="S262" i="6"/>
  <c r="N262" i="6"/>
  <c r="N270" i="6"/>
  <c r="Q285" i="6"/>
  <c r="P297" i="6"/>
  <c r="K94" i="6"/>
  <c r="S95" i="6"/>
  <c r="R96" i="6"/>
  <c r="J97" i="6"/>
  <c r="P120" i="6"/>
  <c r="E120" i="6"/>
  <c r="N128" i="6"/>
  <c r="S133" i="6"/>
  <c r="N145" i="6"/>
  <c r="S152" i="6"/>
  <c r="S199" i="6"/>
  <c r="L210" i="6"/>
  <c r="S213" i="6"/>
  <c r="N258" i="6"/>
  <c r="R297" i="6"/>
  <c r="N268" i="6"/>
  <c r="L285" i="6"/>
  <c r="K285" i="6" s="1"/>
  <c r="J304" i="6"/>
  <c r="N298" i="6"/>
  <c r="Q330" i="6"/>
  <c r="N322" i="6"/>
  <c r="L266" i="6"/>
  <c r="M298" i="6"/>
  <c r="S301" i="6"/>
  <c r="S322" i="6"/>
  <c r="S379" i="6"/>
  <c r="S385" i="6"/>
  <c r="S207" i="6"/>
  <c r="N214" i="6"/>
  <c r="N260" i="6"/>
  <c r="N275" i="6"/>
  <c r="S277" i="6"/>
  <c r="L304" i="6"/>
  <c r="S295" i="6"/>
  <c r="AO420" i="6"/>
  <c r="AN420" i="6"/>
  <c r="AO495" i="6"/>
  <c r="AN495" i="6"/>
  <c r="N207" i="6"/>
  <c r="Q266" i="6"/>
  <c r="S268" i="6"/>
  <c r="N277" i="6"/>
  <c r="S298" i="6"/>
  <c r="M308" i="6"/>
  <c r="K308" i="6"/>
  <c r="N323" i="6"/>
  <c r="N345" i="6"/>
  <c r="N104" i="6"/>
  <c r="N115" i="6"/>
  <c r="M181" i="6"/>
  <c r="F192" i="6"/>
  <c r="L229" i="6"/>
  <c r="S308" i="6"/>
  <c r="P312" i="6"/>
  <c r="M312" i="6"/>
  <c r="E312" i="6"/>
  <c r="S393" i="6"/>
  <c r="S241" i="6"/>
  <c r="S244" i="6"/>
  <c r="S271" i="6"/>
  <c r="S275" i="6"/>
  <c r="M300" i="6"/>
  <c r="K300" i="6"/>
  <c r="S320" i="6"/>
  <c r="N320" i="6"/>
  <c r="L330" i="6"/>
  <c r="S381" i="6"/>
  <c r="S387" i="6"/>
  <c r="N213" i="6"/>
  <c r="N222" i="6"/>
  <c r="S224" i="6"/>
  <c r="N226" i="6"/>
  <c r="L250" i="6"/>
  <c r="N267" i="6"/>
  <c r="P303" i="6"/>
  <c r="S312" i="6"/>
  <c r="R312" i="6" s="1"/>
  <c r="S261" i="6"/>
  <c r="N269" i="6"/>
  <c r="S278" i="6"/>
  <c r="M297" i="6"/>
  <c r="K297" i="6"/>
  <c r="K307" i="6"/>
  <c r="S307" i="6"/>
  <c r="N318" i="6"/>
  <c r="F349" i="6"/>
  <c r="AI459" i="6"/>
  <c r="AH459" i="6"/>
  <c r="L242" i="6"/>
  <c r="L245" i="6"/>
  <c r="N263" i="6"/>
  <c r="N274" i="6"/>
  <c r="N297" i="6"/>
  <c r="N307" i="6"/>
  <c r="L349" i="6"/>
  <c r="Q377" i="6"/>
  <c r="S389" i="6"/>
  <c r="L176" i="6"/>
  <c r="L182" i="6"/>
  <c r="S206" i="6"/>
  <c r="M296" i="6"/>
  <c r="N302" i="6"/>
  <c r="S321" i="6"/>
  <c r="D362" i="6"/>
  <c r="E362" i="6" s="1"/>
  <c r="L377" i="6"/>
  <c r="L248" i="6"/>
  <c r="N272" i="6"/>
  <c r="N295" i="6"/>
  <c r="K299" i="6"/>
  <c r="S299" i="6"/>
  <c r="N301" i="6"/>
  <c r="E301" i="6"/>
  <c r="S318" i="6"/>
  <c r="N321" i="6"/>
  <c r="N325" i="6"/>
  <c r="S325" i="6"/>
  <c r="N341" i="6"/>
  <c r="M295" i="6"/>
  <c r="E296" i="6"/>
  <c r="N299" i="6"/>
  <c r="E307" i="6"/>
  <c r="S336" i="6"/>
  <c r="Q304" i="6"/>
  <c r="P300" i="6"/>
  <c r="E303" i="6"/>
  <c r="N343" i="6"/>
  <c r="AH453" i="6"/>
  <c r="J362" i="6"/>
  <c r="K362" i="6" s="1"/>
  <c r="K360" i="6"/>
  <c r="S369" i="6"/>
  <c r="S378" i="6"/>
  <c r="S382" i="6"/>
  <c r="S386" i="6"/>
  <c r="AO460" i="6"/>
  <c r="AN491" i="6"/>
  <c r="L395" i="6"/>
  <c r="K395" i="6" s="1"/>
  <c r="S390" i="6"/>
  <c r="S394" i="6"/>
  <c r="AI460" i="6"/>
  <c r="AN496" i="6"/>
  <c r="S300" i="6"/>
  <c r="N339" i="6"/>
  <c r="S341" i="6"/>
  <c r="S383" i="6"/>
  <c r="S391" i="6"/>
  <c r="AH457" i="6"/>
  <c r="AI457" i="6" s="1"/>
  <c r="AH454" i="6"/>
  <c r="AI454" i="6" s="1"/>
  <c r="AH460" i="6"/>
  <c r="AO477" i="6"/>
  <c r="AN497" i="6"/>
  <c r="N333" i="6"/>
  <c r="N337" i="6"/>
  <c r="S339" i="6"/>
  <c r="S367" i="6"/>
  <c r="F377" i="6"/>
  <c r="S373" i="6"/>
  <c r="S326" i="6"/>
  <c r="N328" i="6"/>
  <c r="S344" i="6"/>
  <c r="S370" i="6"/>
  <c r="S376" i="6"/>
  <c r="AH458" i="6"/>
  <c r="N326" i="6"/>
  <c r="S331" i="6"/>
  <c r="S335" i="6"/>
  <c r="S342" i="6"/>
  <c r="N344" i="6"/>
  <c r="S384" i="6"/>
  <c r="S392" i="6"/>
  <c r="AN458" i="6"/>
  <c r="AO458" i="6" s="1"/>
  <c r="AN461" i="6"/>
  <c r="AO461" i="6" s="1"/>
  <c r="S380" i="6"/>
  <c r="S388" i="6"/>
  <c r="AN455" i="6"/>
  <c r="AO455" i="6" s="1"/>
  <c r="AO494" i="6"/>
  <c r="AI494" i="6"/>
  <c r="AO492" i="6"/>
  <c r="AN492" i="6"/>
  <c r="AN454" i="6"/>
  <c r="AN457" i="6"/>
  <c r="AH491" i="6"/>
  <c r="AH420" i="6"/>
  <c r="AI420" i="6"/>
  <c r="AH469" i="6"/>
  <c r="AI469" i="6" s="1"/>
  <c r="AH493" i="6"/>
  <c r="AH496" i="6"/>
  <c r="AN459" i="6"/>
  <c r="AO459" i="6" s="1"/>
  <c r="Q144" i="1"/>
  <c r="AL493" i="1"/>
  <c r="AO493" i="1" s="1"/>
  <c r="AL462" i="1"/>
  <c r="AL461" i="1"/>
  <c r="AL459" i="1"/>
  <c r="AL456" i="1"/>
  <c r="AO456" i="1" s="1"/>
  <c r="AL453" i="1"/>
  <c r="AL420" i="1"/>
  <c r="Q348" i="1"/>
  <c r="L348" i="1"/>
  <c r="I348" i="1"/>
  <c r="Q347" i="1"/>
  <c r="L347" i="1"/>
  <c r="I347" i="1"/>
  <c r="Q346" i="1"/>
  <c r="L346" i="1"/>
  <c r="I346" i="1"/>
  <c r="F346" i="1"/>
  <c r="Q284" i="1"/>
  <c r="L284" i="1"/>
  <c r="I284" i="1"/>
  <c r="F284" i="1"/>
  <c r="Q283" i="1"/>
  <c r="L283" i="1"/>
  <c r="I283" i="1"/>
  <c r="F283" i="1"/>
  <c r="Q282" i="1"/>
  <c r="L282" i="1"/>
  <c r="I282" i="1"/>
  <c r="Q228" i="1"/>
  <c r="L228" i="1"/>
  <c r="I228" i="1"/>
  <c r="F228" i="1"/>
  <c r="L227" i="1"/>
  <c r="I227" i="1"/>
  <c r="F227" i="1"/>
  <c r="Q226" i="1"/>
  <c r="L226" i="1"/>
  <c r="I226" i="1"/>
  <c r="F226" i="1"/>
  <c r="L209" i="1"/>
  <c r="I209" i="1"/>
  <c r="F209" i="1"/>
  <c r="Q162" i="1"/>
  <c r="L162" i="1"/>
  <c r="I162" i="1"/>
  <c r="L161" i="1"/>
  <c r="I161" i="1"/>
  <c r="F161" i="1"/>
  <c r="Q160" i="1"/>
  <c r="L160" i="1"/>
  <c r="I160" i="1"/>
  <c r="F160" i="1"/>
  <c r="L159" i="1"/>
  <c r="I159" i="1"/>
  <c r="F159" i="1"/>
  <c r="Q158" i="1"/>
  <c r="L158" i="1"/>
  <c r="I158" i="1"/>
  <c r="F158" i="1"/>
  <c r="Q157" i="1"/>
  <c r="L157" i="1"/>
  <c r="I157" i="1"/>
  <c r="F157" i="1"/>
  <c r="Q156" i="1"/>
  <c r="L156" i="1"/>
  <c r="I156" i="1"/>
  <c r="L152" i="1"/>
  <c r="I152" i="1"/>
  <c r="F152" i="1"/>
  <c r="Q151" i="1"/>
  <c r="L151" i="1"/>
  <c r="I151" i="1"/>
  <c r="F151" i="1"/>
  <c r="Q150" i="1"/>
  <c r="L150" i="1"/>
  <c r="I150" i="1"/>
  <c r="L149" i="1"/>
  <c r="I149" i="1"/>
  <c r="F149" i="1"/>
  <c r="Q148" i="1"/>
  <c r="L148" i="1"/>
  <c r="I148" i="1"/>
  <c r="F148" i="1"/>
  <c r="Q147" i="1"/>
  <c r="L147" i="1"/>
  <c r="I147" i="1"/>
  <c r="F147" i="1"/>
  <c r="Q146" i="1"/>
  <c r="L146" i="1"/>
  <c r="I146" i="1"/>
  <c r="F146" i="1"/>
  <c r="Q145" i="1"/>
  <c r="L145" i="1"/>
  <c r="I145" i="1"/>
  <c r="F145" i="1"/>
  <c r="L144" i="1"/>
  <c r="I144" i="1"/>
  <c r="F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Q139" i="1"/>
  <c r="L139" i="1"/>
  <c r="I139" i="1"/>
  <c r="F139" i="1"/>
  <c r="Q138" i="1"/>
  <c r="L138" i="1"/>
  <c r="I138" i="1"/>
  <c r="F138" i="1"/>
  <c r="Q137" i="1"/>
  <c r="L137" i="1"/>
  <c r="I137" i="1"/>
  <c r="F137" i="1"/>
  <c r="Q136" i="1"/>
  <c r="L136" i="1"/>
  <c r="I136" i="1"/>
  <c r="Q121" i="1"/>
  <c r="L121" i="1"/>
  <c r="I121" i="1"/>
  <c r="F121" i="1"/>
  <c r="Q120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F125" i="1"/>
  <c r="Q124" i="1"/>
  <c r="L124" i="1"/>
  <c r="I124" i="1"/>
  <c r="F124" i="1"/>
  <c r="Q123" i="1"/>
  <c r="L123" i="1"/>
  <c r="I123" i="1"/>
  <c r="Q118" i="1"/>
  <c r="L118" i="1"/>
  <c r="I118" i="1"/>
  <c r="Q117" i="1"/>
  <c r="L117" i="1"/>
  <c r="I117" i="1"/>
  <c r="F117" i="1"/>
  <c r="Q116" i="1"/>
  <c r="L116" i="1"/>
  <c r="I116" i="1"/>
  <c r="F116" i="1"/>
  <c r="Q115" i="1"/>
  <c r="L115" i="1"/>
  <c r="I115" i="1"/>
  <c r="L114" i="1"/>
  <c r="I114" i="1"/>
  <c r="F114" i="1"/>
  <c r="Q113" i="1"/>
  <c r="L113" i="1"/>
  <c r="I113" i="1"/>
  <c r="F113" i="1"/>
  <c r="Q112" i="1"/>
  <c r="L112" i="1"/>
  <c r="I112" i="1"/>
  <c r="F112" i="1"/>
  <c r="AC480" i="1"/>
  <c r="AC479" i="1"/>
  <c r="AC478" i="1"/>
  <c r="AC432" i="1"/>
  <c r="AC431" i="1"/>
  <c r="AC418" i="1"/>
  <c r="AC417" i="1"/>
  <c r="AC416" i="1"/>
  <c r="AB416" i="1" s="1"/>
  <c r="AC497" i="1"/>
  <c r="AF495" i="1"/>
  <c r="AC495" i="1"/>
  <c r="AB495" i="1" s="1"/>
  <c r="AF494" i="1"/>
  <c r="AC494" i="1"/>
  <c r="AF493" i="1"/>
  <c r="AC493" i="1"/>
  <c r="AF492" i="1"/>
  <c r="AC492" i="1"/>
  <c r="AB492" i="1" s="1"/>
  <c r="AF491" i="1"/>
  <c r="AC491" i="1"/>
  <c r="AB491" i="1" s="1"/>
  <c r="S242" i="6" l="1"/>
  <c r="S163" i="6"/>
  <c r="P113" i="15"/>
  <c r="P115" i="15"/>
  <c r="Q287" i="6"/>
  <c r="S163" i="15"/>
  <c r="S395" i="5"/>
  <c r="P120" i="15"/>
  <c r="P118" i="15"/>
  <c r="AI442" i="5"/>
  <c r="AE412" i="5"/>
  <c r="Q27" i="5"/>
  <c r="O31" i="5"/>
  <c r="R304" i="5"/>
  <c r="O309" i="5"/>
  <c r="P304" i="5"/>
  <c r="AL451" i="5"/>
  <c r="AO451" i="5" s="1"/>
  <c r="Q309" i="5"/>
  <c r="AH442" i="5"/>
  <c r="N330" i="5"/>
  <c r="L351" i="5"/>
  <c r="S330" i="5"/>
  <c r="P307" i="5"/>
  <c r="Q351" i="5"/>
  <c r="N38" i="5"/>
  <c r="S38" i="5"/>
  <c r="K38" i="5"/>
  <c r="AF425" i="5"/>
  <c r="AF422" i="5"/>
  <c r="AF428" i="5"/>
  <c r="Z440" i="5"/>
  <c r="AI440" i="5" s="1"/>
  <c r="AF478" i="5"/>
  <c r="AF465" i="5"/>
  <c r="Z448" i="5"/>
  <c r="S95" i="5"/>
  <c r="S97" i="5" s="1"/>
  <c r="N120" i="5"/>
  <c r="Z497" i="5"/>
  <c r="S53" i="5"/>
  <c r="S67" i="5"/>
  <c r="S52" i="5"/>
  <c r="N52" i="5"/>
  <c r="R300" i="5"/>
  <c r="P300" i="5"/>
  <c r="L108" i="5"/>
  <c r="N97" i="5"/>
  <c r="N98" i="5" s="1"/>
  <c r="F135" i="5"/>
  <c r="E135" i="5" s="1"/>
  <c r="K118" i="5"/>
  <c r="K116" i="5"/>
  <c r="K115" i="5"/>
  <c r="K119" i="5"/>
  <c r="J105" i="5"/>
  <c r="K120" i="5"/>
  <c r="K121" i="5"/>
  <c r="K114" i="5"/>
  <c r="K103" i="5"/>
  <c r="R103" i="5" s="1"/>
  <c r="K97" i="5"/>
  <c r="K117" i="5"/>
  <c r="K112" i="5"/>
  <c r="K104" i="5"/>
  <c r="R104" i="5" s="1"/>
  <c r="K113" i="5"/>
  <c r="K102" i="5"/>
  <c r="R102" i="5" s="1"/>
  <c r="J108" i="5"/>
  <c r="N49" i="5"/>
  <c r="L287" i="5"/>
  <c r="Z434" i="5"/>
  <c r="AF431" i="5"/>
  <c r="Z446" i="5"/>
  <c r="AL441" i="5"/>
  <c r="AF421" i="5"/>
  <c r="AL414" i="5"/>
  <c r="AN414" i="5" s="1"/>
  <c r="S120" i="5"/>
  <c r="P120" i="5"/>
  <c r="AL423" i="5"/>
  <c r="AE411" i="5"/>
  <c r="S56" i="5"/>
  <c r="AI491" i="5"/>
  <c r="F347" i="1"/>
  <c r="AI459" i="5"/>
  <c r="Q397" i="5"/>
  <c r="P397" i="5" s="1"/>
  <c r="P377" i="5"/>
  <c r="AO491" i="5"/>
  <c r="E330" i="5"/>
  <c r="M304" i="5"/>
  <c r="J309" i="5"/>
  <c r="K304" i="5"/>
  <c r="Q179" i="5"/>
  <c r="S178" i="5"/>
  <c r="S163" i="5"/>
  <c r="N179" i="5"/>
  <c r="E174" i="5"/>
  <c r="E185" i="5"/>
  <c r="Q210" i="5"/>
  <c r="J112" i="5"/>
  <c r="S49" i="5"/>
  <c r="E11" i="5"/>
  <c r="M11" i="5"/>
  <c r="S11" i="5"/>
  <c r="N22" i="5"/>
  <c r="AF440" i="5"/>
  <c r="Z443" i="5"/>
  <c r="AF424" i="5"/>
  <c r="AL439" i="5"/>
  <c r="AF418" i="5"/>
  <c r="AL429" i="5"/>
  <c r="AO492" i="5"/>
  <c r="AN492" i="5"/>
  <c r="N297" i="5"/>
  <c r="S304" i="5"/>
  <c r="S305" i="5" s="1"/>
  <c r="L309" i="5"/>
  <c r="N304" i="5"/>
  <c r="N305" i="5" s="1"/>
  <c r="P303" i="5"/>
  <c r="R303" i="5"/>
  <c r="L231" i="5"/>
  <c r="S210" i="5"/>
  <c r="N172" i="5"/>
  <c r="F173" i="5"/>
  <c r="F185" i="5"/>
  <c r="S188" i="5"/>
  <c r="K122" i="5"/>
  <c r="L155" i="5"/>
  <c r="S15" i="5"/>
  <c r="N15" i="5"/>
  <c r="AF451" i="5"/>
  <c r="Z470" i="5"/>
  <c r="AL413" i="5"/>
  <c r="AF470" i="5"/>
  <c r="Z430" i="5"/>
  <c r="AF427" i="5"/>
  <c r="AL421" i="5"/>
  <c r="Z441" i="5"/>
  <c r="AF435" i="5"/>
  <c r="Z431" i="5"/>
  <c r="S10" i="5"/>
  <c r="Q135" i="5"/>
  <c r="N349" i="5"/>
  <c r="S285" i="5"/>
  <c r="R308" i="5"/>
  <c r="P308" i="5"/>
  <c r="F118" i="1"/>
  <c r="R296" i="5"/>
  <c r="P296" i="5"/>
  <c r="P185" i="5"/>
  <c r="P194" i="5" s="1"/>
  <c r="P174" i="5"/>
  <c r="R8" i="5"/>
  <c r="F108" i="5"/>
  <c r="Q54" i="5"/>
  <c r="M8" i="5"/>
  <c r="AF448" i="5"/>
  <c r="AL471" i="5"/>
  <c r="AF473" i="5"/>
  <c r="AL431" i="5"/>
  <c r="AF430" i="5"/>
  <c r="Z439" i="5"/>
  <c r="AF415" i="5"/>
  <c r="Z471" i="5"/>
  <c r="AL442" i="5"/>
  <c r="AF438" i="5"/>
  <c r="N10" i="5"/>
  <c r="AO460" i="5"/>
  <c r="L397" i="5"/>
  <c r="S377" i="5"/>
  <c r="K377" i="5"/>
  <c r="N250" i="5"/>
  <c r="N251" i="5" s="1"/>
  <c r="L289" i="5"/>
  <c r="F349" i="5"/>
  <c r="E349" i="5" s="1"/>
  <c r="F245" i="5"/>
  <c r="D185" i="5"/>
  <c r="E297" i="5"/>
  <c r="K153" i="5"/>
  <c r="S105" i="5"/>
  <c r="N105" i="5"/>
  <c r="N106" i="5" s="1"/>
  <c r="Z476" i="5"/>
  <c r="AF410" i="5"/>
  <c r="AF419" i="5" s="1"/>
  <c r="Z473" i="5"/>
  <c r="AF476" i="5"/>
  <c r="AF446" i="5"/>
  <c r="AL434" i="5"/>
  <c r="AL440" i="5"/>
  <c r="AO440" i="5" s="1"/>
  <c r="AL424" i="5"/>
  <c r="AL472" i="5"/>
  <c r="AO472" i="5" s="1"/>
  <c r="AL463" i="5"/>
  <c r="AF441" i="5"/>
  <c r="AF444" i="5"/>
  <c r="N82" i="5"/>
  <c r="F153" i="5"/>
  <c r="N153" i="5" s="1"/>
  <c r="N36" i="5"/>
  <c r="E300" i="5"/>
  <c r="M300" i="5"/>
  <c r="R362" i="5"/>
  <c r="P362" i="5"/>
  <c r="F210" i="5"/>
  <c r="AH475" i="5"/>
  <c r="AI475" i="5" s="1"/>
  <c r="K229" i="5"/>
  <c r="Q399" i="5"/>
  <c r="S363" i="5"/>
  <c r="Q173" i="5"/>
  <c r="Q185" i="5"/>
  <c r="S172" i="5"/>
  <c r="D97" i="5"/>
  <c r="E95" i="5"/>
  <c r="Z427" i="5"/>
  <c r="AI427" i="5" s="1"/>
  <c r="AL425" i="5"/>
  <c r="AO425" i="5" s="1"/>
  <c r="O13" i="5"/>
  <c r="O24" i="5" s="1"/>
  <c r="P6" i="5"/>
  <c r="S6" i="5"/>
  <c r="S13" i="5" s="1"/>
  <c r="S14" i="5" s="1"/>
  <c r="L13" i="5"/>
  <c r="L27" i="5" s="1"/>
  <c r="N6" i="5"/>
  <c r="N13" i="5" s="1"/>
  <c r="Z437" i="5"/>
  <c r="AL437" i="5"/>
  <c r="Z411" i="5"/>
  <c r="Z413" i="5"/>
  <c r="AH413" i="5" s="1"/>
  <c r="AF479" i="5"/>
  <c r="AF449" i="5"/>
  <c r="AF436" i="5"/>
  <c r="Z474" i="5"/>
  <c r="Z444" i="5"/>
  <c r="AF447" i="5"/>
  <c r="Q153" i="5"/>
  <c r="F156" i="1"/>
  <c r="AI420" i="5"/>
  <c r="AH461" i="5"/>
  <c r="AI461" i="5" s="1"/>
  <c r="S241" i="5"/>
  <c r="S242" i="5" s="1"/>
  <c r="F251" i="5"/>
  <c r="N282" i="5"/>
  <c r="R172" i="5"/>
  <c r="O185" i="5"/>
  <c r="K135" i="5"/>
  <c r="S135" i="5"/>
  <c r="S79" i="5"/>
  <c r="N79" i="5"/>
  <c r="N83" i="5" s="1"/>
  <c r="Z445" i="5"/>
  <c r="AH445" i="5" s="1"/>
  <c r="AL445" i="5"/>
  <c r="N31" i="5"/>
  <c r="S31" i="5"/>
  <c r="L41" i="5"/>
  <c r="K31" i="5"/>
  <c r="J31" i="5"/>
  <c r="E6" i="5"/>
  <c r="D13" i="5"/>
  <c r="L54" i="5"/>
  <c r="S58" i="5"/>
  <c r="E15" i="5"/>
  <c r="D24" i="5"/>
  <c r="Q163" i="5"/>
  <c r="Z414" i="5"/>
  <c r="AF416" i="5"/>
  <c r="AL416" i="5"/>
  <c r="AL470" i="5"/>
  <c r="AL443" i="5"/>
  <c r="AF439" i="5"/>
  <c r="AL427" i="5"/>
  <c r="AO427" i="5" s="1"/>
  <c r="AL475" i="5"/>
  <c r="AO475" i="5" s="1"/>
  <c r="AF471" i="5"/>
  <c r="AL448" i="5"/>
  <c r="E7" i="5"/>
  <c r="L72" i="5"/>
  <c r="K72" i="5" s="1"/>
  <c r="S185" i="5"/>
  <c r="L194" i="5"/>
  <c r="K210" i="5" s="1"/>
  <c r="N185" i="5"/>
  <c r="N186" i="5" s="1"/>
  <c r="L186" i="5"/>
  <c r="S106" i="5"/>
  <c r="M250" i="5"/>
  <c r="Q108" i="5"/>
  <c r="S98" i="5"/>
  <c r="N65" i="5"/>
  <c r="S65" i="5"/>
  <c r="N14" i="5"/>
  <c r="F27" i="5"/>
  <c r="N80" i="5"/>
  <c r="D112" i="5"/>
  <c r="F122" i="5"/>
  <c r="N122" i="5" s="1"/>
  <c r="J24" i="5"/>
  <c r="M15" i="5"/>
  <c r="R15" i="5"/>
  <c r="K15" i="5"/>
  <c r="AF429" i="5"/>
  <c r="AF426" i="5"/>
  <c r="AF423" i="5"/>
  <c r="AF434" i="5"/>
  <c r="AL418" i="5"/>
  <c r="AL464" i="5"/>
  <c r="Z472" i="5"/>
  <c r="Z429" i="5"/>
  <c r="AF474" i="5"/>
  <c r="Z447" i="5"/>
  <c r="R10" i="5"/>
  <c r="AI496" i="5"/>
  <c r="Z496" i="1"/>
  <c r="AH496" i="1" s="1"/>
  <c r="AI496" i="1" s="1"/>
  <c r="R297" i="5"/>
  <c r="P297" i="5"/>
  <c r="D304" i="5"/>
  <c r="N211" i="5"/>
  <c r="F229" i="5"/>
  <c r="S34" i="5"/>
  <c r="N34" i="5"/>
  <c r="K34" i="5"/>
  <c r="O113" i="5"/>
  <c r="S70" i="5"/>
  <c r="N70" i="5"/>
  <c r="S80" i="5"/>
  <c r="P112" i="5"/>
  <c r="O112" i="5"/>
  <c r="Q122" i="5"/>
  <c r="J13" i="5"/>
  <c r="AE409" i="5" s="1"/>
  <c r="R6" i="5"/>
  <c r="M6" i="5"/>
  <c r="M13" i="5" s="1"/>
  <c r="K6" i="5"/>
  <c r="AF443" i="5"/>
  <c r="AL444" i="5"/>
  <c r="AF432" i="5"/>
  <c r="Z421" i="5"/>
  <c r="Z409" i="5"/>
  <c r="AL473" i="5"/>
  <c r="AO473" i="5" s="1"/>
  <c r="AL430" i="5"/>
  <c r="AF480" i="5"/>
  <c r="Z422" i="5"/>
  <c r="N33" i="5"/>
  <c r="S24" i="5"/>
  <c r="S25" i="5" s="1"/>
  <c r="N285" i="5"/>
  <c r="P287" i="5"/>
  <c r="S245" i="5"/>
  <c r="Q250" i="5"/>
  <c r="Q245" i="5"/>
  <c r="P285" i="5"/>
  <c r="P266" i="5"/>
  <c r="E377" i="5"/>
  <c r="F397" i="5"/>
  <c r="AF466" i="5"/>
  <c r="S349" i="5"/>
  <c r="F266" i="5"/>
  <c r="S211" i="5"/>
  <c r="Q229" i="5"/>
  <c r="N156" i="5"/>
  <c r="N163" i="5" s="1"/>
  <c r="Q287" i="5"/>
  <c r="R11" i="5"/>
  <c r="N118" i="5"/>
  <c r="P15" i="5"/>
  <c r="E38" i="5"/>
  <c r="AF464" i="5"/>
  <c r="AL409" i="5"/>
  <c r="AN409" i="5" s="1"/>
  <c r="AF450" i="5"/>
  <c r="AL422" i="5"/>
  <c r="AL411" i="5"/>
  <c r="Z475" i="5"/>
  <c r="AF472" i="5"/>
  <c r="AF417" i="5"/>
  <c r="Z495" i="5"/>
  <c r="S62" i="5"/>
  <c r="N62" i="5"/>
  <c r="P105" i="5"/>
  <c r="E377" i="15"/>
  <c r="F397" i="15"/>
  <c r="Q287" i="15"/>
  <c r="S266" i="15"/>
  <c r="N24" i="15"/>
  <c r="N25" i="15" s="1"/>
  <c r="J32" i="15"/>
  <c r="F231" i="15"/>
  <c r="N210" i="15"/>
  <c r="AH439" i="15"/>
  <c r="AI439" i="15" s="1"/>
  <c r="Q309" i="15"/>
  <c r="S117" i="1"/>
  <c r="N117" i="1"/>
  <c r="N147" i="1"/>
  <c r="S147" i="1"/>
  <c r="AL455" i="1"/>
  <c r="R360" i="15"/>
  <c r="O362" i="15"/>
  <c r="N299" i="15"/>
  <c r="Q377" i="15"/>
  <c r="S377" i="15" s="1"/>
  <c r="F179" i="15"/>
  <c r="N178" i="15"/>
  <c r="N179" i="15"/>
  <c r="F266" i="15"/>
  <c r="N94" i="15"/>
  <c r="Q210" i="15"/>
  <c r="N163" i="15"/>
  <c r="N82" i="15"/>
  <c r="Z470" i="15"/>
  <c r="S105" i="15"/>
  <c r="S76" i="15"/>
  <c r="AL445" i="15"/>
  <c r="Z445" i="15"/>
  <c r="AL439" i="15"/>
  <c r="AF448" i="15"/>
  <c r="Z414" i="15"/>
  <c r="AF472" i="15"/>
  <c r="N172" i="15"/>
  <c r="F173" i="15"/>
  <c r="F185" i="15"/>
  <c r="Q176" i="15"/>
  <c r="N136" i="15"/>
  <c r="F153" i="15"/>
  <c r="E153" i="15" s="1"/>
  <c r="S45" i="15"/>
  <c r="S64" i="15"/>
  <c r="Z438" i="15"/>
  <c r="AL438" i="15"/>
  <c r="AF411" i="15"/>
  <c r="AF409" i="15"/>
  <c r="AF475" i="15"/>
  <c r="AF471" i="15"/>
  <c r="AL471" i="15"/>
  <c r="AL474" i="15"/>
  <c r="S287" i="15"/>
  <c r="AF470" i="15"/>
  <c r="N141" i="1"/>
  <c r="S141" i="1"/>
  <c r="S346" i="1"/>
  <c r="N346" i="1"/>
  <c r="AO492" i="15"/>
  <c r="AN492" i="15"/>
  <c r="P296" i="15"/>
  <c r="R296" i="15"/>
  <c r="Q229" i="15"/>
  <c r="N58" i="15"/>
  <c r="Z436" i="15"/>
  <c r="AL411" i="15"/>
  <c r="Z475" i="15"/>
  <c r="AF437" i="15"/>
  <c r="Z410" i="15"/>
  <c r="AF478" i="15"/>
  <c r="AF412" i="15"/>
  <c r="Z476" i="15"/>
  <c r="N124" i="1"/>
  <c r="S124" i="1"/>
  <c r="N130" i="1"/>
  <c r="S130" i="1"/>
  <c r="N209" i="1"/>
  <c r="AF465" i="15"/>
  <c r="N134" i="1"/>
  <c r="S134" i="1"/>
  <c r="S138" i="1"/>
  <c r="N138" i="1"/>
  <c r="N144" i="1"/>
  <c r="S144" i="1"/>
  <c r="N160" i="1"/>
  <c r="S160" i="1"/>
  <c r="AN493" i="1"/>
  <c r="S114" i="1"/>
  <c r="N114" i="1"/>
  <c r="N151" i="1"/>
  <c r="S151" i="1"/>
  <c r="N157" i="1"/>
  <c r="S157" i="1"/>
  <c r="N226" i="1"/>
  <c r="S226" i="1"/>
  <c r="AL458" i="1"/>
  <c r="N332" i="15"/>
  <c r="F349" i="15"/>
  <c r="L397" i="15"/>
  <c r="K377" i="15"/>
  <c r="N231" i="15"/>
  <c r="K231" i="15"/>
  <c r="S136" i="15"/>
  <c r="Q153" i="15"/>
  <c r="P153" i="15" s="1"/>
  <c r="F135" i="15"/>
  <c r="E135" i="15" s="1"/>
  <c r="N123" i="15"/>
  <c r="N21" i="15"/>
  <c r="Z444" i="15"/>
  <c r="AL444" i="15"/>
  <c r="S125" i="1"/>
  <c r="N125" i="1"/>
  <c r="S128" i="1"/>
  <c r="N128" i="1"/>
  <c r="N131" i="1"/>
  <c r="F136" i="1"/>
  <c r="N136" i="1" s="1"/>
  <c r="Q245" i="15"/>
  <c r="P299" i="15"/>
  <c r="R299" i="15"/>
  <c r="F176" i="15"/>
  <c r="N140" i="15"/>
  <c r="F285" i="15"/>
  <c r="E285" i="15" s="1"/>
  <c r="N267" i="15"/>
  <c r="N285" i="15" s="1"/>
  <c r="E94" i="15"/>
  <c r="N75" i="15"/>
  <c r="Z437" i="15"/>
  <c r="AL437" i="15"/>
  <c r="AF444" i="15"/>
  <c r="AF427" i="15"/>
  <c r="AF410" i="15"/>
  <c r="Z474" i="15"/>
  <c r="AL429" i="15"/>
  <c r="AF434" i="15"/>
  <c r="D32" i="15"/>
  <c r="P300" i="15"/>
  <c r="R300" i="15"/>
  <c r="Z429" i="15"/>
  <c r="P298" i="15"/>
  <c r="R298" i="15"/>
  <c r="D304" i="15"/>
  <c r="E295" i="15"/>
  <c r="P295" i="15"/>
  <c r="O304" i="15"/>
  <c r="R295" i="15"/>
  <c r="Q349" i="15"/>
  <c r="P308" i="15"/>
  <c r="L233" i="15"/>
  <c r="L195" i="15"/>
  <c r="M185" i="15"/>
  <c r="K194" i="15"/>
  <c r="L186" i="15"/>
  <c r="P117" i="15"/>
  <c r="S117" i="15"/>
  <c r="S39" i="15"/>
  <c r="AN424" i="15"/>
  <c r="AO424" i="15" s="1"/>
  <c r="AH424" i="15"/>
  <c r="AI424" i="15" s="1"/>
  <c r="AF432" i="15"/>
  <c r="AF417" i="15"/>
  <c r="Z431" i="15"/>
  <c r="AL435" i="15"/>
  <c r="AO455" i="15"/>
  <c r="S349" i="15"/>
  <c r="M295" i="15"/>
  <c r="S132" i="1"/>
  <c r="N119" i="1"/>
  <c r="S119" i="1"/>
  <c r="S136" i="1"/>
  <c r="N139" i="1"/>
  <c r="S139" i="1"/>
  <c r="S142" i="1"/>
  <c r="N142" i="1"/>
  <c r="N161" i="1"/>
  <c r="N283" i="1"/>
  <c r="S283" i="1"/>
  <c r="N347" i="1"/>
  <c r="S347" i="1"/>
  <c r="AI453" i="15"/>
  <c r="P307" i="15"/>
  <c r="R307" i="15"/>
  <c r="F304" i="15"/>
  <c r="F309" i="15" s="1"/>
  <c r="F314" i="15" s="1"/>
  <c r="N295" i="15"/>
  <c r="Q330" i="15"/>
  <c r="S330" i="15" s="1"/>
  <c r="M175" i="15"/>
  <c r="K210" i="15"/>
  <c r="S106" i="15"/>
  <c r="E112" i="15"/>
  <c r="D112" i="15"/>
  <c r="F122" i="15"/>
  <c r="N112" i="15"/>
  <c r="N79" i="15"/>
  <c r="S79" i="15"/>
  <c r="N42" i="15"/>
  <c r="N45" i="15"/>
  <c r="S71" i="15"/>
  <c r="N71" i="15"/>
  <c r="AF429" i="15"/>
  <c r="Z448" i="15"/>
  <c r="AF430" i="15"/>
  <c r="AF443" i="15"/>
  <c r="Z435" i="15"/>
  <c r="AF422" i="15"/>
  <c r="AL423" i="15"/>
  <c r="Z423" i="15"/>
  <c r="S78" i="15"/>
  <c r="S83" i="15" s="1"/>
  <c r="N78" i="15"/>
  <c r="N121" i="1"/>
  <c r="S121" i="1"/>
  <c r="N282" i="1"/>
  <c r="S282" i="1"/>
  <c r="N118" i="1"/>
  <c r="S118" i="1"/>
  <c r="P301" i="15"/>
  <c r="R301" i="15"/>
  <c r="S304" i="15"/>
  <c r="S305" i="15" s="1"/>
  <c r="L309" i="15"/>
  <c r="K118" i="15"/>
  <c r="K119" i="15"/>
  <c r="K114" i="15"/>
  <c r="K116" i="15"/>
  <c r="K121" i="15"/>
  <c r="J108" i="15"/>
  <c r="K103" i="15"/>
  <c r="R103" i="15" s="1"/>
  <c r="K97" i="15"/>
  <c r="K112" i="15"/>
  <c r="K117" i="15"/>
  <c r="K115" i="15"/>
  <c r="J105" i="15"/>
  <c r="K102" i="15"/>
  <c r="R102" i="15" s="1"/>
  <c r="K120" i="15"/>
  <c r="K113" i="15"/>
  <c r="M97" i="15"/>
  <c r="M98" i="15" s="1"/>
  <c r="K104" i="15"/>
  <c r="R104" i="15" s="1"/>
  <c r="Q122" i="15"/>
  <c r="O112" i="15"/>
  <c r="S112" i="15"/>
  <c r="P112" i="15"/>
  <c r="L54" i="15"/>
  <c r="L74" i="15" s="1"/>
  <c r="S42" i="15"/>
  <c r="N15" i="15"/>
  <c r="S15" i="15"/>
  <c r="F83" i="15"/>
  <c r="AF426" i="15"/>
  <c r="AL440" i="15"/>
  <c r="AO440" i="15" s="1"/>
  <c r="AF446" i="15"/>
  <c r="AF436" i="15"/>
  <c r="AF438" i="15"/>
  <c r="AF425" i="15"/>
  <c r="AF433" i="15" s="1"/>
  <c r="Z440" i="15"/>
  <c r="AI440" i="15" s="1"/>
  <c r="S48" i="15"/>
  <c r="N48" i="15"/>
  <c r="N31" i="15"/>
  <c r="Q289" i="15"/>
  <c r="P289" i="15" s="1"/>
  <c r="Q251" i="15"/>
  <c r="S115" i="1"/>
  <c r="N145" i="1"/>
  <c r="S145" i="1"/>
  <c r="S148" i="1"/>
  <c r="N148" i="1"/>
  <c r="L351" i="15"/>
  <c r="N330" i="15"/>
  <c r="S123" i="1"/>
  <c r="N123" i="1"/>
  <c r="N126" i="1"/>
  <c r="S126" i="1"/>
  <c r="N129" i="1"/>
  <c r="S129" i="1"/>
  <c r="Q152" i="1"/>
  <c r="S152" i="1" s="1"/>
  <c r="S162" i="1"/>
  <c r="F330" i="15"/>
  <c r="M296" i="15"/>
  <c r="S250" i="15"/>
  <c r="N250" i="15"/>
  <c r="N251" i="15" s="1"/>
  <c r="L289" i="15"/>
  <c r="F251" i="15"/>
  <c r="K287" i="15"/>
  <c r="F182" i="15"/>
  <c r="N153" i="15"/>
  <c r="K153" i="15"/>
  <c r="L155" i="15"/>
  <c r="N122" i="15"/>
  <c r="S122" i="15"/>
  <c r="K122" i="15"/>
  <c r="P97" i="15"/>
  <c r="P116" i="15"/>
  <c r="O105" i="15"/>
  <c r="P105" i="15" s="1"/>
  <c r="O108" i="15"/>
  <c r="K12" i="15"/>
  <c r="R10" i="15"/>
  <c r="N33" i="15"/>
  <c r="AL428" i="15"/>
  <c r="AL414" i="15"/>
  <c r="AL446" i="15"/>
  <c r="AL447" i="15"/>
  <c r="Z441" i="15"/>
  <c r="AF447" i="15"/>
  <c r="AF428" i="15"/>
  <c r="AL441" i="15"/>
  <c r="L13" i="15"/>
  <c r="S112" i="1"/>
  <c r="N112" i="1"/>
  <c r="N152" i="1"/>
  <c r="S158" i="1"/>
  <c r="N158" i="1"/>
  <c r="N227" i="1"/>
  <c r="S227" i="1"/>
  <c r="S285" i="15"/>
  <c r="S329" i="15"/>
  <c r="Q329" i="1"/>
  <c r="S329" i="1" s="1"/>
  <c r="S116" i="1"/>
  <c r="N116" i="1"/>
  <c r="S146" i="1"/>
  <c r="N146" i="1"/>
  <c r="N149" i="1"/>
  <c r="S348" i="1"/>
  <c r="AL492" i="1"/>
  <c r="AO492" i="1" s="1"/>
  <c r="AN458" i="15"/>
  <c r="AO458" i="15" s="1"/>
  <c r="S268" i="15"/>
  <c r="N349" i="15"/>
  <c r="S229" i="15"/>
  <c r="N229" i="15"/>
  <c r="K229" i="15"/>
  <c r="L251" i="15"/>
  <c r="O185" i="15"/>
  <c r="P183" i="15"/>
  <c r="N135" i="15"/>
  <c r="S135" i="15"/>
  <c r="K135" i="15"/>
  <c r="Q182" i="15"/>
  <c r="P12" i="15"/>
  <c r="N12" i="15"/>
  <c r="E12" i="15"/>
  <c r="S12" i="15"/>
  <c r="S38" i="15"/>
  <c r="N40" i="15"/>
  <c r="M10" i="15"/>
  <c r="Q24" i="15"/>
  <c r="S24" i="15" s="1"/>
  <c r="S21" i="15"/>
  <c r="Z447" i="15"/>
  <c r="Z411" i="15"/>
  <c r="AF416" i="15"/>
  <c r="AF418" i="15"/>
  <c r="AF473" i="15"/>
  <c r="AF442" i="15"/>
  <c r="AF474" i="15"/>
  <c r="AL448" i="15"/>
  <c r="AF431" i="15"/>
  <c r="Z443" i="15"/>
  <c r="M9" i="15"/>
  <c r="Q72" i="15"/>
  <c r="N133" i="1"/>
  <c r="S133" i="1"/>
  <c r="S120" i="1"/>
  <c r="N120" i="1"/>
  <c r="S137" i="1"/>
  <c r="N137" i="1"/>
  <c r="S140" i="1"/>
  <c r="N140" i="1"/>
  <c r="S143" i="1"/>
  <c r="N143" i="1"/>
  <c r="S228" i="1"/>
  <c r="N228" i="1"/>
  <c r="S284" i="1"/>
  <c r="N284" i="1"/>
  <c r="E360" i="15"/>
  <c r="D362" i="15"/>
  <c r="E362" i="15" s="1"/>
  <c r="S392" i="15"/>
  <c r="S395" i="15" s="1"/>
  <c r="K304" i="15"/>
  <c r="J309" i="15"/>
  <c r="M304" i="15"/>
  <c r="E97" i="15"/>
  <c r="S60" i="15"/>
  <c r="N60" i="15"/>
  <c r="Q135" i="15"/>
  <c r="P135" i="15" s="1"/>
  <c r="S40" i="15"/>
  <c r="L72" i="15"/>
  <c r="N97" i="15"/>
  <c r="N98" i="15" s="1"/>
  <c r="AF441" i="15"/>
  <c r="AF414" i="15"/>
  <c r="AF476" i="15"/>
  <c r="AF445" i="15"/>
  <c r="AF480" i="15"/>
  <c r="Z434" i="15"/>
  <c r="J13" i="15"/>
  <c r="AE415" i="15" s="1"/>
  <c r="S127" i="1"/>
  <c r="N127" i="1"/>
  <c r="N113" i="1"/>
  <c r="S113" i="1"/>
  <c r="S150" i="1"/>
  <c r="N156" i="1"/>
  <c r="S156" i="1"/>
  <c r="N159" i="1"/>
  <c r="AI455" i="15"/>
  <c r="S360" i="15"/>
  <c r="Q362" i="15"/>
  <c r="P360" i="15"/>
  <c r="AH458" i="15"/>
  <c r="E307" i="15"/>
  <c r="E298" i="15"/>
  <c r="E300" i="15"/>
  <c r="P185" i="15"/>
  <c r="P194" i="15" s="1"/>
  <c r="P121" i="15"/>
  <c r="Q194" i="15"/>
  <c r="O113" i="15"/>
  <c r="E6" i="15"/>
  <c r="M6" i="15"/>
  <c r="Q41" i="15"/>
  <c r="S41" i="15" s="1"/>
  <c r="S31" i="15"/>
  <c r="P114" i="15"/>
  <c r="Z422" i="15"/>
  <c r="AL422" i="15"/>
  <c r="S23" i="15"/>
  <c r="N23" i="15"/>
  <c r="N108" i="15"/>
  <c r="N109" i="15" s="1"/>
  <c r="S108" i="15"/>
  <c r="S109" i="15" s="1"/>
  <c r="AF449" i="15"/>
  <c r="AF435" i="15"/>
  <c r="AL410" i="15"/>
  <c r="AF479" i="15"/>
  <c r="AF463" i="15"/>
  <c r="AF450" i="15"/>
  <c r="S395" i="6"/>
  <c r="E377" i="6"/>
  <c r="AO411" i="6"/>
  <c r="Q309" i="6"/>
  <c r="AN411" i="6"/>
  <c r="AF427" i="6"/>
  <c r="AF436" i="6"/>
  <c r="AL436" i="6"/>
  <c r="AF478" i="6"/>
  <c r="Z441" i="6"/>
  <c r="AL445" i="6"/>
  <c r="AL457" i="1"/>
  <c r="N331" i="6"/>
  <c r="N349" i="6" s="1"/>
  <c r="AI453" i="6"/>
  <c r="L289" i="6"/>
  <c r="Q176" i="6"/>
  <c r="S175" i="6"/>
  <c r="J309" i="6"/>
  <c r="K304" i="6"/>
  <c r="Q173" i="6"/>
  <c r="Q185" i="6"/>
  <c r="N113" i="6"/>
  <c r="E113" i="6"/>
  <c r="D113" i="6"/>
  <c r="Q210" i="6"/>
  <c r="F153" i="6"/>
  <c r="E153" i="6" s="1"/>
  <c r="S56" i="6"/>
  <c r="E115" i="6"/>
  <c r="S97" i="6"/>
  <c r="S98" i="6" s="1"/>
  <c r="Z443" i="6"/>
  <c r="Z476" i="6"/>
  <c r="AF470" i="6"/>
  <c r="AL437" i="6"/>
  <c r="AF423" i="6"/>
  <c r="AF439" i="6"/>
  <c r="Z447" i="6"/>
  <c r="F330" i="6"/>
  <c r="F285" i="6"/>
  <c r="E285" i="6" s="1"/>
  <c r="D185" i="6"/>
  <c r="F231" i="6"/>
  <c r="AL447" i="6"/>
  <c r="S297" i="6"/>
  <c r="AN453" i="6"/>
  <c r="L287" i="6"/>
  <c r="S266" i="6"/>
  <c r="N266" i="6"/>
  <c r="S270" i="6"/>
  <c r="E174" i="6"/>
  <c r="E185" i="6"/>
  <c r="E194" i="6" s="1"/>
  <c r="P113" i="6"/>
  <c r="O113" i="6"/>
  <c r="P180" i="6"/>
  <c r="S120" i="6"/>
  <c r="N35" i="6"/>
  <c r="S35" i="6"/>
  <c r="P115" i="6"/>
  <c r="AF421" i="6"/>
  <c r="AL428" i="6"/>
  <c r="AF464" i="6"/>
  <c r="AF443" i="6"/>
  <c r="Z429" i="6"/>
  <c r="AF426" i="6"/>
  <c r="AF442" i="6"/>
  <c r="AF412" i="6"/>
  <c r="Z437" i="6"/>
  <c r="S38" i="6"/>
  <c r="Z446" i="6"/>
  <c r="F123" i="1"/>
  <c r="AI496" i="6"/>
  <c r="F162" i="1"/>
  <c r="N162" i="1" s="1"/>
  <c r="AI491" i="6"/>
  <c r="S285" i="6"/>
  <c r="F185" i="6"/>
  <c r="F173" i="6"/>
  <c r="K117" i="6"/>
  <c r="K118" i="6"/>
  <c r="K120" i="6"/>
  <c r="K114" i="6"/>
  <c r="K112" i="6"/>
  <c r="K103" i="6"/>
  <c r="R103" i="6" s="1"/>
  <c r="K116" i="6"/>
  <c r="K104" i="6"/>
  <c r="R104" i="6" s="1"/>
  <c r="K121" i="6"/>
  <c r="K119" i="6"/>
  <c r="J105" i="6"/>
  <c r="K115" i="6"/>
  <c r="J108" i="6"/>
  <c r="K102" i="6"/>
  <c r="R102" i="6" s="1"/>
  <c r="K113" i="6"/>
  <c r="M97" i="6"/>
  <c r="M98" i="6" s="1"/>
  <c r="K97" i="6"/>
  <c r="N135" i="6"/>
  <c r="S135" i="6"/>
  <c r="S113" i="6"/>
  <c r="S105" i="6"/>
  <c r="S106" i="6" s="1"/>
  <c r="N105" i="6"/>
  <c r="N106" i="6" s="1"/>
  <c r="Q108" i="6"/>
  <c r="P135" i="6" s="1"/>
  <c r="M12" i="6"/>
  <c r="AF430" i="6"/>
  <c r="Z470" i="6"/>
  <c r="AF446" i="6"/>
  <c r="AL430" i="6"/>
  <c r="AF429" i="6"/>
  <c r="AL443" i="6"/>
  <c r="AF451" i="6"/>
  <c r="AF444" i="6"/>
  <c r="N121" i="6"/>
  <c r="E121" i="6"/>
  <c r="L108" i="6"/>
  <c r="K135" i="6" s="1"/>
  <c r="N97" i="6"/>
  <c r="N98" i="6" s="1"/>
  <c r="AH494" i="6"/>
  <c r="P307" i="6"/>
  <c r="R307" i="6"/>
  <c r="AO491" i="6"/>
  <c r="R301" i="6"/>
  <c r="P301" i="6"/>
  <c r="K377" i="6"/>
  <c r="L397" i="6"/>
  <c r="S377" i="6"/>
  <c r="AI456" i="6"/>
  <c r="AH456" i="6"/>
  <c r="R172" i="6"/>
  <c r="O185" i="6"/>
  <c r="P250" i="6"/>
  <c r="Q179" i="6"/>
  <c r="N112" i="6"/>
  <c r="E112" i="6"/>
  <c r="D112" i="6"/>
  <c r="F122" i="6"/>
  <c r="N120" i="6"/>
  <c r="N24" i="6"/>
  <c r="N25" i="6" s="1"/>
  <c r="S24" i="6"/>
  <c r="S25" i="6" s="1"/>
  <c r="F24" i="6"/>
  <c r="N21" i="6"/>
  <c r="N8" i="6"/>
  <c r="S8" i="6"/>
  <c r="N80" i="6"/>
  <c r="S80" i="6"/>
  <c r="Z424" i="6"/>
  <c r="AL434" i="6"/>
  <c r="AL471" i="6"/>
  <c r="Z432" i="6"/>
  <c r="AI432" i="6" s="1"/>
  <c r="AF432" i="6"/>
  <c r="Z445" i="6"/>
  <c r="Z471" i="6"/>
  <c r="AF471" i="6"/>
  <c r="AF447" i="6"/>
  <c r="P299" i="6"/>
  <c r="R299" i="6"/>
  <c r="AN494" i="6"/>
  <c r="AO456" i="6"/>
  <c r="AN456" i="6"/>
  <c r="D105" i="6"/>
  <c r="E105" i="6" s="1"/>
  <c r="D108" i="6"/>
  <c r="E108" i="6" s="1"/>
  <c r="E118" i="6"/>
  <c r="E97" i="6"/>
  <c r="S260" i="6"/>
  <c r="N296" i="6"/>
  <c r="M301" i="6"/>
  <c r="L155" i="6"/>
  <c r="N122" i="6"/>
  <c r="K122" i="6"/>
  <c r="S185" i="6"/>
  <c r="L186" i="6"/>
  <c r="L194" i="6"/>
  <c r="J32" i="6"/>
  <c r="S32" i="6"/>
  <c r="N32" i="6"/>
  <c r="Z440" i="6"/>
  <c r="AI440" i="6" s="1"/>
  <c r="Z497" i="6"/>
  <c r="AF476" i="6"/>
  <c r="Z439" i="6"/>
  <c r="AL446" i="6"/>
  <c r="AF418" i="6"/>
  <c r="AF422" i="6"/>
  <c r="AL472" i="6"/>
  <c r="AO472" i="6" s="1"/>
  <c r="AF474" i="6"/>
  <c r="AI455" i="6"/>
  <c r="P296" i="6"/>
  <c r="R296" i="6"/>
  <c r="S360" i="6"/>
  <c r="P360" i="6"/>
  <c r="Q362" i="6"/>
  <c r="N123" i="6"/>
  <c r="S229" i="6"/>
  <c r="N229" i="6"/>
  <c r="K229" i="6"/>
  <c r="F163" i="6"/>
  <c r="P285" i="6"/>
  <c r="P287" i="6"/>
  <c r="Q250" i="6"/>
  <c r="S250" i="6" s="1"/>
  <c r="Q245" i="6"/>
  <c r="P266" i="6"/>
  <c r="S245" i="6"/>
  <c r="J113" i="6"/>
  <c r="N12" i="6"/>
  <c r="N23" i="6"/>
  <c r="S23" i="6"/>
  <c r="P100" i="6"/>
  <c r="AF450" i="6"/>
  <c r="AL444" i="6"/>
  <c r="AL429" i="6"/>
  <c r="AF479" i="6"/>
  <c r="AL440" i="6"/>
  <c r="AO440" i="6" s="1"/>
  <c r="AF435" i="6"/>
  <c r="Z474" i="6"/>
  <c r="AF480" i="6"/>
  <c r="AL431" i="6"/>
  <c r="Z431" i="6"/>
  <c r="AL448" i="6"/>
  <c r="Z448" i="6"/>
  <c r="F362" i="6"/>
  <c r="E360" i="6"/>
  <c r="M244" i="6"/>
  <c r="E250" i="6"/>
  <c r="F182" i="6"/>
  <c r="Q122" i="6"/>
  <c r="S122" i="6" s="1"/>
  <c r="AL464" i="6"/>
  <c r="AF445" i="6"/>
  <c r="AF428" i="6"/>
  <c r="AL475" i="6"/>
  <c r="N52" i="6"/>
  <c r="S52" i="6"/>
  <c r="N68" i="6"/>
  <c r="E7" i="6"/>
  <c r="F250" i="6"/>
  <c r="F245" i="6"/>
  <c r="S212" i="6"/>
  <c r="E135" i="6"/>
  <c r="N15" i="6"/>
  <c r="S15" i="6"/>
  <c r="P153" i="6"/>
  <c r="F287" i="6"/>
  <c r="E287" i="6" s="1"/>
  <c r="E266" i="6"/>
  <c r="S82" i="6"/>
  <c r="N31" i="6"/>
  <c r="L41" i="6"/>
  <c r="S39" i="6"/>
  <c r="N39" i="6"/>
  <c r="K39" i="6"/>
  <c r="K7" i="6"/>
  <c r="R7" i="6"/>
  <c r="M7" i="6"/>
  <c r="E100" i="6"/>
  <c r="M100" i="6"/>
  <c r="S37" i="6"/>
  <c r="AF414" i="6"/>
  <c r="Z436" i="6"/>
  <c r="Z410" i="6"/>
  <c r="AF410" i="6"/>
  <c r="AF449" i="6"/>
  <c r="Z472" i="6"/>
  <c r="AF463" i="6"/>
  <c r="AF431" i="6"/>
  <c r="AF434" i="6"/>
  <c r="AO457" i="6"/>
  <c r="P295" i="6"/>
  <c r="O304" i="6"/>
  <c r="R295" i="6"/>
  <c r="P377" i="6"/>
  <c r="K210" i="6"/>
  <c r="S210" i="6"/>
  <c r="N210" i="6"/>
  <c r="L231" i="6"/>
  <c r="N114" i="6"/>
  <c r="E114" i="6"/>
  <c r="S33" i="6"/>
  <c r="N33" i="6"/>
  <c r="N37" i="6"/>
  <c r="Z421" i="6"/>
  <c r="Z428" i="6"/>
  <c r="AL474" i="6"/>
  <c r="AL421" i="6"/>
  <c r="Z411" i="6"/>
  <c r="AH411" i="6" s="1"/>
  <c r="AL470" i="6"/>
  <c r="AF465" i="6"/>
  <c r="Z434" i="6"/>
  <c r="AO454" i="6"/>
  <c r="R360" i="6"/>
  <c r="O362" i="6"/>
  <c r="AH455" i="6"/>
  <c r="N312" i="6"/>
  <c r="S330" i="6"/>
  <c r="L351" i="6"/>
  <c r="AL454" i="1"/>
  <c r="AI458" i="6"/>
  <c r="S349" i="6"/>
  <c r="F395" i="6"/>
  <c r="E395" i="6" s="1"/>
  <c r="D304" i="6"/>
  <c r="E295" i="6"/>
  <c r="Q349" i="6"/>
  <c r="Q351" i="6" s="1"/>
  <c r="R298" i="6"/>
  <c r="P298" i="6"/>
  <c r="P97" i="6"/>
  <c r="O105" i="6"/>
  <c r="P105" i="6" s="1"/>
  <c r="O108" i="6"/>
  <c r="P118" i="6"/>
  <c r="Q242" i="6"/>
  <c r="N40" i="6"/>
  <c r="AF424" i="6"/>
  <c r="AL441" i="6"/>
  <c r="AL423" i="6"/>
  <c r="AF415" i="6"/>
  <c r="Z423" i="6"/>
  <c r="AF417" i="6"/>
  <c r="Z475" i="6"/>
  <c r="AF472" i="6"/>
  <c r="AF438" i="6"/>
  <c r="AF441" i="6"/>
  <c r="AL410" i="6"/>
  <c r="D32" i="6"/>
  <c r="L72" i="6"/>
  <c r="Q395" i="6"/>
  <c r="P395" i="6" s="1"/>
  <c r="F304" i="6"/>
  <c r="F309" i="6" s="1"/>
  <c r="F314" i="6" s="1"/>
  <c r="E349" i="6" s="1"/>
  <c r="N285" i="6"/>
  <c r="Q182" i="6"/>
  <c r="S181" i="6"/>
  <c r="S304" i="6"/>
  <c r="S305" i="6" s="1"/>
  <c r="L309" i="6"/>
  <c r="E298" i="6"/>
  <c r="P174" i="6"/>
  <c r="P185" i="6"/>
  <c r="P194" i="6" s="1"/>
  <c r="J112" i="6"/>
  <c r="E299" i="6"/>
  <c r="N241" i="6"/>
  <c r="N242" i="6" s="1"/>
  <c r="S153" i="6"/>
  <c r="N153" i="6"/>
  <c r="K153" i="6"/>
  <c r="S71" i="6"/>
  <c r="Z451" i="6"/>
  <c r="AI451" i="6" s="1"/>
  <c r="K194" i="6"/>
  <c r="M185" i="6"/>
  <c r="N163" i="6"/>
  <c r="AL438" i="6"/>
  <c r="Z438" i="6"/>
  <c r="F72" i="6"/>
  <c r="N77" i="6"/>
  <c r="L83" i="6"/>
  <c r="J13" i="6"/>
  <c r="R6" i="6"/>
  <c r="M6" i="6"/>
  <c r="M13" i="6" s="1"/>
  <c r="K6" i="6"/>
  <c r="AL449" i="6"/>
  <c r="AO449" i="6" s="1"/>
  <c r="AF437" i="6"/>
  <c r="AF440" i="6"/>
  <c r="Z430" i="6"/>
  <c r="AL424" i="6"/>
  <c r="AF416" i="6"/>
  <c r="Z435" i="6"/>
  <c r="AL476" i="6"/>
  <c r="AO476" i="6" s="1"/>
  <c r="AF475" i="6"/>
  <c r="AL439" i="6"/>
  <c r="AF413" i="6"/>
  <c r="O32" i="6"/>
  <c r="L13" i="6"/>
  <c r="L27" i="6" s="1"/>
  <c r="Q161" i="1"/>
  <c r="S161" i="1" s="1"/>
  <c r="AL494" i="1"/>
  <c r="AO494" i="1" s="1"/>
  <c r="F150" i="1"/>
  <c r="N150" i="1" s="1"/>
  <c r="F115" i="1"/>
  <c r="N115" i="1" s="1"/>
  <c r="Q131" i="1"/>
  <c r="S131" i="1" s="1"/>
  <c r="F348" i="1"/>
  <c r="N348" i="1" s="1"/>
  <c r="F132" i="1"/>
  <c r="N132" i="1" s="1"/>
  <c r="AB417" i="1"/>
  <c r="Q209" i="1"/>
  <c r="S209" i="1" s="1"/>
  <c r="Q114" i="1"/>
  <c r="AL469" i="1"/>
  <c r="AL491" i="1"/>
  <c r="AN491" i="1" s="1"/>
  <c r="AO491" i="1" s="1"/>
  <c r="Q159" i="1"/>
  <c r="S159" i="1" s="1"/>
  <c r="Q227" i="1"/>
  <c r="AB418" i="1"/>
  <c r="AB478" i="1"/>
  <c r="AB494" i="1"/>
  <c r="AB497" i="1"/>
  <c r="AB479" i="1"/>
  <c r="AB493" i="1"/>
  <c r="AB432" i="1"/>
  <c r="AB480" i="1"/>
  <c r="G113" i="1"/>
  <c r="AB431" i="1"/>
  <c r="AC477" i="1"/>
  <c r="AC476" i="1"/>
  <c r="AC475" i="1"/>
  <c r="AB475" i="1" s="1"/>
  <c r="AC474" i="1"/>
  <c r="AB474" i="1" s="1"/>
  <c r="AC473" i="1"/>
  <c r="AC472" i="1"/>
  <c r="AC471" i="1"/>
  <c r="AB471" i="1" s="1"/>
  <c r="AC470" i="1"/>
  <c r="AF469" i="1"/>
  <c r="AC469" i="1"/>
  <c r="AF462" i="1"/>
  <c r="AC462" i="1"/>
  <c r="Z462" i="1"/>
  <c r="AF461" i="1"/>
  <c r="AC461" i="1"/>
  <c r="AB461" i="1" s="1"/>
  <c r="AF460" i="1"/>
  <c r="AC460" i="1"/>
  <c r="AB460" i="1" s="1"/>
  <c r="AF459" i="1"/>
  <c r="AC459" i="1"/>
  <c r="AF458" i="1"/>
  <c r="AC458" i="1"/>
  <c r="AF457" i="1"/>
  <c r="AC457" i="1"/>
  <c r="AB457" i="1" s="1"/>
  <c r="AF456" i="1"/>
  <c r="AC456" i="1"/>
  <c r="AB456" i="1" s="1"/>
  <c r="AF455" i="1"/>
  <c r="AC455" i="1"/>
  <c r="AF454" i="1"/>
  <c r="AC454" i="1"/>
  <c r="AB454" i="1" s="1"/>
  <c r="AF453" i="1"/>
  <c r="AC453" i="1"/>
  <c r="AC451" i="1"/>
  <c r="AC450" i="1"/>
  <c r="AB450" i="1" s="1"/>
  <c r="AC449" i="1"/>
  <c r="AC448" i="1"/>
  <c r="AC447" i="1"/>
  <c r="AB447" i="1" s="1"/>
  <c r="AC446" i="1"/>
  <c r="AB446" i="1" s="1"/>
  <c r="AC445" i="1"/>
  <c r="AB445" i="1" s="1"/>
  <c r="AC444" i="1"/>
  <c r="AC443" i="1"/>
  <c r="AB443" i="1" s="1"/>
  <c r="AC442" i="1"/>
  <c r="AB442" i="1" s="1"/>
  <c r="AC441" i="1"/>
  <c r="AC440" i="1"/>
  <c r="AC439" i="1"/>
  <c r="AC438" i="1"/>
  <c r="AB438" i="1" s="1"/>
  <c r="AC437" i="1"/>
  <c r="AB437" i="1" s="1"/>
  <c r="AC436" i="1"/>
  <c r="AC435" i="1"/>
  <c r="AB435" i="1" s="1"/>
  <c r="AC434" i="1"/>
  <c r="AB434" i="1" s="1"/>
  <c r="AC430" i="1"/>
  <c r="AB430" i="1" s="1"/>
  <c r="AC429" i="1"/>
  <c r="AC428" i="1"/>
  <c r="AB428" i="1" s="1"/>
  <c r="AC427" i="1"/>
  <c r="AC426" i="1"/>
  <c r="AB426" i="1" s="1"/>
  <c r="AC425" i="1"/>
  <c r="AB425" i="1" s="1"/>
  <c r="AC424" i="1"/>
  <c r="AC423" i="1"/>
  <c r="AC422" i="1"/>
  <c r="AB422" i="1" s="1"/>
  <c r="AC421" i="1"/>
  <c r="AB421" i="1" s="1"/>
  <c r="AF420" i="1"/>
  <c r="AC420" i="1"/>
  <c r="AC415" i="1"/>
  <c r="AC414" i="1"/>
  <c r="AC413" i="1"/>
  <c r="AC412" i="1"/>
  <c r="AB412" i="1" s="1"/>
  <c r="AC411" i="1"/>
  <c r="AC410" i="1"/>
  <c r="AC409" i="1"/>
  <c r="Q104" i="1"/>
  <c r="O104" i="1"/>
  <c r="P104" i="1" s="1"/>
  <c r="L104" i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L103" i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L102" i="1"/>
  <c r="J102" i="1"/>
  <c r="K102" i="1" s="1"/>
  <c r="R102" i="1" s="1"/>
  <c r="I102" i="1"/>
  <c r="G102" i="1"/>
  <c r="H102" i="1" s="1"/>
  <c r="F102" i="1"/>
  <c r="D102" i="1"/>
  <c r="E102" i="1" s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60" i="1"/>
  <c r="O360" i="1"/>
  <c r="R360" i="1" s="1"/>
  <c r="L360" i="1"/>
  <c r="J360" i="1"/>
  <c r="I360" i="1"/>
  <c r="G360" i="1"/>
  <c r="F360" i="1"/>
  <c r="D360" i="1"/>
  <c r="L345" i="1"/>
  <c r="I345" i="1"/>
  <c r="F345" i="1"/>
  <c r="Q344" i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L312" i="1"/>
  <c r="J312" i="1"/>
  <c r="K312" i="1" s="1"/>
  <c r="I312" i="1"/>
  <c r="G312" i="1"/>
  <c r="H312" i="1" s="1"/>
  <c r="F312" i="1"/>
  <c r="M312" i="1" s="1"/>
  <c r="D312" i="1"/>
  <c r="E312" i="1" s="1"/>
  <c r="Q311" i="1"/>
  <c r="O311" i="1"/>
  <c r="L311" i="1"/>
  <c r="J311" i="1"/>
  <c r="K311" i="1" s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L303" i="1"/>
  <c r="J303" i="1"/>
  <c r="K303" i="1" s="1"/>
  <c r="I303" i="1"/>
  <c r="G303" i="1"/>
  <c r="H303" i="1" s="1"/>
  <c r="F303" i="1"/>
  <c r="D303" i="1"/>
  <c r="E303" i="1" s="1"/>
  <c r="Q302" i="1"/>
  <c r="O302" i="1"/>
  <c r="R302" i="1" s="1"/>
  <c r="L302" i="1"/>
  <c r="J302" i="1"/>
  <c r="K302" i="1" s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E300" i="1" s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E297" i="1" s="1"/>
  <c r="Q296" i="1"/>
  <c r="O296" i="1"/>
  <c r="L296" i="1"/>
  <c r="J296" i="1"/>
  <c r="I296" i="1"/>
  <c r="G296" i="1"/>
  <c r="H296" i="1" s="1"/>
  <c r="F296" i="1"/>
  <c r="D296" i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I276" i="1"/>
  <c r="F276" i="1"/>
  <c r="Q275" i="1"/>
  <c r="L275" i="1"/>
  <c r="I275" i="1"/>
  <c r="F275" i="1"/>
  <c r="Q274" i="1"/>
  <c r="L274" i="1"/>
  <c r="I274" i="1"/>
  <c r="F274" i="1"/>
  <c r="Q273" i="1"/>
  <c r="L273" i="1"/>
  <c r="I273" i="1"/>
  <c r="F273" i="1"/>
  <c r="Q272" i="1"/>
  <c r="L272" i="1"/>
  <c r="I272" i="1"/>
  <c r="F272" i="1"/>
  <c r="Q271" i="1"/>
  <c r="L271" i="1"/>
  <c r="I271" i="1"/>
  <c r="F271" i="1"/>
  <c r="Q270" i="1"/>
  <c r="L270" i="1"/>
  <c r="I270" i="1"/>
  <c r="F270" i="1"/>
  <c r="Q269" i="1"/>
  <c r="L269" i="1"/>
  <c r="I269" i="1"/>
  <c r="F269" i="1"/>
  <c r="Q268" i="1"/>
  <c r="L268" i="1"/>
  <c r="I268" i="1"/>
  <c r="F268" i="1"/>
  <c r="Q267" i="1"/>
  <c r="L267" i="1"/>
  <c r="I267" i="1"/>
  <c r="F267" i="1"/>
  <c r="Q264" i="1"/>
  <c r="L264" i="1"/>
  <c r="I264" i="1"/>
  <c r="F264" i="1"/>
  <c r="Q263" i="1"/>
  <c r="L263" i="1"/>
  <c r="I263" i="1"/>
  <c r="F263" i="1"/>
  <c r="Q262" i="1"/>
  <c r="L262" i="1"/>
  <c r="I262" i="1"/>
  <c r="F262" i="1"/>
  <c r="Q261" i="1"/>
  <c r="L261" i="1"/>
  <c r="I261" i="1"/>
  <c r="F261" i="1"/>
  <c r="Q260" i="1"/>
  <c r="L260" i="1"/>
  <c r="I260" i="1"/>
  <c r="F260" i="1"/>
  <c r="Q259" i="1"/>
  <c r="L259" i="1"/>
  <c r="I259" i="1"/>
  <c r="F259" i="1"/>
  <c r="Q258" i="1"/>
  <c r="L258" i="1"/>
  <c r="I258" i="1"/>
  <c r="F258" i="1"/>
  <c r="Q257" i="1"/>
  <c r="L257" i="1"/>
  <c r="I257" i="1"/>
  <c r="F257" i="1"/>
  <c r="Q256" i="1"/>
  <c r="L256" i="1"/>
  <c r="I256" i="1"/>
  <c r="F256" i="1"/>
  <c r="Q255" i="1"/>
  <c r="L255" i="1"/>
  <c r="I255" i="1"/>
  <c r="F255" i="1"/>
  <c r="Q254" i="1"/>
  <c r="L254" i="1"/>
  <c r="I254" i="1"/>
  <c r="F254" i="1"/>
  <c r="Q247" i="1"/>
  <c r="S248" i="1" s="1"/>
  <c r="P247" i="1"/>
  <c r="O247" i="1"/>
  <c r="R247" i="1" s="1"/>
  <c r="L247" i="1"/>
  <c r="K247" i="1"/>
  <c r="M247" i="1" s="1"/>
  <c r="J247" i="1"/>
  <c r="I247" i="1"/>
  <c r="H247" i="1"/>
  <c r="G247" i="1"/>
  <c r="F247" i="1"/>
  <c r="E247" i="1"/>
  <c r="D247" i="1"/>
  <c r="Q244" i="1"/>
  <c r="S245" i="1" s="1"/>
  <c r="P244" i="1"/>
  <c r="O244" i="1"/>
  <c r="R244" i="1" s="1"/>
  <c r="L244" i="1"/>
  <c r="K244" i="1"/>
  <c r="M244" i="1" s="1"/>
  <c r="J244" i="1"/>
  <c r="I244" i="1"/>
  <c r="H244" i="1"/>
  <c r="G244" i="1"/>
  <c r="F244" i="1"/>
  <c r="E244" i="1"/>
  <c r="D244" i="1"/>
  <c r="Q241" i="1"/>
  <c r="P241" i="1"/>
  <c r="O241" i="1"/>
  <c r="L241" i="1"/>
  <c r="K241" i="1"/>
  <c r="M241" i="1" s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M178" i="1" s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M175" i="1" s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S153" i="15" l="1"/>
  <c r="P153" i="5"/>
  <c r="P54" i="5"/>
  <c r="R13" i="6"/>
  <c r="Q186" i="15"/>
  <c r="S83" i="5"/>
  <c r="AI497" i="5"/>
  <c r="AH497" i="5"/>
  <c r="AE417" i="5"/>
  <c r="AH474" i="5"/>
  <c r="AI474" i="5" s="1"/>
  <c r="AN474" i="5"/>
  <c r="AO474" i="5" s="1"/>
  <c r="AE416" i="5"/>
  <c r="AN416" i="5"/>
  <c r="AN447" i="5"/>
  <c r="AO447" i="5" s="1"/>
  <c r="AH447" i="5"/>
  <c r="D108" i="5"/>
  <c r="E108" i="5" s="1"/>
  <c r="E97" i="5"/>
  <c r="E113" i="5"/>
  <c r="D105" i="5"/>
  <c r="E105" i="5" s="1"/>
  <c r="E116" i="5"/>
  <c r="E119" i="5"/>
  <c r="E114" i="5"/>
  <c r="E115" i="5"/>
  <c r="E121" i="5"/>
  <c r="AN475" i="5"/>
  <c r="S57" i="5"/>
  <c r="AL436" i="5"/>
  <c r="AE418" i="5"/>
  <c r="AN418" i="5"/>
  <c r="F351" i="5"/>
  <c r="E120" i="5"/>
  <c r="AN425" i="5"/>
  <c r="AI495" i="5"/>
  <c r="AH495" i="5"/>
  <c r="P24" i="5"/>
  <c r="P31" i="5"/>
  <c r="P35" i="5"/>
  <c r="P38" i="5"/>
  <c r="P36" i="5"/>
  <c r="P33" i="5"/>
  <c r="M172" i="1"/>
  <c r="Z432" i="5"/>
  <c r="AI432" i="5" s="1"/>
  <c r="Y409" i="5"/>
  <c r="AG409" i="5" s="1"/>
  <c r="E229" i="5"/>
  <c r="AL478" i="5"/>
  <c r="AO478" i="5" s="1"/>
  <c r="Z418" i="5"/>
  <c r="AH418" i="5" s="1"/>
  <c r="L74" i="5"/>
  <c r="K41" i="5"/>
  <c r="F231" i="5"/>
  <c r="S153" i="5"/>
  <c r="S397" i="5"/>
  <c r="K397" i="5"/>
  <c r="L399" i="5"/>
  <c r="S399" i="5" s="1"/>
  <c r="AL432" i="5"/>
  <c r="AH427" i="5"/>
  <c r="AN427" i="5"/>
  <c r="L314" i="5"/>
  <c r="S309" i="5"/>
  <c r="S310" i="5" s="1"/>
  <c r="N309" i="5"/>
  <c r="N310" i="5" s="1"/>
  <c r="E117" i="5"/>
  <c r="F54" i="5"/>
  <c r="E54" i="5" s="1"/>
  <c r="Z423" i="5"/>
  <c r="AN431" i="5"/>
  <c r="AH431" i="5"/>
  <c r="L165" i="5"/>
  <c r="S108" i="5"/>
  <c r="N108" i="5"/>
  <c r="N109" i="5" s="1"/>
  <c r="R309" i="5"/>
  <c r="P309" i="5"/>
  <c r="O314" i="5"/>
  <c r="AL406" i="5" s="1"/>
  <c r="AN472" i="5"/>
  <c r="AH472" i="5"/>
  <c r="AI472" i="5" s="1"/>
  <c r="AI429" i="5"/>
  <c r="K24" i="5"/>
  <c r="M24" i="5"/>
  <c r="K33" i="5"/>
  <c r="K35" i="5"/>
  <c r="K32" i="5"/>
  <c r="K37" i="5"/>
  <c r="K36" i="5"/>
  <c r="S109" i="5"/>
  <c r="Q165" i="5"/>
  <c r="Y414" i="5"/>
  <c r="AL465" i="5"/>
  <c r="AL466" i="5" s="1"/>
  <c r="AO466" i="5" s="1"/>
  <c r="Q194" i="5"/>
  <c r="Q186" i="5"/>
  <c r="Z416" i="5"/>
  <c r="F165" i="5"/>
  <c r="AI430" i="5"/>
  <c r="Z451" i="5"/>
  <c r="AI451" i="5" s="1"/>
  <c r="Q231" i="5"/>
  <c r="P210" i="5"/>
  <c r="M97" i="5"/>
  <c r="M98" i="5" s="1"/>
  <c r="AE414" i="5"/>
  <c r="AL417" i="5"/>
  <c r="N155" i="5"/>
  <c r="K155" i="5"/>
  <c r="R296" i="1"/>
  <c r="R299" i="1"/>
  <c r="R308" i="1"/>
  <c r="R104" i="1"/>
  <c r="Q289" i="5"/>
  <c r="P289" i="5" s="1"/>
  <c r="Q251" i="5"/>
  <c r="R250" i="5" s="1"/>
  <c r="E304" i="5"/>
  <c r="D309" i="5"/>
  <c r="Z463" i="5"/>
  <c r="E112" i="5"/>
  <c r="P34" i="5"/>
  <c r="AL412" i="5"/>
  <c r="AH471" i="5"/>
  <c r="AI471" i="5" s="1"/>
  <c r="AN471" i="5"/>
  <c r="AF407" i="5"/>
  <c r="N27" i="5"/>
  <c r="L85" i="5"/>
  <c r="S27" i="5"/>
  <c r="AN470" i="5"/>
  <c r="AH470" i="5"/>
  <c r="AI470" i="5" s="1"/>
  <c r="AF481" i="5"/>
  <c r="F194" i="5"/>
  <c r="E210" i="5" s="1"/>
  <c r="F186" i="5"/>
  <c r="Z417" i="5"/>
  <c r="E194" i="5"/>
  <c r="M185" i="5"/>
  <c r="AL426" i="5"/>
  <c r="AO426" i="5" s="1"/>
  <c r="AH414" i="5"/>
  <c r="AI414" i="5" s="1"/>
  <c r="AK411" i="5"/>
  <c r="AO444" i="5"/>
  <c r="N59" i="5"/>
  <c r="Z438" i="5"/>
  <c r="AH438" i="5" s="1"/>
  <c r="F155" i="5"/>
  <c r="E155" i="5" s="1"/>
  <c r="E122" i="5"/>
  <c r="E34" i="5"/>
  <c r="Z412" i="5"/>
  <c r="E24" i="5"/>
  <c r="E39" i="5"/>
  <c r="E31" i="5"/>
  <c r="E35" i="5"/>
  <c r="Z426" i="5"/>
  <c r="AI426" i="5" s="1"/>
  <c r="E37" i="5"/>
  <c r="N37" i="5"/>
  <c r="Z415" i="5"/>
  <c r="AK413" i="5"/>
  <c r="AH424" i="5"/>
  <c r="AI424" i="5" s="1"/>
  <c r="AN424" i="5"/>
  <c r="AO424" i="5" s="1"/>
  <c r="N53" i="5"/>
  <c r="S287" i="5"/>
  <c r="K287" i="5"/>
  <c r="AI448" i="5"/>
  <c r="Z465" i="5"/>
  <c r="AI465" i="5" s="1"/>
  <c r="AH409" i="5"/>
  <c r="AI409" i="5" s="1"/>
  <c r="AI447" i="5"/>
  <c r="R185" i="5"/>
  <c r="S186" i="5" s="1"/>
  <c r="P186" i="5"/>
  <c r="P229" i="5"/>
  <c r="AI445" i="5"/>
  <c r="AN436" i="5"/>
  <c r="AN446" i="5"/>
  <c r="AO446" i="5" s="1"/>
  <c r="AH446" i="5"/>
  <c r="AI446" i="5" s="1"/>
  <c r="AN445" i="5"/>
  <c r="AO445" i="5" s="1"/>
  <c r="AE415" i="5"/>
  <c r="AH415" i="5"/>
  <c r="P37" i="5"/>
  <c r="AL415" i="5"/>
  <c r="AN415" i="5" s="1"/>
  <c r="S37" i="5"/>
  <c r="Z481" i="5"/>
  <c r="X481" i="5" s="1"/>
  <c r="E118" i="5"/>
  <c r="S28" i="5"/>
  <c r="AN439" i="5"/>
  <c r="AO439" i="5" s="1"/>
  <c r="AH439" i="5"/>
  <c r="AN476" i="5"/>
  <c r="AH476" i="5"/>
  <c r="AI476" i="5" s="1"/>
  <c r="AE413" i="5"/>
  <c r="AI439" i="5"/>
  <c r="E32" i="5"/>
  <c r="D32" i="5"/>
  <c r="N32" i="5"/>
  <c r="F41" i="5"/>
  <c r="Z410" i="5"/>
  <c r="AN451" i="5"/>
  <c r="AN440" i="5"/>
  <c r="AH440" i="5"/>
  <c r="R108" i="5"/>
  <c r="R109" i="5" s="1"/>
  <c r="K108" i="5"/>
  <c r="M105" i="5"/>
  <c r="K105" i="5"/>
  <c r="Q83" i="5"/>
  <c r="AH478" i="5"/>
  <c r="AI478" i="5" s="1"/>
  <c r="AH448" i="5"/>
  <c r="AN448" i="5"/>
  <c r="AO448" i="5" s="1"/>
  <c r="AN443" i="5"/>
  <c r="AO443" i="5" s="1"/>
  <c r="AH443" i="5"/>
  <c r="AI443" i="5" s="1"/>
  <c r="AO418" i="5"/>
  <c r="AK418" i="5"/>
  <c r="AK409" i="5"/>
  <c r="AO409" i="5"/>
  <c r="F287" i="5"/>
  <c r="E266" i="5"/>
  <c r="N266" i="5"/>
  <c r="AF452" i="5"/>
  <c r="AD452" i="5" s="1"/>
  <c r="AN434" i="5"/>
  <c r="AO434" i="5" s="1"/>
  <c r="AH434" i="5"/>
  <c r="AI434" i="5" s="1"/>
  <c r="N58" i="5"/>
  <c r="Z449" i="5"/>
  <c r="AI449" i="5" s="1"/>
  <c r="P13" i="5"/>
  <c r="O27" i="5"/>
  <c r="P27" i="5" s="1"/>
  <c r="N229" i="5"/>
  <c r="E153" i="5"/>
  <c r="AH430" i="5"/>
  <c r="AN430" i="5"/>
  <c r="AO430" i="5" s="1"/>
  <c r="O32" i="5"/>
  <c r="P32" i="5"/>
  <c r="Q41" i="5"/>
  <c r="S41" i="5" s="1"/>
  <c r="S32" i="5"/>
  <c r="AL410" i="5"/>
  <c r="P135" i="5"/>
  <c r="P108" i="5"/>
  <c r="AK414" i="5"/>
  <c r="AO414" i="5"/>
  <c r="Z478" i="5"/>
  <c r="Y411" i="5"/>
  <c r="AM411" i="5" s="1"/>
  <c r="N57" i="5"/>
  <c r="N72" i="5" s="1"/>
  <c r="Z436" i="5"/>
  <c r="Z452" i="5" s="1"/>
  <c r="X452" i="5" s="1"/>
  <c r="F72" i="5"/>
  <c r="E72" i="5" s="1"/>
  <c r="E296" i="1"/>
  <c r="E299" i="1"/>
  <c r="M300" i="1"/>
  <c r="S360" i="1"/>
  <c r="R13" i="5"/>
  <c r="R14" i="5" s="1"/>
  <c r="AN423" i="5"/>
  <c r="AO423" i="5" s="1"/>
  <c r="Z407" i="5"/>
  <c r="AO470" i="5"/>
  <c r="K54" i="5"/>
  <c r="E33" i="5"/>
  <c r="S229" i="5"/>
  <c r="AH410" i="5"/>
  <c r="AE410" i="5"/>
  <c r="S289" i="5"/>
  <c r="AN413" i="5"/>
  <c r="AO413" i="5" s="1"/>
  <c r="AO431" i="5"/>
  <c r="S231" i="5"/>
  <c r="N231" i="5"/>
  <c r="K231" i="5"/>
  <c r="AL449" i="5"/>
  <c r="AO449" i="5" s="1"/>
  <c r="N44" i="5"/>
  <c r="N54" i="5" s="1"/>
  <c r="AN442" i="5"/>
  <c r="AO442" i="5" s="1"/>
  <c r="AH437" i="5"/>
  <c r="AI437" i="5" s="1"/>
  <c r="AO416" i="5"/>
  <c r="AK416" i="5"/>
  <c r="AL438" i="5"/>
  <c r="AN438" i="5" s="1"/>
  <c r="S59" i="5"/>
  <c r="AD466" i="5"/>
  <c r="K23" i="5"/>
  <c r="R23" i="5" s="1"/>
  <c r="K22" i="5"/>
  <c r="R22" i="5" s="1"/>
  <c r="K21" i="5"/>
  <c r="R21" i="5" s="1"/>
  <c r="J27" i="5"/>
  <c r="K13" i="5"/>
  <c r="AN426" i="5"/>
  <c r="AL450" i="5"/>
  <c r="AO450" i="5" s="1"/>
  <c r="M14" i="5"/>
  <c r="D27" i="5"/>
  <c r="E27" i="5" s="1"/>
  <c r="E13" i="5"/>
  <c r="Z479" i="5"/>
  <c r="AH479" i="5" s="1"/>
  <c r="AI479" i="5" s="1"/>
  <c r="P40" i="5"/>
  <c r="S40" i="5"/>
  <c r="AN444" i="5"/>
  <c r="AH444" i="5"/>
  <c r="AI444" i="5" s="1"/>
  <c r="Q72" i="5"/>
  <c r="P72" i="5" s="1"/>
  <c r="AN473" i="5"/>
  <c r="AH473" i="5"/>
  <c r="AI473" i="5" s="1"/>
  <c r="AI431" i="5"/>
  <c r="N210" i="5"/>
  <c r="P39" i="5"/>
  <c r="AH411" i="5"/>
  <c r="AI411" i="5" s="1"/>
  <c r="AL479" i="5"/>
  <c r="AO479" i="5" s="1"/>
  <c r="S44" i="5"/>
  <c r="S54" i="5" s="1"/>
  <c r="AN437" i="5"/>
  <c r="AO437" i="5" s="1"/>
  <c r="AN422" i="5"/>
  <c r="AO422" i="5" s="1"/>
  <c r="AH422" i="5"/>
  <c r="AI422" i="5" s="1"/>
  <c r="Z464" i="5"/>
  <c r="AI464" i="5" s="1"/>
  <c r="E397" i="5"/>
  <c r="F399" i="5"/>
  <c r="AH480" i="5"/>
  <c r="AI480" i="5" s="1"/>
  <c r="AN480" i="5"/>
  <c r="AO480" i="5" s="1"/>
  <c r="Q155" i="5"/>
  <c r="P155" i="5" s="1"/>
  <c r="P122" i="5"/>
  <c r="Z450" i="5"/>
  <c r="AI450" i="5" s="1"/>
  <c r="AH429" i="5"/>
  <c r="AN429" i="5"/>
  <c r="AO429" i="5" s="1"/>
  <c r="N194" i="5"/>
  <c r="N195" i="5" s="1"/>
  <c r="L195" i="5"/>
  <c r="L233" i="5"/>
  <c r="S194" i="5"/>
  <c r="S195" i="5" s="1"/>
  <c r="N135" i="5"/>
  <c r="F83" i="5"/>
  <c r="Y413" i="5"/>
  <c r="AI413" i="5"/>
  <c r="E40" i="5"/>
  <c r="N40" i="5"/>
  <c r="Z425" i="5"/>
  <c r="AI425" i="5" s="1"/>
  <c r="AH441" i="5"/>
  <c r="AI441" i="5" s="1"/>
  <c r="AN441" i="5"/>
  <c r="AO441" i="5" s="1"/>
  <c r="E36" i="5"/>
  <c r="S250" i="5"/>
  <c r="AO471" i="5"/>
  <c r="AH435" i="5"/>
  <c r="AI435" i="5" s="1"/>
  <c r="AN435" i="5"/>
  <c r="AO435" i="5" s="1"/>
  <c r="S122" i="5"/>
  <c r="K309" i="5"/>
  <c r="J314" i="5"/>
  <c r="M309" i="5"/>
  <c r="AN411" i="5"/>
  <c r="AO411" i="5" s="1"/>
  <c r="AH421" i="5"/>
  <c r="AI421" i="5" s="1"/>
  <c r="AN421" i="5"/>
  <c r="AO421" i="5" s="1"/>
  <c r="AF433" i="5"/>
  <c r="AN428" i="5"/>
  <c r="AO428" i="5" s="1"/>
  <c r="AH428" i="5"/>
  <c r="AI428" i="5" s="1"/>
  <c r="S351" i="5"/>
  <c r="N351" i="5"/>
  <c r="K351" i="5"/>
  <c r="Q314" i="5"/>
  <c r="AL407" i="5" s="1"/>
  <c r="S223" i="1"/>
  <c r="N223" i="1"/>
  <c r="N103" i="1"/>
  <c r="S103" i="1"/>
  <c r="N34" i="15"/>
  <c r="Z412" i="15"/>
  <c r="R362" i="15"/>
  <c r="P362" i="15"/>
  <c r="AH428" i="15"/>
  <c r="AI428" i="15" s="1"/>
  <c r="AN428" i="15"/>
  <c r="AN429" i="15"/>
  <c r="AO429" i="15" s="1"/>
  <c r="AH429" i="15"/>
  <c r="AF452" i="15"/>
  <c r="AH434" i="15"/>
  <c r="AN434" i="15"/>
  <c r="K397" i="15"/>
  <c r="L399" i="15"/>
  <c r="AN448" i="15"/>
  <c r="AO448" i="15" s="1"/>
  <c r="AH448" i="15"/>
  <c r="AI448" i="15" s="1"/>
  <c r="Q314" i="15"/>
  <c r="P330" i="15" s="1"/>
  <c r="N220" i="1"/>
  <c r="S220" i="1"/>
  <c r="AH431" i="15"/>
  <c r="AN431" i="15"/>
  <c r="AO431" i="15" s="1"/>
  <c r="AH447" i="15"/>
  <c r="AN447" i="15"/>
  <c r="M12" i="15"/>
  <c r="AN494" i="1"/>
  <c r="E15" i="15"/>
  <c r="M15" i="15"/>
  <c r="R304" i="15"/>
  <c r="O309" i="15"/>
  <c r="P304" i="15"/>
  <c r="E349" i="15"/>
  <c r="AN437" i="15"/>
  <c r="AO437" i="15" s="1"/>
  <c r="AH437" i="15"/>
  <c r="AN471" i="15"/>
  <c r="AO471" i="15" s="1"/>
  <c r="AH471" i="15"/>
  <c r="AI471" i="15" s="1"/>
  <c r="N188" i="1"/>
  <c r="S188" i="1"/>
  <c r="N261" i="1"/>
  <c r="S261" i="1"/>
  <c r="N281" i="1"/>
  <c r="AN454" i="1"/>
  <c r="AN460" i="1"/>
  <c r="AO460" i="1" s="1"/>
  <c r="R12" i="15"/>
  <c r="K155" i="15"/>
  <c r="AH438" i="15"/>
  <c r="AN438" i="15"/>
  <c r="P15" i="15"/>
  <c r="R15" i="15"/>
  <c r="AH440" i="15"/>
  <c r="AN475" i="15"/>
  <c r="AH475" i="15"/>
  <c r="AI475" i="15" s="1"/>
  <c r="S59" i="15"/>
  <c r="S289" i="15"/>
  <c r="AF466" i="15"/>
  <c r="Z432" i="15"/>
  <c r="AI432" i="15" s="1"/>
  <c r="Z450" i="15"/>
  <c r="AI450" i="15" s="1"/>
  <c r="Z427" i="15"/>
  <c r="AI427" i="15" s="1"/>
  <c r="Z464" i="15"/>
  <c r="Z449" i="15"/>
  <c r="AI449" i="15" s="1"/>
  <c r="Z451" i="15"/>
  <c r="Z478" i="15"/>
  <c r="AH478" i="15" s="1"/>
  <c r="AI478" i="15" s="1"/>
  <c r="Z426" i="15"/>
  <c r="AI426" i="15" s="1"/>
  <c r="F13" i="15"/>
  <c r="Z416" i="15"/>
  <c r="Z479" i="15"/>
  <c r="Z418" i="15"/>
  <c r="Z463" i="15"/>
  <c r="Z465" i="15"/>
  <c r="AI465" i="15" s="1"/>
  <c r="Z495" i="15"/>
  <c r="Z425" i="15"/>
  <c r="AI425" i="15" s="1"/>
  <c r="Z497" i="15"/>
  <c r="Z417" i="15"/>
  <c r="S198" i="1"/>
  <c r="N198" i="1"/>
  <c r="N201" i="1"/>
  <c r="S201" i="1"/>
  <c r="S204" i="1"/>
  <c r="N204" i="1"/>
  <c r="N207" i="1"/>
  <c r="S207" i="1"/>
  <c r="N212" i="1"/>
  <c r="S212" i="1"/>
  <c r="N215" i="1"/>
  <c r="S215" i="1"/>
  <c r="S218" i="1"/>
  <c r="N218" i="1"/>
  <c r="S221" i="1"/>
  <c r="N221" i="1"/>
  <c r="S224" i="1"/>
  <c r="N224" i="1"/>
  <c r="M296" i="1"/>
  <c r="M299" i="1"/>
  <c r="M308" i="1"/>
  <c r="N102" i="1"/>
  <c r="S102" i="1"/>
  <c r="AH479" i="15"/>
  <c r="AI479" i="15" s="1"/>
  <c r="J27" i="15"/>
  <c r="K21" i="15"/>
  <c r="R21" i="15" s="1"/>
  <c r="K13" i="15"/>
  <c r="K22" i="15"/>
  <c r="R22" i="15" s="1"/>
  <c r="K23" i="15"/>
  <c r="R23" i="15" s="1"/>
  <c r="J24" i="15"/>
  <c r="Q13" i="15"/>
  <c r="AL451" i="15"/>
  <c r="AL425" i="15"/>
  <c r="AO425" i="15" s="1"/>
  <c r="AL450" i="15"/>
  <c r="AO450" i="15" s="1"/>
  <c r="AL432" i="15"/>
  <c r="AL478" i="15"/>
  <c r="AO478" i="15" s="1"/>
  <c r="AL418" i="15"/>
  <c r="AL427" i="15"/>
  <c r="AO427" i="15" s="1"/>
  <c r="AL416" i="15"/>
  <c r="AL426" i="15"/>
  <c r="AO426" i="15" s="1"/>
  <c r="AL417" i="15"/>
  <c r="AN417" i="15" s="1"/>
  <c r="AL479" i="15"/>
  <c r="AO479" i="15" s="1"/>
  <c r="AL463" i="15"/>
  <c r="AL465" i="15"/>
  <c r="AL449" i="15"/>
  <c r="AO449" i="15" s="1"/>
  <c r="AL464" i="15"/>
  <c r="AH474" i="15"/>
  <c r="AI474" i="15" s="1"/>
  <c r="AN474" i="15"/>
  <c r="AO474" i="15" s="1"/>
  <c r="P186" i="15"/>
  <c r="R185" i="15"/>
  <c r="S186" i="15" s="1"/>
  <c r="AO447" i="15"/>
  <c r="AL413" i="15"/>
  <c r="F351" i="15"/>
  <c r="E351" i="15" s="1"/>
  <c r="E330" i="15"/>
  <c r="AN436" i="15"/>
  <c r="AO436" i="15" s="1"/>
  <c r="AH436" i="15"/>
  <c r="AI436" i="15" s="1"/>
  <c r="M105" i="15"/>
  <c r="K105" i="15"/>
  <c r="N304" i="15"/>
  <c r="N305" i="15" s="1"/>
  <c r="AN440" i="15"/>
  <c r="AE410" i="15"/>
  <c r="AH410" i="15"/>
  <c r="AI410" i="15" s="1"/>
  <c r="AN410" i="15"/>
  <c r="AO411" i="15"/>
  <c r="AF419" i="15"/>
  <c r="AN409" i="15"/>
  <c r="AO409" i="15" s="1"/>
  <c r="AH409" i="15"/>
  <c r="AI409" i="15" s="1"/>
  <c r="AE409" i="15"/>
  <c r="N59" i="15"/>
  <c r="Q231" i="15"/>
  <c r="P210" i="15"/>
  <c r="S210" i="15"/>
  <c r="AN439" i="15"/>
  <c r="AO439" i="15" s="1"/>
  <c r="S318" i="1"/>
  <c r="N318" i="1"/>
  <c r="S338" i="1"/>
  <c r="N338" i="1"/>
  <c r="AN442" i="15"/>
  <c r="AO442" i="15" s="1"/>
  <c r="AH442" i="15"/>
  <c r="AI442" i="15" s="1"/>
  <c r="M250" i="15"/>
  <c r="R250" i="15"/>
  <c r="S251" i="15" s="1"/>
  <c r="Z413" i="15"/>
  <c r="K351" i="15"/>
  <c r="AN446" i="15"/>
  <c r="AO446" i="15" s="1"/>
  <c r="AH446" i="15"/>
  <c r="AI446" i="15" s="1"/>
  <c r="S309" i="15"/>
  <c r="S310" i="15" s="1"/>
  <c r="N309" i="15"/>
  <c r="N310" i="15" s="1"/>
  <c r="L314" i="15"/>
  <c r="Q351" i="15"/>
  <c r="S351" i="15" s="1"/>
  <c r="AH432" i="15"/>
  <c r="D309" i="15"/>
  <c r="E304" i="15"/>
  <c r="AH427" i="15"/>
  <c r="AH411" i="15"/>
  <c r="AI411" i="15" s="1"/>
  <c r="AE411" i="15"/>
  <c r="AN411" i="15"/>
  <c r="F194" i="15"/>
  <c r="F186" i="15"/>
  <c r="N185" i="15"/>
  <c r="N186" i="15" s="1"/>
  <c r="N214" i="1"/>
  <c r="S214" i="1"/>
  <c r="Q233" i="15"/>
  <c r="S233" i="15" s="1"/>
  <c r="Q195" i="15"/>
  <c r="R194" i="15" s="1"/>
  <c r="S297" i="1"/>
  <c r="N297" i="1"/>
  <c r="N303" i="1"/>
  <c r="S303" i="1"/>
  <c r="AN459" i="1"/>
  <c r="AO459" i="1" s="1"/>
  <c r="R297" i="1"/>
  <c r="P303" i="1"/>
  <c r="R303" i="1"/>
  <c r="S324" i="1"/>
  <c r="N324" i="1"/>
  <c r="S344" i="1"/>
  <c r="N344" i="1"/>
  <c r="N269" i="1"/>
  <c r="S269" i="1"/>
  <c r="N275" i="1"/>
  <c r="S275" i="1"/>
  <c r="S175" i="1"/>
  <c r="N175" i="1"/>
  <c r="N244" i="1"/>
  <c r="N245" i="1" s="1"/>
  <c r="S244" i="1"/>
  <c r="S302" i="1"/>
  <c r="N302" i="1"/>
  <c r="AN455" i="1"/>
  <c r="AN473" i="15"/>
  <c r="AH473" i="15"/>
  <c r="AI473" i="15" s="1"/>
  <c r="P108" i="15"/>
  <c r="F41" i="15"/>
  <c r="Q54" i="15"/>
  <c r="Q74" i="15" s="1"/>
  <c r="AL421" i="15"/>
  <c r="AH444" i="15"/>
  <c r="AI444" i="15" s="1"/>
  <c r="AN444" i="15"/>
  <c r="AO444" i="15" s="1"/>
  <c r="AO438" i="15"/>
  <c r="F287" i="15"/>
  <c r="E266" i="15"/>
  <c r="N266" i="15"/>
  <c r="N206" i="1"/>
  <c r="S206" i="1"/>
  <c r="S25" i="15"/>
  <c r="AK410" i="15"/>
  <c r="AO410" i="15"/>
  <c r="E11" i="15"/>
  <c r="M11" i="15"/>
  <c r="R175" i="1"/>
  <c r="S322" i="1"/>
  <c r="N322" i="1"/>
  <c r="S333" i="1"/>
  <c r="N333" i="1"/>
  <c r="S336" i="1"/>
  <c r="N336" i="1"/>
  <c r="N342" i="1"/>
  <c r="S342" i="1"/>
  <c r="AN445" i="15"/>
  <c r="AO445" i="15" s="1"/>
  <c r="AH445" i="15"/>
  <c r="AI445" i="15" s="1"/>
  <c r="AO428" i="15"/>
  <c r="AH426" i="15"/>
  <c r="F54" i="15"/>
  <c r="Z421" i="15"/>
  <c r="F353" i="15"/>
  <c r="N44" i="15"/>
  <c r="S58" i="15"/>
  <c r="AH470" i="15"/>
  <c r="AF481" i="15"/>
  <c r="AI438" i="15"/>
  <c r="R300" i="1"/>
  <c r="N321" i="1"/>
  <c r="S321" i="1"/>
  <c r="N335" i="1"/>
  <c r="S335" i="1"/>
  <c r="N255" i="1"/>
  <c r="S255" i="1"/>
  <c r="S272" i="1"/>
  <c r="N272" i="1"/>
  <c r="S247" i="1"/>
  <c r="N248" i="1"/>
  <c r="N247" i="1"/>
  <c r="N296" i="1"/>
  <c r="S296" i="1"/>
  <c r="N299" i="1"/>
  <c r="S299" i="1"/>
  <c r="N308" i="1"/>
  <c r="S308" i="1"/>
  <c r="N184" i="1"/>
  <c r="S184" i="1"/>
  <c r="AN461" i="1"/>
  <c r="AO461" i="1" s="1"/>
  <c r="S163" i="1"/>
  <c r="S172" i="1"/>
  <c r="N172" i="1"/>
  <c r="R241" i="1"/>
  <c r="S319" i="1"/>
  <c r="N319" i="1"/>
  <c r="N345" i="1"/>
  <c r="AH449" i="15"/>
  <c r="N202" i="1"/>
  <c r="S202" i="1"/>
  <c r="N208" i="1"/>
  <c r="S208" i="1"/>
  <c r="N219" i="1"/>
  <c r="S219" i="1"/>
  <c r="N225" i="1"/>
  <c r="M295" i="1"/>
  <c r="N100" i="1"/>
  <c r="S100" i="1"/>
  <c r="N104" i="1"/>
  <c r="S104" i="1"/>
  <c r="M13" i="15"/>
  <c r="AN476" i="15"/>
  <c r="AH476" i="15"/>
  <c r="AI476" i="15" s="1"/>
  <c r="AE413" i="15"/>
  <c r="AN416" i="15"/>
  <c r="AH416" i="15"/>
  <c r="AE416" i="15"/>
  <c r="AH422" i="15"/>
  <c r="AI422" i="15" s="1"/>
  <c r="AN422" i="15"/>
  <c r="AO422" i="15" s="1"/>
  <c r="S44" i="15"/>
  <c r="AI429" i="15"/>
  <c r="AI437" i="15"/>
  <c r="O32" i="15"/>
  <c r="S11" i="15"/>
  <c r="S13" i="15" s="1"/>
  <c r="S65" i="15"/>
  <c r="N43" i="15"/>
  <c r="N54" i="15" s="1"/>
  <c r="AN466" i="15"/>
  <c r="AH423" i="15"/>
  <c r="AI423" i="15" s="1"/>
  <c r="S203" i="1"/>
  <c r="N203" i="1"/>
  <c r="AN453" i="1"/>
  <c r="AO453" i="1" s="1"/>
  <c r="N332" i="1"/>
  <c r="S332" i="1"/>
  <c r="S258" i="1"/>
  <c r="N258" i="1"/>
  <c r="AH435" i="15"/>
  <c r="AI435" i="15" s="1"/>
  <c r="AN435" i="15"/>
  <c r="AO435" i="15" s="1"/>
  <c r="N163" i="1"/>
  <c r="P11" i="15"/>
  <c r="R11" i="15"/>
  <c r="R13" i="15" s="1"/>
  <c r="R14" i="15" s="1"/>
  <c r="R181" i="1"/>
  <c r="N256" i="1"/>
  <c r="S256" i="1"/>
  <c r="N259" i="1"/>
  <c r="S259" i="1"/>
  <c r="S262" i="1"/>
  <c r="N262" i="1"/>
  <c r="S267" i="1"/>
  <c r="N267" i="1"/>
  <c r="N270" i="1"/>
  <c r="S270" i="1"/>
  <c r="N273" i="1"/>
  <c r="S273" i="1"/>
  <c r="N276" i="1"/>
  <c r="S276" i="1"/>
  <c r="S279" i="1"/>
  <c r="N279" i="1"/>
  <c r="M100" i="1"/>
  <c r="R100" i="1"/>
  <c r="AN420" i="1"/>
  <c r="AO420" i="1" s="1"/>
  <c r="AN456" i="1"/>
  <c r="AO454" i="1"/>
  <c r="N199" i="1"/>
  <c r="S199" i="1"/>
  <c r="S205" i="1"/>
  <c r="N205" i="1"/>
  <c r="S213" i="1"/>
  <c r="N213" i="1"/>
  <c r="N216" i="1"/>
  <c r="S216" i="1"/>
  <c r="N222" i="1"/>
  <c r="S222" i="1"/>
  <c r="K298" i="1"/>
  <c r="M298" i="1"/>
  <c r="K301" i="1"/>
  <c r="M301" i="1"/>
  <c r="M307" i="1"/>
  <c r="F266" i="1"/>
  <c r="N295" i="1"/>
  <c r="S295" i="1"/>
  <c r="N298" i="1"/>
  <c r="S298" i="1"/>
  <c r="N301" i="1"/>
  <c r="S301" i="1"/>
  <c r="N307" i="1"/>
  <c r="S307" i="1"/>
  <c r="S312" i="1"/>
  <c r="R312" i="1" s="1"/>
  <c r="N312" i="1"/>
  <c r="AN457" i="1"/>
  <c r="D13" i="15"/>
  <c r="AI458" i="15"/>
  <c r="AN414" i="15"/>
  <c r="AO414" i="15" s="1"/>
  <c r="AH414" i="15"/>
  <c r="AI414" i="15" s="1"/>
  <c r="AE414" i="15"/>
  <c r="Y411" i="15"/>
  <c r="S35" i="15"/>
  <c r="N83" i="15"/>
  <c r="N11" i="15"/>
  <c r="N13" i="15" s="1"/>
  <c r="N65" i="15"/>
  <c r="S43" i="15"/>
  <c r="S54" i="15" s="1"/>
  <c r="AN492" i="1"/>
  <c r="AN423" i="15"/>
  <c r="AO423" i="15" s="1"/>
  <c r="S211" i="1"/>
  <c r="N211" i="1"/>
  <c r="AO457" i="1"/>
  <c r="S300" i="1"/>
  <c r="N300" i="1"/>
  <c r="AI434" i="15"/>
  <c r="Z452" i="15"/>
  <c r="S178" i="1"/>
  <c r="N178" i="1"/>
  <c r="S181" i="1"/>
  <c r="N181" i="1"/>
  <c r="S325" i="1"/>
  <c r="N325" i="1"/>
  <c r="N328" i="1"/>
  <c r="S328" i="1"/>
  <c r="N339" i="1"/>
  <c r="S339" i="1"/>
  <c r="AH418" i="15"/>
  <c r="AE418" i="15"/>
  <c r="AN418" i="15"/>
  <c r="M188" i="1"/>
  <c r="R295" i="1"/>
  <c r="R298" i="1"/>
  <c r="R307" i="1"/>
  <c r="N320" i="1"/>
  <c r="S320" i="1"/>
  <c r="N323" i="1"/>
  <c r="S323" i="1"/>
  <c r="N326" i="1"/>
  <c r="S326" i="1"/>
  <c r="S331" i="1"/>
  <c r="N331" i="1"/>
  <c r="S334" i="1"/>
  <c r="N334" i="1"/>
  <c r="N337" i="1"/>
  <c r="S337" i="1"/>
  <c r="N340" i="1"/>
  <c r="S340" i="1"/>
  <c r="S343" i="1"/>
  <c r="N343" i="1"/>
  <c r="AN469" i="1"/>
  <c r="AO469" i="1" s="1"/>
  <c r="L165" i="15"/>
  <c r="AH441" i="15"/>
  <c r="AI441" i="15" s="1"/>
  <c r="AN441" i="15"/>
  <c r="AO441" i="15" s="1"/>
  <c r="O13" i="15"/>
  <c r="AK414" i="15" s="1"/>
  <c r="AI447" i="15"/>
  <c r="N35" i="15"/>
  <c r="AL415" i="15"/>
  <c r="S37" i="15"/>
  <c r="Q155" i="15"/>
  <c r="P122" i="15"/>
  <c r="M108" i="15"/>
  <c r="M109" i="15" s="1"/>
  <c r="R108" i="15"/>
  <c r="R109" i="15" s="1"/>
  <c r="K108" i="15"/>
  <c r="AN443" i="15"/>
  <c r="AO443" i="15" s="1"/>
  <c r="AH443" i="15"/>
  <c r="AI443" i="15" s="1"/>
  <c r="AI431" i="15"/>
  <c r="S194" i="15"/>
  <c r="S195" i="15" s="1"/>
  <c r="P229" i="15"/>
  <c r="AL470" i="15"/>
  <c r="Q83" i="15"/>
  <c r="Q397" i="15"/>
  <c r="P397" i="15" s="1"/>
  <c r="P377" i="15"/>
  <c r="E397" i="15"/>
  <c r="F399" i="15"/>
  <c r="S200" i="1"/>
  <c r="N200" i="1"/>
  <c r="S217" i="1"/>
  <c r="N217" i="1"/>
  <c r="K297" i="1"/>
  <c r="M297" i="1"/>
  <c r="K72" i="15"/>
  <c r="N327" i="1"/>
  <c r="S327" i="1"/>
  <c r="N341" i="1"/>
  <c r="S341" i="1"/>
  <c r="N264" i="1"/>
  <c r="S264" i="1"/>
  <c r="S278" i="1"/>
  <c r="N278" i="1"/>
  <c r="N241" i="1"/>
  <c r="N242" i="1" s="1"/>
  <c r="S241" i="1"/>
  <c r="AH480" i="15"/>
  <c r="AI480" i="15" s="1"/>
  <c r="AN480" i="15"/>
  <c r="AO480" i="15" s="1"/>
  <c r="R172" i="1"/>
  <c r="R178" i="1"/>
  <c r="M181" i="1"/>
  <c r="L266" i="1"/>
  <c r="S254" i="1"/>
  <c r="N254" i="1"/>
  <c r="N257" i="1"/>
  <c r="S257" i="1"/>
  <c r="N260" i="1"/>
  <c r="S260" i="1"/>
  <c r="N263" i="1"/>
  <c r="S263" i="1"/>
  <c r="S268" i="1"/>
  <c r="N268" i="1"/>
  <c r="N271" i="1"/>
  <c r="S271" i="1"/>
  <c r="S274" i="1"/>
  <c r="N274" i="1"/>
  <c r="N277" i="1"/>
  <c r="S277" i="1"/>
  <c r="N280" i="1"/>
  <c r="S280" i="1"/>
  <c r="R103" i="1"/>
  <c r="AN458" i="1"/>
  <c r="AO458" i="1" s="1"/>
  <c r="S363" i="15"/>
  <c r="S362" i="15"/>
  <c r="K309" i="15"/>
  <c r="J314" i="15"/>
  <c r="L27" i="15"/>
  <c r="K74" i="15" s="1"/>
  <c r="J31" i="15"/>
  <c r="AL412" i="15"/>
  <c r="S34" i="15"/>
  <c r="N37" i="15"/>
  <c r="Z415" i="15"/>
  <c r="AH430" i="15"/>
  <c r="AI430" i="15" s="1"/>
  <c r="AN430" i="15"/>
  <c r="AO430" i="15" s="1"/>
  <c r="F155" i="15"/>
  <c r="N155" i="15" s="1"/>
  <c r="E122" i="15"/>
  <c r="AH417" i="15"/>
  <c r="AE417" i="15"/>
  <c r="AH465" i="15"/>
  <c r="AE412" i="15"/>
  <c r="AH412" i="15"/>
  <c r="N64" i="15"/>
  <c r="AN472" i="15"/>
  <c r="AH472" i="15"/>
  <c r="AI472" i="15" s="1"/>
  <c r="Z481" i="15"/>
  <c r="AI470" i="15"/>
  <c r="E231" i="15"/>
  <c r="F72" i="15"/>
  <c r="AB415" i="1"/>
  <c r="P299" i="1"/>
  <c r="AB448" i="1"/>
  <c r="AB476" i="1"/>
  <c r="AE412" i="6"/>
  <c r="F351" i="6"/>
  <c r="E351" i="6" s="1"/>
  <c r="E330" i="6"/>
  <c r="Q186" i="6"/>
  <c r="Q194" i="6"/>
  <c r="S194" i="6" s="1"/>
  <c r="S195" i="6" s="1"/>
  <c r="S309" i="6"/>
  <c r="S310" i="6" s="1"/>
  <c r="N309" i="6"/>
  <c r="N310" i="6" s="1"/>
  <c r="L314" i="6"/>
  <c r="AH441" i="6"/>
  <c r="AN441" i="6"/>
  <c r="F83" i="6"/>
  <c r="Z473" i="6"/>
  <c r="AH473" i="6" s="1"/>
  <c r="AI473" i="6" s="1"/>
  <c r="D309" i="6"/>
  <c r="E304" i="6"/>
  <c r="K231" i="6"/>
  <c r="N231" i="6"/>
  <c r="AH431" i="6"/>
  <c r="AN431" i="6"/>
  <c r="Z480" i="6"/>
  <c r="N82" i="6"/>
  <c r="N83" i="6" s="1"/>
  <c r="F289" i="6"/>
  <c r="F251" i="6"/>
  <c r="M250" i="6" s="1"/>
  <c r="AL426" i="6"/>
  <c r="AO426" i="6" s="1"/>
  <c r="AL450" i="6"/>
  <c r="AO450" i="6" s="1"/>
  <c r="AL425" i="6"/>
  <c r="AO471" i="6"/>
  <c r="K397" i="6"/>
  <c r="L399" i="6"/>
  <c r="AN446" i="6"/>
  <c r="AH446" i="6"/>
  <c r="AN442" i="6"/>
  <c r="AO442" i="6" s="1"/>
  <c r="AH442" i="6"/>
  <c r="AI442" i="6" s="1"/>
  <c r="S287" i="6"/>
  <c r="N287" i="6"/>
  <c r="K287" i="6"/>
  <c r="AL417" i="6"/>
  <c r="AL414" i="6"/>
  <c r="AN414" i="6" s="1"/>
  <c r="S36" i="6"/>
  <c r="AI497" i="6"/>
  <c r="AH497" i="6"/>
  <c r="AH438" i="6"/>
  <c r="AN438" i="6"/>
  <c r="AO438" i="6" s="1"/>
  <c r="AL473" i="6"/>
  <c r="Q83" i="6"/>
  <c r="AF466" i="6"/>
  <c r="AD466" i="6" s="1"/>
  <c r="E122" i="6"/>
  <c r="F155" i="6"/>
  <c r="AI470" i="6"/>
  <c r="AN426" i="6"/>
  <c r="AN466" i="6"/>
  <c r="Z413" i="6"/>
  <c r="M304" i="6"/>
  <c r="N36" i="6"/>
  <c r="Z414" i="6"/>
  <c r="M105" i="6"/>
  <c r="K105" i="6"/>
  <c r="AN475" i="6"/>
  <c r="AO475" i="6" s="1"/>
  <c r="AH475" i="6"/>
  <c r="AI475" i="6" s="1"/>
  <c r="K23" i="6"/>
  <c r="R23" i="6" s="1"/>
  <c r="K22" i="6"/>
  <c r="R22" i="6" s="1"/>
  <c r="K21" i="6"/>
  <c r="R21" i="6" s="1"/>
  <c r="J27" i="6"/>
  <c r="K13" i="6"/>
  <c r="J24" i="6"/>
  <c r="N71" i="6"/>
  <c r="Z478" i="6"/>
  <c r="Z481" i="6" s="1"/>
  <c r="Z418" i="6"/>
  <c r="Z426" i="6"/>
  <c r="AI426" i="6" s="1"/>
  <c r="Z450" i="6"/>
  <c r="AI450" i="6" s="1"/>
  <c r="N304" i="6"/>
  <c r="N305" i="6" s="1"/>
  <c r="P308" i="1"/>
  <c r="AN472" i="6"/>
  <c r="AH472" i="6"/>
  <c r="AI472" i="6" s="1"/>
  <c r="S68" i="6"/>
  <c r="AL418" i="6"/>
  <c r="Z479" i="6"/>
  <c r="AH479" i="6" s="1"/>
  <c r="AI479" i="6" s="1"/>
  <c r="S34" i="6"/>
  <c r="AL412" i="6"/>
  <c r="F13" i="6"/>
  <c r="N6" i="6"/>
  <c r="N13" i="6" s="1"/>
  <c r="Z464" i="6"/>
  <c r="AI464" i="6" s="1"/>
  <c r="AL479" i="6"/>
  <c r="AO479" i="6" s="1"/>
  <c r="AL413" i="6"/>
  <c r="AN413" i="6" s="1"/>
  <c r="F194" i="6"/>
  <c r="F186" i="6"/>
  <c r="AI435" i="6"/>
  <c r="P362" i="6"/>
  <c r="R362" i="6"/>
  <c r="AN449" i="6"/>
  <c r="N34" i="6"/>
  <c r="Z412" i="6"/>
  <c r="S363" i="6"/>
  <c r="S362" i="6"/>
  <c r="AN474" i="6"/>
  <c r="AO474" i="6" s="1"/>
  <c r="AH474" i="6"/>
  <c r="AI474" i="6" s="1"/>
  <c r="K155" i="6"/>
  <c r="P6" i="6"/>
  <c r="O13" i="6"/>
  <c r="AK410" i="6" s="1"/>
  <c r="AN430" i="6"/>
  <c r="AO430" i="6" s="1"/>
  <c r="AH430" i="6"/>
  <c r="AI430" i="6" s="1"/>
  <c r="AN443" i="6"/>
  <c r="AO443" i="6" s="1"/>
  <c r="AH443" i="6"/>
  <c r="AI443" i="6" s="1"/>
  <c r="AO453" i="6"/>
  <c r="AN439" i="6"/>
  <c r="AO439" i="6" s="1"/>
  <c r="AH439" i="6"/>
  <c r="J314" i="6"/>
  <c r="M309" i="6"/>
  <c r="K309" i="6"/>
  <c r="F397" i="6"/>
  <c r="E397" i="6" s="1"/>
  <c r="AH434" i="6"/>
  <c r="AF452" i="6"/>
  <c r="AD452" i="6" s="1"/>
  <c r="AN434" i="6"/>
  <c r="AO434" i="6" s="1"/>
  <c r="AH416" i="6"/>
  <c r="AE416" i="6"/>
  <c r="S77" i="6"/>
  <c r="S83" i="6" s="1"/>
  <c r="AE417" i="6"/>
  <c r="P108" i="6"/>
  <c r="Q397" i="6"/>
  <c r="P397" i="6" s="1"/>
  <c r="AH410" i="6"/>
  <c r="AE410" i="6"/>
  <c r="AN410" i="6"/>
  <c r="AO410" i="6" s="1"/>
  <c r="AI431" i="6"/>
  <c r="Q13" i="6"/>
  <c r="S6" i="6"/>
  <c r="S13" i="6" s="1"/>
  <c r="AN423" i="6"/>
  <c r="AO423" i="6" s="1"/>
  <c r="AH423" i="6"/>
  <c r="AE411" i="6"/>
  <c r="AI423" i="6"/>
  <c r="Z417" i="6"/>
  <c r="E15" i="6"/>
  <c r="M15" i="6"/>
  <c r="AO431" i="6"/>
  <c r="AH422" i="6"/>
  <c r="E6" i="6"/>
  <c r="D13" i="6"/>
  <c r="AI446" i="6"/>
  <c r="AL432" i="6"/>
  <c r="AL427" i="6"/>
  <c r="AO427" i="6" s="1"/>
  <c r="AI441" i="6"/>
  <c r="Z416" i="6"/>
  <c r="F353" i="6"/>
  <c r="AH415" i="6"/>
  <c r="AE415" i="6"/>
  <c r="AI434" i="6"/>
  <c r="AI410" i="6"/>
  <c r="P15" i="6"/>
  <c r="R15" i="6"/>
  <c r="F41" i="6"/>
  <c r="D31" i="6"/>
  <c r="Z409" i="6"/>
  <c r="AN480" i="6"/>
  <c r="AO480" i="6" s="1"/>
  <c r="AH480" i="6"/>
  <c r="AI480" i="6" s="1"/>
  <c r="AE418" i="6"/>
  <c r="AN447" i="6"/>
  <c r="AO447" i="6" s="1"/>
  <c r="AH447" i="6"/>
  <c r="AI447" i="6" s="1"/>
  <c r="AN444" i="6"/>
  <c r="AO444" i="6" s="1"/>
  <c r="AH444" i="6"/>
  <c r="AI444" i="6" s="1"/>
  <c r="S59" i="6"/>
  <c r="S72" i="6" s="1"/>
  <c r="AO428" i="6"/>
  <c r="AH478" i="6"/>
  <c r="AI478" i="6" s="1"/>
  <c r="Q314" i="6"/>
  <c r="P351" i="6" s="1"/>
  <c r="AN440" i="6"/>
  <c r="AH440" i="6"/>
  <c r="AH465" i="6"/>
  <c r="O309" i="6"/>
  <c r="P304" i="6"/>
  <c r="R304" i="6"/>
  <c r="S41" i="6"/>
  <c r="L74" i="6"/>
  <c r="K41" i="6"/>
  <c r="AL416" i="6"/>
  <c r="AN416" i="6" s="1"/>
  <c r="Q41" i="6"/>
  <c r="AL409" i="6"/>
  <c r="Q289" i="6"/>
  <c r="P289" i="6" s="1"/>
  <c r="Q251" i="6"/>
  <c r="R250" i="6" s="1"/>
  <c r="S251" i="6" s="1"/>
  <c r="AO446" i="6"/>
  <c r="AH471" i="6"/>
  <c r="AI471" i="6" s="1"/>
  <c r="AN471" i="6"/>
  <c r="Q72" i="6"/>
  <c r="R185" i="6"/>
  <c r="S186" i="6" s="1"/>
  <c r="P186" i="6"/>
  <c r="AL465" i="6"/>
  <c r="N59" i="6"/>
  <c r="N72" i="6" s="1"/>
  <c r="AN421" i="6"/>
  <c r="AF433" i="6"/>
  <c r="AH421" i="6"/>
  <c r="AI421" i="6" s="1"/>
  <c r="AN470" i="6"/>
  <c r="AH470" i="6"/>
  <c r="AF481" i="6"/>
  <c r="Q231" i="6"/>
  <c r="P231" i="6" s="1"/>
  <c r="P210" i="6"/>
  <c r="S289" i="6"/>
  <c r="N289" i="6"/>
  <c r="AN448" i="6"/>
  <c r="AO448" i="6" s="1"/>
  <c r="AF407" i="6"/>
  <c r="L85" i="6"/>
  <c r="AN437" i="6"/>
  <c r="AO437" i="6" s="1"/>
  <c r="AH437" i="6"/>
  <c r="AI438" i="6"/>
  <c r="K72" i="6"/>
  <c r="AO441" i="6"/>
  <c r="N330" i="6"/>
  <c r="AO470" i="6"/>
  <c r="AE414" i="6"/>
  <c r="J31" i="6"/>
  <c r="AH428" i="6"/>
  <c r="AI428" i="6" s="1"/>
  <c r="AN428" i="6"/>
  <c r="P122" i="6"/>
  <c r="Q155" i="6"/>
  <c r="P155" i="6" s="1"/>
  <c r="Z495" i="6"/>
  <c r="AI439" i="6"/>
  <c r="N194" i="6"/>
  <c r="N195" i="6" s="1"/>
  <c r="L233" i="6"/>
  <c r="L195" i="6"/>
  <c r="AH451" i="6"/>
  <c r="Z425" i="6"/>
  <c r="N250" i="6"/>
  <c r="N251" i="6" s="1"/>
  <c r="AN436" i="6"/>
  <c r="AO436" i="6" s="1"/>
  <c r="AH436" i="6"/>
  <c r="AI436" i="6" s="1"/>
  <c r="AE409" i="6"/>
  <c r="AH448" i="6"/>
  <c r="AI448" i="6" s="1"/>
  <c r="AN424" i="6"/>
  <c r="AO424" i="6" s="1"/>
  <c r="AH424" i="6"/>
  <c r="AI424" i="6" s="1"/>
  <c r="S351" i="6"/>
  <c r="N351" i="6"/>
  <c r="K351" i="6"/>
  <c r="AI411" i="6"/>
  <c r="Y411" i="6"/>
  <c r="K54" i="6"/>
  <c r="AL415" i="6"/>
  <c r="AN415" i="6" s="1"/>
  <c r="AN445" i="6"/>
  <c r="AO445" i="6" s="1"/>
  <c r="AH445" i="6"/>
  <c r="AN435" i="6"/>
  <c r="AO435" i="6" s="1"/>
  <c r="AH435" i="6"/>
  <c r="Z449" i="6"/>
  <c r="AI449" i="6" s="1"/>
  <c r="AI445" i="6"/>
  <c r="N108" i="6"/>
  <c r="N109" i="6" s="1"/>
  <c r="S108" i="6"/>
  <c r="S109" i="6" s="1"/>
  <c r="L165" i="6"/>
  <c r="F54" i="6"/>
  <c r="N43" i="6"/>
  <c r="N54" i="6" s="1"/>
  <c r="Z422" i="6"/>
  <c r="Z433" i="6" s="1"/>
  <c r="M108" i="6"/>
  <c r="M109" i="6" s="1"/>
  <c r="R108" i="6"/>
  <c r="R109" i="6" s="1"/>
  <c r="K108" i="6"/>
  <c r="AI437" i="6"/>
  <c r="AL451" i="6"/>
  <c r="AO451" i="6" s="1"/>
  <c r="AF419" i="6"/>
  <c r="AE413" i="6"/>
  <c r="AH413" i="6"/>
  <c r="AB451" i="1"/>
  <c r="Z427" i="6"/>
  <c r="AI427" i="6" s="1"/>
  <c r="AO421" i="6"/>
  <c r="AL478" i="6"/>
  <c r="AO478" i="6" s="1"/>
  <c r="Z415" i="6"/>
  <c r="S31" i="6"/>
  <c r="Z465" i="6"/>
  <c r="AI465" i="6" s="1"/>
  <c r="Z463" i="6"/>
  <c r="AH463" i="6" s="1"/>
  <c r="AN476" i="6"/>
  <c r="AH476" i="6"/>
  <c r="AI476" i="6" s="1"/>
  <c r="N185" i="6"/>
  <c r="N186" i="6" s="1"/>
  <c r="AH432" i="6"/>
  <c r="AN429" i="6"/>
  <c r="AO429" i="6" s="1"/>
  <c r="AH429" i="6"/>
  <c r="AI429" i="6" s="1"/>
  <c r="Q54" i="6"/>
  <c r="AL422" i="6"/>
  <c r="S43" i="6"/>
  <c r="S54" i="6" s="1"/>
  <c r="AL463" i="6"/>
  <c r="AL466" i="6" s="1"/>
  <c r="AO466" i="6" s="1"/>
  <c r="AN427" i="6"/>
  <c r="P312" i="1"/>
  <c r="P297" i="1"/>
  <c r="P300" i="1"/>
  <c r="E307" i="1"/>
  <c r="AB440" i="1"/>
  <c r="AB449" i="1"/>
  <c r="K307" i="1"/>
  <c r="K296" i="1"/>
  <c r="E298" i="1"/>
  <c r="K299" i="1"/>
  <c r="P307" i="1"/>
  <c r="P296" i="1"/>
  <c r="E308" i="1"/>
  <c r="AB472" i="1"/>
  <c r="F185" i="1"/>
  <c r="P302" i="1"/>
  <c r="P298" i="1"/>
  <c r="K308" i="1"/>
  <c r="AB462" i="1"/>
  <c r="P301" i="1"/>
  <c r="K300" i="1"/>
  <c r="AB410" i="1"/>
  <c r="AB429" i="1"/>
  <c r="AB459" i="1"/>
  <c r="AB469" i="1"/>
  <c r="AB413" i="1"/>
  <c r="AB453" i="1"/>
  <c r="AB455" i="1"/>
  <c r="AB477" i="1"/>
  <c r="AB420" i="1"/>
  <c r="AB423" i="1"/>
  <c r="AB441" i="1"/>
  <c r="AB411" i="1"/>
  <c r="AB427" i="1"/>
  <c r="AB414" i="1"/>
  <c r="AB470" i="1"/>
  <c r="AB424" i="1"/>
  <c r="AB439" i="1"/>
  <c r="AB458" i="1"/>
  <c r="P311" i="1"/>
  <c r="AB473" i="1"/>
  <c r="AB436" i="1"/>
  <c r="AB444" i="1"/>
  <c r="AN427" i="15" l="1"/>
  <c r="AN449" i="5"/>
  <c r="P349" i="6"/>
  <c r="Q399" i="6"/>
  <c r="AL419" i="5"/>
  <c r="P351" i="15"/>
  <c r="Q399" i="15"/>
  <c r="AN426" i="15"/>
  <c r="AN450" i="5"/>
  <c r="AJ466" i="5"/>
  <c r="AJ419" i="5"/>
  <c r="AJ407" i="5"/>
  <c r="AJ409" i="5"/>
  <c r="AJ413" i="5"/>
  <c r="AJ414" i="5"/>
  <c r="AJ411" i="5"/>
  <c r="AN419" i="5"/>
  <c r="AO419" i="5" s="1"/>
  <c r="AH481" i="5"/>
  <c r="AI481" i="5" s="1"/>
  <c r="AD481" i="5"/>
  <c r="AS481" i="5"/>
  <c r="AH464" i="5"/>
  <c r="AO436" i="5"/>
  <c r="AG411" i="5"/>
  <c r="M27" i="5"/>
  <c r="M28" i="5" s="1"/>
  <c r="R27" i="5"/>
  <c r="R28" i="5" s="1"/>
  <c r="K27" i="5"/>
  <c r="AH451" i="5"/>
  <c r="D314" i="5"/>
  <c r="E314" i="5" s="1"/>
  <c r="E309" i="5"/>
  <c r="S72" i="5"/>
  <c r="AH433" i="5"/>
  <c r="AI433" i="5" s="1"/>
  <c r="AD433" i="5"/>
  <c r="M194" i="5"/>
  <c r="P351" i="5"/>
  <c r="AH449" i="5"/>
  <c r="E287" i="5"/>
  <c r="F289" i="5"/>
  <c r="N289" i="5" s="1"/>
  <c r="AK415" i="5"/>
  <c r="AJ415" i="5"/>
  <c r="AO415" i="5"/>
  <c r="AO417" i="5"/>
  <c r="AK417" i="5"/>
  <c r="AH425" i="5"/>
  <c r="AI423" i="5"/>
  <c r="AI463" i="5"/>
  <c r="Z466" i="5"/>
  <c r="AH463" i="5"/>
  <c r="S155" i="5"/>
  <c r="AI410" i="5"/>
  <c r="Y410" i="5"/>
  <c r="AG410" i="5" s="1"/>
  <c r="N266" i="1"/>
  <c r="AN479" i="5"/>
  <c r="AN478" i="5"/>
  <c r="F74" i="5"/>
  <c r="E41" i="5"/>
  <c r="S85" i="5"/>
  <c r="AH432" i="5"/>
  <c r="AM414" i="5"/>
  <c r="AG414" i="5"/>
  <c r="P314" i="5"/>
  <c r="R314" i="5"/>
  <c r="E231" i="5"/>
  <c r="Z419" i="5"/>
  <c r="S251" i="5"/>
  <c r="AI416" i="5"/>
  <c r="Y416" i="5"/>
  <c r="AG416" i="5" s="1"/>
  <c r="AM416" i="5"/>
  <c r="AL481" i="5"/>
  <c r="AN481" i="5" s="1"/>
  <c r="AH450" i="5"/>
  <c r="Y412" i="5"/>
  <c r="AH412" i="5"/>
  <c r="AI412" i="5" s="1"/>
  <c r="N28" i="5"/>
  <c r="S314" i="5"/>
  <c r="S315" i="5" s="1"/>
  <c r="N314" i="5"/>
  <c r="N315" i="5" s="1"/>
  <c r="L353" i="5"/>
  <c r="K349" i="5"/>
  <c r="K330" i="5"/>
  <c r="AH416" i="5"/>
  <c r="AF468" i="5"/>
  <c r="AI415" i="5"/>
  <c r="Y415" i="5"/>
  <c r="AG415" i="5" s="1"/>
  <c r="AN407" i="5"/>
  <c r="AO407" i="5" s="1"/>
  <c r="AF483" i="5"/>
  <c r="AH407" i="5"/>
  <c r="AI407" i="5" s="1"/>
  <c r="AS407" i="5"/>
  <c r="Q195" i="5"/>
  <c r="R194" i="5" s="1"/>
  <c r="Q233" i="5"/>
  <c r="S233" i="5" s="1"/>
  <c r="E351" i="5"/>
  <c r="F353" i="5"/>
  <c r="AD419" i="5"/>
  <c r="AO438" i="5"/>
  <c r="AK410" i="5"/>
  <c r="AJ410" i="5"/>
  <c r="Z433" i="5"/>
  <c r="X433" i="5" s="1"/>
  <c r="Z406" i="5"/>
  <c r="Y448" i="5" s="1"/>
  <c r="Q353" i="5"/>
  <c r="P353" i="5" s="1"/>
  <c r="P349" i="5"/>
  <c r="P330" i="5"/>
  <c r="M108" i="5"/>
  <c r="M109" i="5" s="1"/>
  <c r="AM413" i="5"/>
  <c r="AG413" i="5"/>
  <c r="Y417" i="5"/>
  <c r="AG417" i="5" s="1"/>
  <c r="AI417" i="5"/>
  <c r="S165" i="5"/>
  <c r="N165" i="5"/>
  <c r="N41" i="5"/>
  <c r="N85" i="5" s="1"/>
  <c r="S242" i="1"/>
  <c r="AN410" i="5"/>
  <c r="AO410" i="5" s="1"/>
  <c r="P41" i="5"/>
  <c r="Q74" i="5"/>
  <c r="AH452" i="5"/>
  <c r="AI452" i="5" s="1"/>
  <c r="AH465" i="5"/>
  <c r="AI438" i="5"/>
  <c r="AK412" i="5"/>
  <c r="AJ412" i="5"/>
  <c r="AN412" i="5"/>
  <c r="AO412" i="5" s="1"/>
  <c r="P231" i="5"/>
  <c r="K74" i="5"/>
  <c r="AN417" i="5"/>
  <c r="AM409" i="5"/>
  <c r="M314" i="5"/>
  <c r="K314" i="5"/>
  <c r="AF406" i="5"/>
  <c r="AH426" i="5"/>
  <c r="AH423" i="5"/>
  <c r="AN452" i="5"/>
  <c r="AH436" i="5"/>
  <c r="AI436" i="5" s="1"/>
  <c r="N287" i="5"/>
  <c r="AL452" i="5"/>
  <c r="AO452" i="5" s="1"/>
  <c r="F195" i="5"/>
  <c r="F233" i="5"/>
  <c r="N233" i="5" s="1"/>
  <c r="Y418" i="5"/>
  <c r="AG418" i="5" s="1"/>
  <c r="AI418" i="5"/>
  <c r="AL433" i="5"/>
  <c r="AJ433" i="5" s="1"/>
  <c r="AH417" i="5"/>
  <c r="S74" i="15"/>
  <c r="K54" i="15"/>
  <c r="K24" i="15"/>
  <c r="K33" i="15"/>
  <c r="K31" i="15"/>
  <c r="K37" i="15"/>
  <c r="K36" i="15"/>
  <c r="K32" i="15"/>
  <c r="K34" i="15"/>
  <c r="K35" i="15"/>
  <c r="AI463" i="15"/>
  <c r="Z466" i="15"/>
  <c r="AN425" i="15"/>
  <c r="S315" i="15"/>
  <c r="Q353" i="15"/>
  <c r="AD452" i="15"/>
  <c r="AN478" i="15"/>
  <c r="AO412" i="15"/>
  <c r="AK412" i="15"/>
  <c r="AK413" i="15"/>
  <c r="AN413" i="15"/>
  <c r="AO413" i="15" s="1"/>
  <c r="AK417" i="15"/>
  <c r="AO417" i="15"/>
  <c r="AI418" i="15"/>
  <c r="Y418" i="15"/>
  <c r="AG418" i="15" s="1"/>
  <c r="AD466" i="15"/>
  <c r="O24" i="15"/>
  <c r="AH425" i="15"/>
  <c r="P349" i="15"/>
  <c r="AL481" i="15"/>
  <c r="AN481" i="15" s="1"/>
  <c r="AN466" i="1"/>
  <c r="K314" i="15"/>
  <c r="M314" i="15"/>
  <c r="AF406" i="15"/>
  <c r="Y413" i="15"/>
  <c r="AI413" i="15"/>
  <c r="AH413" i="15"/>
  <c r="AH463" i="15"/>
  <c r="AH466" i="15" s="1"/>
  <c r="Y415" i="15"/>
  <c r="AH415" i="15"/>
  <c r="AI415" i="15" s="1"/>
  <c r="N165" i="15"/>
  <c r="M14" i="15"/>
  <c r="D27" i="15"/>
  <c r="E27" i="15" s="1"/>
  <c r="E13" i="15"/>
  <c r="Y409" i="15"/>
  <c r="AK416" i="15"/>
  <c r="AO416" i="15"/>
  <c r="AI416" i="15"/>
  <c r="Y416" i="15"/>
  <c r="AG416" i="15" s="1"/>
  <c r="Z433" i="15"/>
  <c r="AH421" i="15"/>
  <c r="AI421" i="15" s="1"/>
  <c r="F74" i="15"/>
  <c r="E41" i="15"/>
  <c r="N41" i="15"/>
  <c r="N351" i="15"/>
  <c r="N349" i="1"/>
  <c r="AN412" i="15"/>
  <c r="AH481" i="15"/>
  <c r="AI481" i="15" s="1"/>
  <c r="AD481" i="15"/>
  <c r="AS481" i="15"/>
  <c r="E287" i="15"/>
  <c r="F289" i="15"/>
  <c r="N289" i="15" s="1"/>
  <c r="N287" i="15"/>
  <c r="AG410" i="15"/>
  <c r="AM410" i="15"/>
  <c r="N14" i="15"/>
  <c r="F27" i="15"/>
  <c r="D31" i="15"/>
  <c r="Y410" i="15"/>
  <c r="Y412" i="15"/>
  <c r="AI412" i="15"/>
  <c r="E72" i="15"/>
  <c r="AH419" i="15"/>
  <c r="AI419" i="15" s="1"/>
  <c r="AD419" i="15"/>
  <c r="AF468" i="15"/>
  <c r="E155" i="15"/>
  <c r="F165" i="15"/>
  <c r="D314" i="15"/>
  <c r="E309" i="15"/>
  <c r="Z419" i="15"/>
  <c r="P155" i="15"/>
  <c r="Q165" i="15"/>
  <c r="S165" i="15" s="1"/>
  <c r="AN470" i="15"/>
  <c r="AO470" i="15" s="1"/>
  <c r="F233" i="15"/>
  <c r="N233" i="15" s="1"/>
  <c r="F195" i="15"/>
  <c r="M194" i="15" s="1"/>
  <c r="E210" i="15"/>
  <c r="N194" i="15"/>
  <c r="N195" i="15" s="1"/>
  <c r="E229" i="15"/>
  <c r="S314" i="15"/>
  <c r="L353" i="15"/>
  <c r="N314" i="15"/>
  <c r="N315" i="15" s="1"/>
  <c r="K349" i="15"/>
  <c r="K330" i="15"/>
  <c r="P231" i="15"/>
  <c r="S231" i="15"/>
  <c r="AO418" i="15"/>
  <c r="AK418" i="15"/>
  <c r="K27" i="15"/>
  <c r="R27" i="15"/>
  <c r="R28" i="15" s="1"/>
  <c r="M27" i="15"/>
  <c r="M28" i="15" s="1"/>
  <c r="P13" i="15"/>
  <c r="O27" i="15"/>
  <c r="AK409" i="15"/>
  <c r="M309" i="15"/>
  <c r="E54" i="15"/>
  <c r="AG412" i="15"/>
  <c r="AM412" i="15"/>
  <c r="N72" i="15"/>
  <c r="AO455" i="1"/>
  <c r="S155" i="15"/>
  <c r="S399" i="15"/>
  <c r="AK415" i="15"/>
  <c r="AN415" i="15"/>
  <c r="AO415" i="15" s="1"/>
  <c r="AN449" i="15"/>
  <c r="S72" i="15"/>
  <c r="AG411" i="15"/>
  <c r="AM411" i="15"/>
  <c r="AM409" i="15"/>
  <c r="AG409" i="15"/>
  <c r="AN479" i="15"/>
  <c r="AI417" i="15"/>
  <c r="Y417" i="15"/>
  <c r="AM417" i="15" s="1"/>
  <c r="AI451" i="15"/>
  <c r="AH451" i="15"/>
  <c r="P309" i="15"/>
  <c r="O314" i="15"/>
  <c r="R309" i="15"/>
  <c r="AI497" i="15"/>
  <c r="AH497" i="15"/>
  <c r="AN450" i="15"/>
  <c r="AN452" i="15" s="1"/>
  <c r="S397" i="15"/>
  <c r="AL419" i="15"/>
  <c r="AI464" i="15"/>
  <c r="AH464" i="15"/>
  <c r="AH450" i="15"/>
  <c r="Y414" i="15"/>
  <c r="AO451" i="15"/>
  <c r="AN451" i="15"/>
  <c r="AI495" i="15"/>
  <c r="AH495" i="15"/>
  <c r="AO434" i="15"/>
  <c r="AL433" i="15"/>
  <c r="AN421" i="15"/>
  <c r="AO421" i="15" s="1"/>
  <c r="AF407" i="15"/>
  <c r="L85" i="15"/>
  <c r="S27" i="15"/>
  <c r="N27" i="15"/>
  <c r="K41" i="15"/>
  <c r="AM414" i="15"/>
  <c r="AG414" i="15"/>
  <c r="N285" i="1"/>
  <c r="AM413" i="15"/>
  <c r="AG413" i="15"/>
  <c r="AK411" i="15"/>
  <c r="AL466" i="15"/>
  <c r="AO466" i="15" s="1"/>
  <c r="Q27" i="15"/>
  <c r="P54" i="15" s="1"/>
  <c r="S14" i="15"/>
  <c r="O31" i="15"/>
  <c r="D24" i="15"/>
  <c r="M24" i="15" s="1"/>
  <c r="AH452" i="15"/>
  <c r="AI452" i="15" s="1"/>
  <c r="AL452" i="15"/>
  <c r="AK412" i="6"/>
  <c r="AI415" i="6"/>
  <c r="Y415" i="6"/>
  <c r="AM415" i="6" s="1"/>
  <c r="N165" i="6"/>
  <c r="AM409" i="6"/>
  <c r="AG409" i="6"/>
  <c r="AD433" i="6"/>
  <c r="AH433" i="6"/>
  <c r="AI433" i="6" s="1"/>
  <c r="AN478" i="6"/>
  <c r="AH426" i="6"/>
  <c r="AK417" i="6"/>
  <c r="AO417" i="6"/>
  <c r="AO425" i="6"/>
  <c r="AN425" i="6"/>
  <c r="AG413" i="6"/>
  <c r="AI495" i="6"/>
  <c r="AH495" i="6"/>
  <c r="Z452" i="6"/>
  <c r="M14" i="6"/>
  <c r="E13" i="6"/>
  <c r="D27" i="6"/>
  <c r="AM416" i="6"/>
  <c r="Q233" i="6"/>
  <c r="Q195" i="6"/>
  <c r="P229" i="6"/>
  <c r="S14" i="6"/>
  <c r="Q27" i="6"/>
  <c r="P41" i="6" s="1"/>
  <c r="Z419" i="6"/>
  <c r="Y409" i="6"/>
  <c r="AH409" i="6"/>
  <c r="AI409" i="6" s="1"/>
  <c r="AG415" i="6"/>
  <c r="F233" i="6"/>
  <c r="F195" i="6"/>
  <c r="M194" i="6" s="1"/>
  <c r="E210" i="6"/>
  <c r="E229" i="6"/>
  <c r="E309" i="6"/>
  <c r="D314" i="6"/>
  <c r="AI417" i="6"/>
  <c r="Y417" i="6"/>
  <c r="Y412" i="6"/>
  <c r="AG412" i="6" s="1"/>
  <c r="AK413" i="6"/>
  <c r="AO413" i="6"/>
  <c r="AI418" i="6"/>
  <c r="Y418" i="6"/>
  <c r="AM418" i="6" s="1"/>
  <c r="AH419" i="6"/>
  <c r="AI419" i="6" s="1"/>
  <c r="AD419" i="6"/>
  <c r="AF468" i="6"/>
  <c r="Y414" i="6"/>
  <c r="E155" i="6"/>
  <c r="F165" i="6"/>
  <c r="AO473" i="6"/>
  <c r="AN473" i="6"/>
  <c r="P54" i="6"/>
  <c r="AL433" i="6"/>
  <c r="AN451" i="6"/>
  <c r="AN452" i="6" s="1"/>
  <c r="AK418" i="6"/>
  <c r="AO418" i="6"/>
  <c r="AM412" i="6"/>
  <c r="AI425" i="6"/>
  <c r="AH425" i="6"/>
  <c r="F74" i="6"/>
  <c r="F401" i="6"/>
  <c r="AH450" i="6"/>
  <c r="AG411" i="6"/>
  <c r="AM411" i="6"/>
  <c r="AH452" i="6"/>
  <c r="AI452" i="6" s="1"/>
  <c r="O27" i="6"/>
  <c r="P27" i="6" s="1"/>
  <c r="P13" i="6"/>
  <c r="AK411" i="6"/>
  <c r="Q74" i="6"/>
  <c r="AN450" i="6"/>
  <c r="M24" i="6"/>
  <c r="K24" i="6"/>
  <c r="K34" i="6"/>
  <c r="K36" i="6"/>
  <c r="K35" i="6"/>
  <c r="K31" i="6"/>
  <c r="K33" i="6"/>
  <c r="K32" i="6"/>
  <c r="K37" i="6"/>
  <c r="AN412" i="6"/>
  <c r="AO412" i="6" s="1"/>
  <c r="Q165" i="6"/>
  <c r="S165" i="6" s="1"/>
  <c r="AG410" i="6"/>
  <c r="AM410" i="6"/>
  <c r="AK416" i="6"/>
  <c r="AO416" i="6"/>
  <c r="AI416" i="6"/>
  <c r="Y416" i="6"/>
  <c r="AG416" i="6" s="1"/>
  <c r="N155" i="6"/>
  <c r="AL452" i="6"/>
  <c r="L353" i="6"/>
  <c r="N314" i="6"/>
  <c r="N315" i="6" s="1"/>
  <c r="S314" i="6"/>
  <c r="K349" i="6"/>
  <c r="K330" i="6"/>
  <c r="AH412" i="6"/>
  <c r="AI412" i="6" s="1"/>
  <c r="AL419" i="6"/>
  <c r="AK409" i="6"/>
  <c r="AN409" i="6"/>
  <c r="AO409" i="6" s="1"/>
  <c r="O314" i="6"/>
  <c r="R309" i="6"/>
  <c r="P309" i="6"/>
  <c r="AN422" i="6"/>
  <c r="AO422" i="6" s="1"/>
  <c r="O31" i="6"/>
  <c r="AM414" i="6"/>
  <c r="AG414" i="6"/>
  <c r="AH427" i="6"/>
  <c r="AI422" i="6"/>
  <c r="AH414" i="6"/>
  <c r="AI414" i="6" s="1"/>
  <c r="P72" i="6"/>
  <c r="N41" i="6"/>
  <c r="AN418" i="6"/>
  <c r="AH417" i="6"/>
  <c r="AH449" i="6"/>
  <c r="K27" i="6"/>
  <c r="W82" i="6"/>
  <c r="Y413" i="6"/>
  <c r="AM413" i="6" s="1"/>
  <c r="AI413" i="6"/>
  <c r="S399" i="6"/>
  <c r="AI463" i="6"/>
  <c r="Z466" i="6"/>
  <c r="AK415" i="6"/>
  <c r="AO415" i="6"/>
  <c r="R194" i="6"/>
  <c r="AF483" i="6"/>
  <c r="AS407" i="6"/>
  <c r="Q353" i="6"/>
  <c r="S315" i="6"/>
  <c r="P330" i="6"/>
  <c r="O24" i="6"/>
  <c r="D24" i="6"/>
  <c r="AH464" i="6"/>
  <c r="AH466" i="6" s="1"/>
  <c r="AN417" i="6"/>
  <c r="K314" i="6"/>
  <c r="M314" i="6"/>
  <c r="S155" i="6"/>
  <c r="F27" i="6"/>
  <c r="N14" i="6"/>
  <c r="AN479" i="6"/>
  <c r="AH481" i="6"/>
  <c r="AI481" i="6" s="1"/>
  <c r="AD481" i="6"/>
  <c r="AS481" i="6"/>
  <c r="N233" i="6"/>
  <c r="S233" i="6"/>
  <c r="AL481" i="6"/>
  <c r="E231" i="6"/>
  <c r="S74" i="6"/>
  <c r="K74" i="6"/>
  <c r="AH418" i="6"/>
  <c r="Y410" i="6"/>
  <c r="AG417" i="6"/>
  <c r="AM417" i="6"/>
  <c r="F399" i="6"/>
  <c r="AO414" i="6"/>
  <c r="AK414" i="6"/>
  <c r="S397" i="6"/>
  <c r="S231" i="6"/>
  <c r="R14" i="6"/>
  <c r="AF406" i="6"/>
  <c r="AL448" i="1"/>
  <c r="AN433" i="5" l="1"/>
  <c r="P74" i="6"/>
  <c r="P27" i="15"/>
  <c r="P353" i="6"/>
  <c r="R27" i="6"/>
  <c r="R28" i="6" s="1"/>
  <c r="L401" i="5"/>
  <c r="S353" i="5"/>
  <c r="N353" i="5"/>
  <c r="E74" i="5"/>
  <c r="F85" i="5"/>
  <c r="AM418" i="5"/>
  <c r="AE483" i="5"/>
  <c r="AF489" i="5"/>
  <c r="P74" i="5"/>
  <c r="Q85" i="5"/>
  <c r="Z468" i="5"/>
  <c r="X419" i="5"/>
  <c r="AH419" i="5"/>
  <c r="AI419" i="5" s="1"/>
  <c r="S74" i="5"/>
  <c r="AM410" i="5"/>
  <c r="N74" i="5"/>
  <c r="AM415" i="5"/>
  <c r="AG412" i="5"/>
  <c r="AM412" i="5"/>
  <c r="AH466" i="5"/>
  <c r="AI466" i="5" s="1"/>
  <c r="AO433" i="5"/>
  <c r="AM417" i="5"/>
  <c r="F401" i="5"/>
  <c r="AH468" i="5"/>
  <c r="AI468" i="5" s="1"/>
  <c r="AD468" i="5"/>
  <c r="AP468" i="5"/>
  <c r="AS468" i="5" s="1"/>
  <c r="X466" i="5"/>
  <c r="AJ452" i="5"/>
  <c r="AO481" i="5"/>
  <c r="AL468" i="5"/>
  <c r="AO433" i="15"/>
  <c r="AN433" i="15"/>
  <c r="AP468" i="15"/>
  <c r="AS468" i="15" s="1"/>
  <c r="AD468" i="15"/>
  <c r="AL468" i="15"/>
  <c r="AN419" i="15"/>
  <c r="AO419" i="15" s="1"/>
  <c r="E74" i="15"/>
  <c r="N74" i="15"/>
  <c r="AM418" i="15"/>
  <c r="AH433" i="15"/>
  <c r="AI433" i="15" s="1"/>
  <c r="P353" i="15"/>
  <c r="P24" i="15"/>
  <c r="P33" i="15"/>
  <c r="P36" i="15"/>
  <c r="P39" i="15"/>
  <c r="P38" i="15"/>
  <c r="P40" i="15"/>
  <c r="P32" i="15"/>
  <c r="P31" i="15"/>
  <c r="P37" i="15"/>
  <c r="P35" i="15"/>
  <c r="P34" i="15"/>
  <c r="E39" i="15"/>
  <c r="E24" i="15"/>
  <c r="E38" i="15"/>
  <c r="E36" i="15"/>
  <c r="E31" i="15"/>
  <c r="E33" i="15"/>
  <c r="E40" i="15"/>
  <c r="E32" i="15"/>
  <c r="E34" i="15"/>
  <c r="E37" i="15"/>
  <c r="E35" i="15"/>
  <c r="N28" i="15"/>
  <c r="N85" i="15"/>
  <c r="Z468" i="15"/>
  <c r="AO481" i="15"/>
  <c r="AI466" i="15"/>
  <c r="F401" i="15"/>
  <c r="AO452" i="15"/>
  <c r="R314" i="15"/>
  <c r="P314" i="15"/>
  <c r="AL406" i="15"/>
  <c r="AL407" i="15"/>
  <c r="AN407" i="15" s="1"/>
  <c r="Q85" i="15"/>
  <c r="S28" i="15"/>
  <c r="P72" i="15"/>
  <c r="P41" i="15"/>
  <c r="AS407" i="15"/>
  <c r="AF483" i="15"/>
  <c r="AD433" i="15"/>
  <c r="AG417" i="15"/>
  <c r="L401" i="15"/>
  <c r="S353" i="15"/>
  <c r="N353" i="15"/>
  <c r="E314" i="15"/>
  <c r="Z406" i="15"/>
  <c r="Y448" i="15" s="1"/>
  <c r="AM415" i="15"/>
  <c r="AG415" i="15"/>
  <c r="AM416" i="15"/>
  <c r="S85" i="15"/>
  <c r="Z407" i="15"/>
  <c r="F85" i="15"/>
  <c r="P74" i="15"/>
  <c r="Z407" i="6"/>
  <c r="F85" i="6"/>
  <c r="N27" i="6"/>
  <c r="E72" i="6"/>
  <c r="AL468" i="6"/>
  <c r="AN468" i="6" s="1"/>
  <c r="E54" i="6"/>
  <c r="E74" i="6"/>
  <c r="E27" i="6"/>
  <c r="AN481" i="6"/>
  <c r="AO481" i="6" s="1"/>
  <c r="E24" i="6"/>
  <c r="E33" i="6"/>
  <c r="E32" i="6"/>
  <c r="E39" i="6"/>
  <c r="E38" i="6"/>
  <c r="E40" i="6"/>
  <c r="E35" i="6"/>
  <c r="E36" i="6"/>
  <c r="E34" i="6"/>
  <c r="E31" i="6"/>
  <c r="E37" i="6"/>
  <c r="P24" i="6"/>
  <c r="P32" i="6"/>
  <c r="P33" i="6"/>
  <c r="P39" i="6"/>
  <c r="P40" i="6"/>
  <c r="P38" i="6"/>
  <c r="P37" i="6"/>
  <c r="P35" i="6"/>
  <c r="P31" i="6"/>
  <c r="P34" i="6"/>
  <c r="P36" i="6"/>
  <c r="M27" i="6"/>
  <c r="M28" i="6" s="1"/>
  <c r="AE483" i="6"/>
  <c r="AF489" i="6"/>
  <c r="AG418" i="6"/>
  <c r="X452" i="6"/>
  <c r="E41" i="6"/>
  <c r="N353" i="6"/>
  <c r="L401" i="6"/>
  <c r="S353" i="6"/>
  <c r="AN419" i="6"/>
  <c r="AO419" i="6" s="1"/>
  <c r="X419" i="6"/>
  <c r="Z468" i="6"/>
  <c r="X468" i="6" s="1"/>
  <c r="N74" i="6"/>
  <c r="AI466" i="6"/>
  <c r="X466" i="6"/>
  <c r="R314" i="6"/>
  <c r="P314" i="6"/>
  <c r="AL406" i="6"/>
  <c r="AO452" i="6"/>
  <c r="AD468" i="6"/>
  <c r="AP468" i="6"/>
  <c r="AS468" i="6" s="1"/>
  <c r="E314" i="6"/>
  <c r="Z406" i="6"/>
  <c r="Y448" i="6" s="1"/>
  <c r="AL407" i="6"/>
  <c r="Q85" i="6"/>
  <c r="S27" i="6"/>
  <c r="S85" i="6" s="1"/>
  <c r="AN433" i="6"/>
  <c r="AO433" i="6" s="1"/>
  <c r="D96" i="1"/>
  <c r="F96" i="1"/>
  <c r="G96" i="1"/>
  <c r="H96" i="1" s="1"/>
  <c r="I96" i="1"/>
  <c r="J96" i="1"/>
  <c r="L96" i="1"/>
  <c r="A96" i="1"/>
  <c r="AJ468" i="5" l="1"/>
  <c r="AL483" i="5"/>
  <c r="AE489" i="5"/>
  <c r="AF498" i="5"/>
  <c r="AN468" i="5"/>
  <c r="AO468" i="5" s="1"/>
  <c r="X468" i="5"/>
  <c r="Z483" i="5"/>
  <c r="Z483" i="15"/>
  <c r="X481" i="15"/>
  <c r="X452" i="15"/>
  <c r="X468" i="15"/>
  <c r="AH468" i="15"/>
  <c r="AI468" i="15" s="1"/>
  <c r="AH483" i="15"/>
  <c r="AI483" i="15" s="1"/>
  <c r="AE483" i="15"/>
  <c r="AF489" i="15"/>
  <c r="N96" i="1"/>
  <c r="M96" i="1"/>
  <c r="AO407" i="15"/>
  <c r="AJ452" i="15"/>
  <c r="AJ468" i="15"/>
  <c r="AL483" i="15"/>
  <c r="AK483" i="15" s="1"/>
  <c r="AJ419" i="15"/>
  <c r="AJ407" i="15"/>
  <c r="AJ466" i="15"/>
  <c r="AJ433" i="15"/>
  <c r="AJ409" i="15"/>
  <c r="AJ411" i="15"/>
  <c r="AJ414" i="15"/>
  <c r="AJ410" i="15"/>
  <c r="AJ415" i="15"/>
  <c r="AJ412" i="15"/>
  <c r="AJ413" i="15"/>
  <c r="AN468" i="15"/>
  <c r="AO468" i="15" s="1"/>
  <c r="AH407" i="15"/>
  <c r="AI407" i="15" s="1"/>
  <c r="X419" i="15"/>
  <c r="X466" i="15"/>
  <c r="X433" i="15"/>
  <c r="K96" i="1"/>
  <c r="AH468" i="6"/>
  <c r="AI468" i="6" s="1"/>
  <c r="AO468" i="6"/>
  <c r="S28" i="6"/>
  <c r="N85" i="6"/>
  <c r="N28" i="6"/>
  <c r="AJ419" i="6"/>
  <c r="AJ452" i="6"/>
  <c r="AJ468" i="6"/>
  <c r="AJ466" i="6"/>
  <c r="AJ407" i="6"/>
  <c r="AJ433" i="6"/>
  <c r="AL483" i="6"/>
  <c r="AJ411" i="6"/>
  <c r="AJ410" i="6"/>
  <c r="AJ413" i="6"/>
  <c r="AJ415" i="6"/>
  <c r="AJ412" i="6"/>
  <c r="AJ409" i="6"/>
  <c r="AN407" i="6"/>
  <c r="AO407" i="6" s="1"/>
  <c r="AJ414" i="6"/>
  <c r="AF488" i="6"/>
  <c r="AE489" i="6"/>
  <c r="AF498" i="6"/>
  <c r="Z483" i="6"/>
  <c r="X433" i="6"/>
  <c r="X481" i="6"/>
  <c r="AH407" i="6"/>
  <c r="AI407" i="6" s="1"/>
  <c r="E96" i="1"/>
  <c r="Z492" i="1"/>
  <c r="Z491" i="1"/>
  <c r="AH491" i="1" s="1"/>
  <c r="AI491" i="1" s="1"/>
  <c r="Z469" i="1"/>
  <c r="AH469" i="1" s="1"/>
  <c r="AI469" i="1" s="1"/>
  <c r="Z461" i="1"/>
  <c r="Z458" i="1"/>
  <c r="AH458" i="1" s="1"/>
  <c r="AI458" i="1" s="1"/>
  <c r="AN483" i="15" l="1"/>
  <c r="Y483" i="5"/>
  <c r="Z489" i="5"/>
  <c r="AH483" i="5"/>
  <c r="AI483" i="5" s="1"/>
  <c r="AL489" i="5"/>
  <c r="AK483" i="5"/>
  <c r="AN483" i="5"/>
  <c r="AO483" i="5" s="1"/>
  <c r="AF507" i="5"/>
  <c r="AE498" i="5"/>
  <c r="AF502" i="5"/>
  <c r="AF504" i="5"/>
  <c r="AH461" i="1"/>
  <c r="AI461" i="1" s="1"/>
  <c r="AI492" i="1"/>
  <c r="AH492" i="1"/>
  <c r="AF498" i="15"/>
  <c r="AE489" i="15"/>
  <c r="AL489" i="15"/>
  <c r="AO483" i="15"/>
  <c r="Y483" i="15"/>
  <c r="Z489" i="15"/>
  <c r="Y483" i="6"/>
  <c r="Z489" i="6"/>
  <c r="AH483" i="6"/>
  <c r="AI483" i="6" s="1"/>
  <c r="AE488" i="6"/>
  <c r="AL489" i="6"/>
  <c r="AN483" i="6"/>
  <c r="AO483" i="6" s="1"/>
  <c r="AF507" i="6"/>
  <c r="AE498" i="6"/>
  <c r="AF502" i="6"/>
  <c r="AF504" i="6"/>
  <c r="AK483" i="6"/>
  <c r="Z420" i="1"/>
  <c r="AH420" i="1" s="1"/>
  <c r="AI420" i="1" s="1"/>
  <c r="Z460" i="1"/>
  <c r="AH460" i="1" s="1"/>
  <c r="AI460" i="1" s="1"/>
  <c r="Z453" i="1"/>
  <c r="AH453" i="1" s="1"/>
  <c r="Z454" i="1"/>
  <c r="AH454" i="1" s="1"/>
  <c r="AI454" i="1" s="1"/>
  <c r="Z455" i="1"/>
  <c r="Z456" i="1"/>
  <c r="Z457" i="1"/>
  <c r="Z493" i="1"/>
  <c r="Z459" i="1"/>
  <c r="AH459" i="1" s="1"/>
  <c r="AI459" i="1" s="1"/>
  <c r="AL498" i="5" l="1"/>
  <c r="AK489" i="5"/>
  <c r="AN489" i="5"/>
  <c r="AO489" i="5" s="1"/>
  <c r="Z498" i="5"/>
  <c r="Y489" i="5"/>
  <c r="AH489" i="5"/>
  <c r="AI489" i="5" s="1"/>
  <c r="AL498" i="15"/>
  <c r="AN498" i="15" s="1"/>
  <c r="AK489" i="15"/>
  <c r="Z498" i="15"/>
  <c r="Y498" i="15" s="1"/>
  <c r="Y489" i="15"/>
  <c r="AI493" i="1"/>
  <c r="AH493" i="1"/>
  <c r="AH457" i="1"/>
  <c r="AI457" i="1" s="1"/>
  <c r="AI456" i="1"/>
  <c r="AH456" i="1"/>
  <c r="AH455" i="1"/>
  <c r="AI455" i="1" s="1"/>
  <c r="AI453" i="1"/>
  <c r="AF507" i="15"/>
  <c r="AE498" i="15"/>
  <c r="AF502" i="15"/>
  <c r="AH498" i="15"/>
  <c r="AI498" i="15" s="1"/>
  <c r="AF504" i="15"/>
  <c r="AH489" i="15"/>
  <c r="AI489" i="15" s="1"/>
  <c r="AN489" i="15"/>
  <c r="AO489" i="15" s="1"/>
  <c r="AL488" i="6"/>
  <c r="AL498" i="6"/>
  <c r="AN489" i="6"/>
  <c r="AO489" i="6" s="1"/>
  <c r="AK489" i="6"/>
  <c r="Z498" i="6"/>
  <c r="Z488" i="6"/>
  <c r="Y489" i="6"/>
  <c r="AH489" i="6"/>
  <c r="AI489" i="6" s="1"/>
  <c r="O96" i="1"/>
  <c r="R96" i="1" s="1"/>
  <c r="Q96" i="1"/>
  <c r="S96" i="1" s="1"/>
  <c r="Y498" i="5" l="1"/>
  <c r="AH498" i="5"/>
  <c r="AI498" i="5" s="1"/>
  <c r="AK498" i="5"/>
  <c r="AN498" i="5"/>
  <c r="AO498" i="5" s="1"/>
  <c r="AO498" i="15"/>
  <c r="AK498" i="15"/>
  <c r="Y488" i="6"/>
  <c r="AH488" i="6"/>
  <c r="AI488" i="6" s="1"/>
  <c r="Y498" i="6"/>
  <c r="AH498" i="6"/>
  <c r="AI498" i="6" s="1"/>
  <c r="AK498" i="6"/>
  <c r="AN498" i="6"/>
  <c r="AO498" i="6" s="1"/>
  <c r="AK488" i="6"/>
  <c r="AN488" i="6"/>
  <c r="AO488" i="6" s="1"/>
  <c r="P96" i="1"/>
  <c r="Q281" i="1" l="1"/>
  <c r="S281" i="1" s="1"/>
  <c r="Q225" i="1"/>
  <c r="S225" i="1" s="1"/>
  <c r="Q345" i="1" l="1"/>
  <c r="S345" i="1" s="1"/>
  <c r="S349" i="1" s="1"/>
  <c r="Q149" i="1"/>
  <c r="S149" i="1" s="1"/>
  <c r="Z495" i="1" l="1"/>
  <c r="Z494" i="1"/>
  <c r="AF424" i="1"/>
  <c r="AF423" i="1"/>
  <c r="AF448" i="1"/>
  <c r="AL464" i="1"/>
  <c r="AF473" i="1"/>
  <c r="AF471" i="1"/>
  <c r="Z476" i="1"/>
  <c r="AF418" i="1"/>
  <c r="AF430" i="1"/>
  <c r="AF449" i="1"/>
  <c r="Z411" i="1"/>
  <c r="AF432" i="1"/>
  <c r="AF475" i="1"/>
  <c r="AF436" i="1"/>
  <c r="AF427" i="1"/>
  <c r="AF435" i="1"/>
  <c r="AF434" i="1"/>
  <c r="AF425" i="1"/>
  <c r="AF409" i="1"/>
  <c r="AF442" i="1"/>
  <c r="AF470" i="1"/>
  <c r="AF410" i="1"/>
  <c r="AL470" i="1"/>
  <c r="AF446" i="1"/>
  <c r="Z412" i="1"/>
  <c r="Z424" i="1"/>
  <c r="AF474" i="1"/>
  <c r="Z436" i="1"/>
  <c r="AF412" i="1"/>
  <c r="AH412" i="1" s="1"/>
  <c r="AF417" i="1"/>
  <c r="Z439" i="1"/>
  <c r="Z447" i="1"/>
  <c r="AF439" i="1"/>
  <c r="AH439" i="1" s="1"/>
  <c r="AF478" i="1"/>
  <c r="AF414" i="1"/>
  <c r="Z474" i="1"/>
  <c r="AF426" i="1"/>
  <c r="AF445" i="1"/>
  <c r="AF437" i="1"/>
  <c r="Z444" i="1"/>
  <c r="AN417" i="1" l="1"/>
  <c r="AN418" i="1"/>
  <c r="AN425" i="1"/>
  <c r="AN448" i="1"/>
  <c r="AO448" i="1" s="1"/>
  <c r="AH474" i="1"/>
  <c r="AI474" i="1" s="1"/>
  <c r="AH475" i="1"/>
  <c r="AI475" i="1" s="1"/>
  <c r="AN475" i="1"/>
  <c r="AO475" i="1" s="1"/>
  <c r="AH424" i="1"/>
  <c r="AI424" i="1" s="1"/>
  <c r="AH470" i="1"/>
  <c r="AN470" i="1"/>
  <c r="AO470" i="1" s="1"/>
  <c r="AI439" i="1"/>
  <c r="AI412" i="1"/>
  <c r="AI494" i="1"/>
  <c r="AH494" i="1"/>
  <c r="AH435" i="1"/>
  <c r="AI435" i="1" s="1"/>
  <c r="AN427" i="1"/>
  <c r="AH436" i="1"/>
  <c r="AI436" i="1" s="1"/>
  <c r="AN426" i="1"/>
  <c r="AH446" i="1"/>
  <c r="AI446" i="1" s="1"/>
  <c r="AI495" i="1"/>
  <c r="AH495" i="1"/>
  <c r="AF441" i="1"/>
  <c r="AF440" i="1"/>
  <c r="Z413" i="1"/>
  <c r="AF476" i="1"/>
  <c r="Z437" i="1"/>
  <c r="AH437" i="1" s="1"/>
  <c r="Z445" i="1"/>
  <c r="Z409" i="1"/>
  <c r="AH409" i="1" s="1"/>
  <c r="AF421" i="1"/>
  <c r="Z428" i="1"/>
  <c r="Z435" i="1"/>
  <c r="Z415" i="1"/>
  <c r="AF444" i="1"/>
  <c r="AH444" i="1" s="1"/>
  <c r="AI444" i="1" s="1"/>
  <c r="AF477" i="1"/>
  <c r="Z430" i="1"/>
  <c r="AH430" i="1" s="1"/>
  <c r="AI430" i="1" s="1"/>
  <c r="Z480" i="1"/>
  <c r="AF422" i="1"/>
  <c r="AF438" i="1"/>
  <c r="AF413" i="1"/>
  <c r="AH413" i="1" s="1"/>
  <c r="Z441" i="1"/>
  <c r="Z497" i="1"/>
  <c r="AI497" i="1" s="1"/>
  <c r="Z431" i="1"/>
  <c r="Z442" i="1"/>
  <c r="AH442" i="1" s="1"/>
  <c r="AI442" i="1" s="1"/>
  <c r="AF429" i="1"/>
  <c r="AF472" i="1"/>
  <c r="Z414" i="1"/>
  <c r="AH414" i="1" s="1"/>
  <c r="AI414" i="1" s="1"/>
  <c r="Z410" i="1"/>
  <c r="AH410" i="1" s="1"/>
  <c r="AI410" i="1" s="1"/>
  <c r="AF416" i="1"/>
  <c r="AF450" i="1"/>
  <c r="Z434" i="1"/>
  <c r="AH434" i="1" s="1"/>
  <c r="AF411" i="1"/>
  <c r="AH411" i="1" s="1"/>
  <c r="AI411" i="1" s="1"/>
  <c r="AF428" i="1"/>
  <c r="AF431" i="1"/>
  <c r="Z422" i="1"/>
  <c r="AF415" i="1"/>
  <c r="Z438" i="1"/>
  <c r="Z421" i="1"/>
  <c r="AF447" i="1"/>
  <c r="AH447" i="1" s="1"/>
  <c r="AI447" i="1" s="1"/>
  <c r="AF480" i="1"/>
  <c r="Z446" i="1"/>
  <c r="Z475" i="1"/>
  <c r="AF443" i="1"/>
  <c r="Z470" i="1"/>
  <c r="Z429" i="1"/>
  <c r="Z472" i="1"/>
  <c r="Z443" i="1"/>
  <c r="Z448" i="1"/>
  <c r="AH448" i="1" s="1"/>
  <c r="AI448" i="1" s="1"/>
  <c r="AF497" i="1"/>
  <c r="AF451" i="1"/>
  <c r="AE417" i="1"/>
  <c r="AF479" i="1"/>
  <c r="AE418" i="1"/>
  <c r="Z471" i="1"/>
  <c r="AH471" i="1" s="1"/>
  <c r="AI471" i="1" s="1"/>
  <c r="Z423" i="1"/>
  <c r="AH423" i="1" s="1"/>
  <c r="AI423" i="1" s="1"/>
  <c r="Z473" i="1"/>
  <c r="AH473" i="1" s="1"/>
  <c r="AI473" i="1" s="1"/>
  <c r="Z440" i="1"/>
  <c r="AI440" i="1" s="1"/>
  <c r="AL465" i="1"/>
  <c r="AL471" i="1"/>
  <c r="AN471" i="1" s="1"/>
  <c r="AO471" i="1" s="1"/>
  <c r="AL463" i="1"/>
  <c r="AL497" i="1"/>
  <c r="AO497" i="1" s="1"/>
  <c r="AL495" i="1"/>
  <c r="AL479" i="1"/>
  <c r="AO479" i="1" s="1"/>
  <c r="AL472" i="1"/>
  <c r="AO472" i="1" s="1"/>
  <c r="AL477" i="1"/>
  <c r="AL475" i="1"/>
  <c r="AL474" i="1"/>
  <c r="AN474" i="1" s="1"/>
  <c r="AO474" i="1" s="1"/>
  <c r="AL473" i="1"/>
  <c r="AO473" i="1" s="1"/>
  <c r="AL476" i="1"/>
  <c r="AO476" i="1" s="1"/>
  <c r="AL478" i="1"/>
  <c r="AO478" i="1" s="1"/>
  <c r="Z451" i="1"/>
  <c r="AI451" i="1" s="1"/>
  <c r="Z417" i="1"/>
  <c r="AI417" i="1" s="1"/>
  <c r="Z477" i="1"/>
  <c r="AN478" i="1" l="1"/>
  <c r="AH440" i="1"/>
  <c r="AH441" i="1"/>
  <c r="AI441" i="1" s="1"/>
  <c r="AH429" i="1"/>
  <c r="AI429" i="1" s="1"/>
  <c r="AI434" i="1"/>
  <c r="AH480" i="1"/>
  <c r="AI480" i="1" s="1"/>
  <c r="AH477" i="1"/>
  <c r="AI477" i="1" s="1"/>
  <c r="AN477" i="1"/>
  <c r="AO477" i="1" s="1"/>
  <c r="AN472" i="1"/>
  <c r="AH472" i="1"/>
  <c r="AI472" i="1" s="1"/>
  <c r="AI431" i="1"/>
  <c r="AI421" i="1"/>
  <c r="AH421" i="1"/>
  <c r="AH415" i="1"/>
  <c r="AI415" i="1" s="1"/>
  <c r="AI409" i="1"/>
  <c r="AN473" i="1"/>
  <c r="AH445" i="1"/>
  <c r="AI445" i="1" s="1"/>
  <c r="AN479" i="1"/>
  <c r="AN497" i="1"/>
  <c r="AH497" i="1"/>
  <c r="AH428" i="1"/>
  <c r="AI428" i="1" s="1"/>
  <c r="AH443" i="1"/>
  <c r="AI443" i="1" s="1"/>
  <c r="AH438" i="1"/>
  <c r="AI438" i="1" s="1"/>
  <c r="AI437" i="1"/>
  <c r="AN451" i="1"/>
  <c r="AH451" i="1"/>
  <c r="AH431" i="1"/>
  <c r="AN450" i="1"/>
  <c r="AN476" i="1"/>
  <c r="AH476" i="1"/>
  <c r="AI476" i="1" s="1"/>
  <c r="AO495" i="1"/>
  <c r="AN495" i="1"/>
  <c r="AI470" i="1"/>
  <c r="AH422" i="1"/>
  <c r="AI422" i="1" s="1"/>
  <c r="AE416" i="1"/>
  <c r="AN416" i="1"/>
  <c r="AI413" i="1"/>
  <c r="AH417" i="1"/>
  <c r="AL466" i="1"/>
  <c r="AO466" i="1" s="1"/>
  <c r="AE497" i="1"/>
  <c r="Z479" i="1"/>
  <c r="AH479" i="1" s="1"/>
  <c r="AI479" i="1" s="1"/>
  <c r="Z426" i="1"/>
  <c r="Z416" i="1"/>
  <c r="AI416" i="1" s="1"/>
  <c r="Z418" i="1"/>
  <c r="Z427" i="1"/>
  <c r="Z449" i="1"/>
  <c r="Z478" i="1"/>
  <c r="AH478" i="1" s="1"/>
  <c r="AI478" i="1" s="1"/>
  <c r="Z450" i="1"/>
  <c r="AI450" i="1" s="1"/>
  <c r="Z425" i="1"/>
  <c r="Z432" i="1"/>
  <c r="AH416" i="1" l="1"/>
  <c r="AI432" i="1"/>
  <c r="AH432" i="1"/>
  <c r="AI425" i="1"/>
  <c r="AH425" i="1"/>
  <c r="AI427" i="1"/>
  <c r="AH427" i="1"/>
  <c r="AI449" i="1"/>
  <c r="AH449" i="1"/>
  <c r="AH450" i="1"/>
  <c r="AH452" i="1" s="1"/>
  <c r="AI452" i="1" s="1"/>
  <c r="AI418" i="1"/>
  <c r="AH418" i="1"/>
  <c r="AI426" i="1"/>
  <c r="AH426" i="1"/>
  <c r="Z452" i="1"/>
  <c r="Z433" i="1"/>
  <c r="AL480" i="1"/>
  <c r="AL481" i="1" l="1"/>
  <c r="AN480" i="1"/>
  <c r="AO480" i="1" s="1"/>
  <c r="AC452" i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F465" i="1" l="1"/>
  <c r="AF464" i="1"/>
  <c r="AF463" i="1"/>
  <c r="AC465" i="1"/>
  <c r="AC464" i="1"/>
  <c r="AC463" i="1"/>
  <c r="Z465" i="1"/>
  <c r="AI465" i="1" s="1"/>
  <c r="Z464" i="1"/>
  <c r="AI464" i="1" s="1"/>
  <c r="Z463" i="1"/>
  <c r="AI463" i="1" s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O362" i="1"/>
  <c r="R362" i="1" s="1"/>
  <c r="L394" i="1"/>
  <c r="L393" i="1"/>
  <c r="L392" i="1"/>
  <c r="L391" i="1"/>
  <c r="S391" i="1" s="1"/>
  <c r="L390" i="1"/>
  <c r="S390" i="1" s="1"/>
  <c r="L389" i="1"/>
  <c r="S389" i="1" s="1"/>
  <c r="L388" i="1"/>
  <c r="S388" i="1" s="1"/>
  <c r="L387" i="1"/>
  <c r="S387" i="1" s="1"/>
  <c r="L386" i="1"/>
  <c r="S386" i="1" s="1"/>
  <c r="L385" i="1"/>
  <c r="L384" i="1"/>
  <c r="L383" i="1"/>
  <c r="L382" i="1"/>
  <c r="L381" i="1"/>
  <c r="L380" i="1"/>
  <c r="L379" i="1"/>
  <c r="S379" i="1" s="1"/>
  <c r="L378" i="1"/>
  <c r="S378" i="1" s="1"/>
  <c r="L376" i="1"/>
  <c r="S376" i="1" s="1"/>
  <c r="L375" i="1"/>
  <c r="S375" i="1" s="1"/>
  <c r="L374" i="1"/>
  <c r="S374" i="1" s="1"/>
  <c r="L373" i="1"/>
  <c r="S373" i="1" s="1"/>
  <c r="L372" i="1"/>
  <c r="L371" i="1"/>
  <c r="L370" i="1"/>
  <c r="L369" i="1"/>
  <c r="L368" i="1"/>
  <c r="L367" i="1"/>
  <c r="L366" i="1"/>
  <c r="S366" i="1" s="1"/>
  <c r="L365" i="1"/>
  <c r="S365" i="1" s="1"/>
  <c r="J362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2" i="1"/>
  <c r="G362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93" i="1"/>
  <c r="S367" i="1" l="1"/>
  <c r="S380" i="1"/>
  <c r="S392" i="1"/>
  <c r="S393" i="1"/>
  <c r="S381" i="1"/>
  <c r="S369" i="1"/>
  <c r="S382" i="1"/>
  <c r="S394" i="1"/>
  <c r="S370" i="1"/>
  <c r="S383" i="1"/>
  <c r="AH463" i="1"/>
  <c r="AH466" i="1" s="1"/>
  <c r="S395" i="1"/>
  <c r="S368" i="1"/>
  <c r="S371" i="1"/>
  <c r="S384" i="1"/>
  <c r="AH464" i="1"/>
  <c r="S372" i="1"/>
  <c r="S385" i="1"/>
  <c r="AH465" i="1"/>
  <c r="Q176" i="1"/>
  <c r="I248" i="1"/>
  <c r="L176" i="1"/>
  <c r="Q242" i="1"/>
  <c r="Q179" i="1"/>
  <c r="Q192" i="1"/>
  <c r="I189" i="1"/>
  <c r="H362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30" i="1"/>
  <c r="I349" i="1"/>
  <c r="Q330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30" i="1"/>
  <c r="P360" i="1"/>
  <c r="H174" i="1"/>
  <c r="I210" i="1"/>
  <c r="L185" i="1"/>
  <c r="L182" i="1"/>
  <c r="Q266" i="1"/>
  <c r="P266" i="1" s="1"/>
  <c r="L304" i="1"/>
  <c r="H360" i="1"/>
  <c r="I395" i="1"/>
  <c r="H395" i="1" s="1"/>
  <c r="K360" i="1"/>
  <c r="Q377" i="1"/>
  <c r="P377" i="1" s="1"/>
  <c r="I185" i="1"/>
  <c r="I194" i="1" s="1"/>
  <c r="L377" i="1"/>
  <c r="S377" i="1" s="1"/>
  <c r="Q250" i="1"/>
  <c r="I377" i="1"/>
  <c r="L189" i="1"/>
  <c r="J304" i="1"/>
  <c r="Q395" i="1"/>
  <c r="P395" i="1" s="1"/>
  <c r="I266" i="1"/>
  <c r="I285" i="1"/>
  <c r="P295" i="1"/>
  <c r="Q349" i="1"/>
  <c r="L395" i="1"/>
  <c r="K395" i="1" s="1"/>
  <c r="Q362" i="1"/>
  <c r="S363" i="1" s="1"/>
  <c r="L362" i="1"/>
  <c r="S362" i="1" s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I97" i="1" s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M95" i="1" l="1"/>
  <c r="R95" i="1"/>
  <c r="N80" i="1"/>
  <c r="S80" i="1"/>
  <c r="S81" i="1"/>
  <c r="N81" i="1"/>
  <c r="N79" i="1"/>
  <c r="S79" i="1"/>
  <c r="N75" i="1"/>
  <c r="S75" i="1"/>
  <c r="R304" i="1"/>
  <c r="N76" i="1"/>
  <c r="S76" i="1"/>
  <c r="N77" i="1"/>
  <c r="S77" i="1"/>
  <c r="M94" i="1"/>
  <c r="R94" i="1"/>
  <c r="N95" i="1"/>
  <c r="S95" i="1"/>
  <c r="S78" i="1"/>
  <c r="N78" i="1"/>
  <c r="L97" i="1"/>
  <c r="J112" i="1" s="1"/>
  <c r="S94" i="1"/>
  <c r="S97" i="1" s="1"/>
  <c r="N94" i="1"/>
  <c r="S330" i="1"/>
  <c r="S304" i="1"/>
  <c r="S305" i="1" s="1"/>
  <c r="S210" i="1"/>
  <c r="N210" i="1"/>
  <c r="N185" i="1"/>
  <c r="N186" i="1" s="1"/>
  <c r="S185" i="1"/>
  <c r="K362" i="1"/>
  <c r="L309" i="1"/>
  <c r="L194" i="1"/>
  <c r="K194" i="1"/>
  <c r="G97" i="1"/>
  <c r="H97" i="1" s="1"/>
  <c r="D97" i="1"/>
  <c r="E113" i="1" s="1"/>
  <c r="F97" i="1"/>
  <c r="J97" i="1"/>
  <c r="Q97" i="1"/>
  <c r="O97" i="1"/>
  <c r="H99" i="1"/>
  <c r="E99" i="1"/>
  <c r="P99" i="1"/>
  <c r="K99" i="1"/>
  <c r="I397" i="1"/>
  <c r="H397" i="1" s="1"/>
  <c r="H94" i="1"/>
  <c r="P94" i="1"/>
  <c r="H330" i="1"/>
  <c r="H349" i="1"/>
  <c r="I287" i="1"/>
  <c r="I289" i="1" s="1"/>
  <c r="P349" i="1"/>
  <c r="H95" i="1"/>
  <c r="P95" i="1"/>
  <c r="P100" i="1"/>
  <c r="P330" i="1"/>
  <c r="K95" i="1"/>
  <c r="Q397" i="1"/>
  <c r="P397" i="1" s="1"/>
  <c r="Q351" i="1"/>
  <c r="P351" i="1" s="1"/>
  <c r="H266" i="1"/>
  <c r="H100" i="1"/>
  <c r="Q287" i="1"/>
  <c r="Q289" i="1" s="1"/>
  <c r="K304" i="1"/>
  <c r="L397" i="1"/>
  <c r="K100" i="1"/>
  <c r="H377" i="1"/>
  <c r="Q83" i="1"/>
  <c r="J309" i="1"/>
  <c r="K94" i="1"/>
  <c r="P285" i="1"/>
  <c r="E100" i="1"/>
  <c r="I195" i="1"/>
  <c r="K377" i="1"/>
  <c r="Q251" i="1"/>
  <c r="P362" i="1"/>
  <c r="O309" i="1"/>
  <c r="P304" i="1"/>
  <c r="G309" i="1"/>
  <c r="G314" i="1" s="1"/>
  <c r="H304" i="1"/>
  <c r="I251" i="1"/>
  <c r="H285" i="1"/>
  <c r="Q194" i="1"/>
  <c r="Q186" i="1"/>
  <c r="L186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H120" i="1" l="1"/>
  <c r="E119" i="1"/>
  <c r="R97" i="1"/>
  <c r="R98" i="1" s="1"/>
  <c r="E118" i="1"/>
  <c r="E114" i="1"/>
  <c r="M97" i="1"/>
  <c r="M98" i="1" s="1"/>
  <c r="S6" i="1"/>
  <c r="N6" i="1"/>
  <c r="S22" i="1"/>
  <c r="N22" i="1"/>
  <c r="S60" i="1"/>
  <c r="N60" i="1"/>
  <c r="N42" i="1"/>
  <c r="S42" i="1"/>
  <c r="R15" i="1"/>
  <c r="M15" i="1"/>
  <c r="S23" i="1"/>
  <c r="N23" i="1"/>
  <c r="N31" i="1"/>
  <c r="S31" i="1"/>
  <c r="S61" i="1"/>
  <c r="N61" i="1"/>
  <c r="N8" i="1"/>
  <c r="S8" i="1"/>
  <c r="N15" i="1"/>
  <c r="S15" i="1"/>
  <c r="S32" i="1"/>
  <c r="N32" i="1"/>
  <c r="S43" i="1"/>
  <c r="N43" i="1"/>
  <c r="S47" i="1"/>
  <c r="N47" i="1"/>
  <c r="N51" i="1"/>
  <c r="S51" i="1"/>
  <c r="N62" i="1"/>
  <c r="S62" i="1"/>
  <c r="S98" i="1"/>
  <c r="S21" i="1"/>
  <c r="N21" i="1"/>
  <c r="N9" i="1"/>
  <c r="S9" i="1"/>
  <c r="N19" i="1"/>
  <c r="S19" i="1"/>
  <c r="S33" i="1"/>
  <c r="N33" i="1"/>
  <c r="S63" i="1"/>
  <c r="N63" i="1"/>
  <c r="S50" i="1"/>
  <c r="N50" i="1"/>
  <c r="N59" i="1"/>
  <c r="S59" i="1"/>
  <c r="N10" i="1"/>
  <c r="S10" i="1"/>
  <c r="N34" i="1"/>
  <c r="S34" i="1"/>
  <c r="N64" i="1"/>
  <c r="S64" i="1"/>
  <c r="R6" i="1"/>
  <c r="M6" i="1"/>
  <c r="S11" i="1"/>
  <c r="N11" i="1"/>
  <c r="N35" i="1"/>
  <c r="S35" i="1"/>
  <c r="N44" i="1"/>
  <c r="S44" i="1"/>
  <c r="S48" i="1"/>
  <c r="N48" i="1"/>
  <c r="N52" i="1"/>
  <c r="S52" i="1"/>
  <c r="S65" i="1"/>
  <c r="N65" i="1"/>
  <c r="R7" i="1"/>
  <c r="M7" i="1"/>
  <c r="N12" i="1"/>
  <c r="S12" i="1"/>
  <c r="N36" i="1"/>
  <c r="S36" i="1"/>
  <c r="S66" i="1"/>
  <c r="N66" i="1"/>
  <c r="R12" i="1"/>
  <c r="M12" i="1"/>
  <c r="R8" i="1"/>
  <c r="M8" i="1"/>
  <c r="S37" i="1"/>
  <c r="N37" i="1"/>
  <c r="N55" i="1"/>
  <c r="S55" i="1"/>
  <c r="N67" i="1"/>
  <c r="S67" i="1"/>
  <c r="S46" i="1"/>
  <c r="N46" i="1"/>
  <c r="N7" i="1"/>
  <c r="S7" i="1"/>
  <c r="R9" i="1"/>
  <c r="M9" i="1"/>
  <c r="N38" i="1"/>
  <c r="S38" i="1"/>
  <c r="S45" i="1"/>
  <c r="N45" i="1"/>
  <c r="N49" i="1"/>
  <c r="S49" i="1"/>
  <c r="S53" i="1"/>
  <c r="N53" i="1"/>
  <c r="S56" i="1"/>
  <c r="N56" i="1"/>
  <c r="N69" i="1"/>
  <c r="S69" i="1"/>
  <c r="N97" i="1"/>
  <c r="N98" i="1" s="1"/>
  <c r="R10" i="1"/>
  <c r="M10" i="1"/>
  <c r="M17" i="1"/>
  <c r="R17" i="1"/>
  <c r="N39" i="1"/>
  <c r="S39" i="1"/>
  <c r="N57" i="1"/>
  <c r="S57" i="1"/>
  <c r="S70" i="1"/>
  <c r="N70" i="1"/>
  <c r="R11" i="1"/>
  <c r="M11" i="1"/>
  <c r="N17" i="1"/>
  <c r="S17" i="1"/>
  <c r="S40" i="1"/>
  <c r="N40" i="1"/>
  <c r="S58" i="1"/>
  <c r="N58" i="1"/>
  <c r="N71" i="1"/>
  <c r="S71" i="1"/>
  <c r="O314" i="1"/>
  <c r="R309" i="1"/>
  <c r="S397" i="1"/>
  <c r="K210" i="1"/>
  <c r="S194" i="1"/>
  <c r="S195" i="1" s="1"/>
  <c r="H119" i="1"/>
  <c r="S309" i="1"/>
  <c r="S310" i="1" s="1"/>
  <c r="H115" i="1"/>
  <c r="L195" i="1"/>
  <c r="H113" i="1"/>
  <c r="O112" i="1"/>
  <c r="H116" i="1"/>
  <c r="E120" i="1"/>
  <c r="E115" i="1"/>
  <c r="E117" i="1"/>
  <c r="E116" i="1"/>
  <c r="L314" i="1"/>
  <c r="K397" i="1"/>
  <c r="J314" i="1"/>
  <c r="E121" i="1"/>
  <c r="H121" i="1"/>
  <c r="H117" i="1"/>
  <c r="H114" i="1"/>
  <c r="H118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L399" i="1"/>
  <c r="I399" i="1"/>
  <c r="H287" i="1"/>
  <c r="P287" i="1"/>
  <c r="K309" i="1"/>
  <c r="Q399" i="1"/>
  <c r="Q353" i="1"/>
  <c r="P314" i="1"/>
  <c r="P309" i="1"/>
  <c r="H314" i="1"/>
  <c r="H309" i="1"/>
  <c r="Q195" i="1"/>
  <c r="P210" i="1"/>
  <c r="N13" i="1" l="1"/>
  <c r="S399" i="1"/>
  <c r="S54" i="1"/>
  <c r="N54" i="1"/>
  <c r="M13" i="1"/>
  <c r="R13" i="1"/>
  <c r="S13" i="1"/>
  <c r="R194" i="1"/>
  <c r="S314" i="1"/>
  <c r="S315" i="1" s="1"/>
  <c r="R314" i="1"/>
  <c r="K314" i="1"/>
  <c r="K330" i="1"/>
  <c r="O13" i="2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F362" i="1"/>
  <c r="D362" i="1"/>
  <c r="A360" i="1"/>
  <c r="A35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F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F179" i="1"/>
  <c r="N179" i="1" s="1"/>
  <c r="A178" i="1"/>
  <c r="A177" i="1"/>
  <c r="A176" i="1"/>
  <c r="A175" i="1"/>
  <c r="E174" i="1"/>
  <c r="A174" i="1"/>
  <c r="A173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L105" i="1"/>
  <c r="A105" i="1"/>
  <c r="A104" i="1"/>
  <c r="A103" i="1"/>
  <c r="F105" i="1"/>
  <c r="A102" i="1"/>
  <c r="A101" i="1"/>
  <c r="A100" i="1"/>
  <c r="A99" i="1"/>
  <c r="H98" i="1"/>
  <c r="A98" i="1"/>
  <c r="O108" i="1"/>
  <c r="J10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B40" i="1"/>
  <c r="A40" i="1" s="1"/>
  <c r="K39" i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9" i="1"/>
  <c r="B18" i="1"/>
  <c r="A18" i="1" s="1"/>
  <c r="P17" i="1"/>
  <c r="K17" i="1"/>
  <c r="E17" i="1"/>
  <c r="B17" i="1"/>
  <c r="A17" i="1" s="1"/>
  <c r="B16" i="1"/>
  <c r="A16" i="1" s="1"/>
  <c r="K15" i="1"/>
  <c r="B15" i="1"/>
  <c r="P15" i="1" s="1"/>
  <c r="B14" i="1"/>
  <c r="A14" i="1" s="1"/>
  <c r="O13" i="1"/>
  <c r="R14" i="1" s="1"/>
  <c r="J13" i="1"/>
  <c r="B13" i="1"/>
  <c r="A13" i="1" s="1"/>
  <c r="P12" i="1"/>
  <c r="K12" i="1"/>
  <c r="B12" i="1"/>
  <c r="A12" i="1" s="1"/>
  <c r="P11" i="1"/>
  <c r="K11" i="1"/>
  <c r="B11" i="1"/>
  <c r="P10" i="1"/>
  <c r="K10" i="1"/>
  <c r="B10" i="1"/>
  <c r="A10" i="1" s="1"/>
  <c r="P9" i="1"/>
  <c r="K9" i="1"/>
  <c r="B9" i="1"/>
  <c r="P8" i="1"/>
  <c r="K8" i="1"/>
  <c r="B8" i="1"/>
  <c r="A8" i="1" s="1"/>
  <c r="K7" i="1"/>
  <c r="B7" i="1"/>
  <c r="P7" i="1" s="1"/>
  <c r="K6" i="1"/>
  <c r="B6" i="1"/>
  <c r="A6" i="1" s="1"/>
  <c r="B5" i="1"/>
  <c r="A5" i="1" s="1"/>
  <c r="S266" i="1" l="1"/>
  <c r="R108" i="1"/>
  <c r="R109" i="1" s="1"/>
  <c r="N105" i="1"/>
  <c r="N106" i="1" s="1"/>
  <c r="F108" i="1"/>
  <c r="D113" i="1"/>
  <c r="D112" i="1"/>
  <c r="J113" i="1"/>
  <c r="AK418" i="1"/>
  <c r="AK417" i="1"/>
  <c r="AK416" i="1"/>
  <c r="AK432" i="1"/>
  <c r="AK497" i="1"/>
  <c r="AE414" i="1"/>
  <c r="AE415" i="1"/>
  <c r="AE410" i="1"/>
  <c r="AE413" i="1"/>
  <c r="AE412" i="1"/>
  <c r="AE411" i="1"/>
  <c r="A7" i="1"/>
  <c r="I10" i="2"/>
  <c r="L108" i="1"/>
  <c r="A21" i="1"/>
  <c r="K22" i="1"/>
  <c r="R22" i="1" s="1"/>
  <c r="A23" i="1"/>
  <c r="O24" i="1"/>
  <c r="A33" i="1"/>
  <c r="A15" i="1"/>
  <c r="E362" i="1"/>
  <c r="K23" i="1"/>
  <c r="R23" i="1" s="1"/>
  <c r="K21" i="1"/>
  <c r="R21" i="1" s="1"/>
  <c r="P6" i="1"/>
  <c r="G105" i="1"/>
  <c r="G108" i="1"/>
  <c r="H6" i="1"/>
  <c r="H22" i="1"/>
  <c r="A32" i="1"/>
  <c r="A44" i="1"/>
  <c r="A52" i="1"/>
  <c r="A76" i="1"/>
  <c r="E95" i="1"/>
  <c r="V485" i="1"/>
  <c r="A485" i="1" s="1"/>
  <c r="V402" i="1"/>
  <c r="C291" i="1"/>
  <c r="C356" i="1" s="1"/>
  <c r="C236" i="1"/>
  <c r="C168" i="1"/>
  <c r="C89" i="1"/>
  <c r="A81" i="1"/>
  <c r="P21" i="1"/>
  <c r="A9" i="1"/>
  <c r="H17" i="1"/>
  <c r="E21" i="1"/>
  <c r="I24" i="1"/>
  <c r="E23" i="1"/>
  <c r="J24" i="1"/>
  <c r="A39" i="1"/>
  <c r="P39" i="1"/>
  <c r="Q54" i="1"/>
  <c r="A46" i="1"/>
  <c r="F72" i="1"/>
  <c r="A78" i="1"/>
  <c r="O105" i="1"/>
  <c r="P97" i="1"/>
  <c r="I122" i="1"/>
  <c r="G112" i="1"/>
  <c r="E12" i="1"/>
  <c r="AO402" i="1"/>
  <c r="A11" i="1"/>
  <c r="A19" i="1"/>
  <c r="F24" i="1"/>
  <c r="D32" i="1" s="1"/>
  <c r="H23" i="1"/>
  <c r="J27" i="1"/>
  <c r="L41" i="1"/>
  <c r="A35" i="1"/>
  <c r="A80" i="1"/>
  <c r="E94" i="1"/>
  <c r="Q105" i="1"/>
  <c r="S105" i="1" s="1"/>
  <c r="J105" i="1"/>
  <c r="H112" i="1"/>
  <c r="A77" i="1"/>
  <c r="Q24" i="1"/>
  <c r="O32" i="1" s="1"/>
  <c r="K38" i="1"/>
  <c r="A42" i="1"/>
  <c r="A82" i="1"/>
  <c r="L122" i="1"/>
  <c r="E10" i="1"/>
  <c r="O27" i="1"/>
  <c r="P23" i="1"/>
  <c r="A79" i="1"/>
  <c r="K112" i="1"/>
  <c r="P112" i="1"/>
  <c r="L135" i="1"/>
  <c r="E185" i="1"/>
  <c r="M185" i="1" s="1"/>
  <c r="L242" i="1"/>
  <c r="Q135" i="1"/>
  <c r="I153" i="1"/>
  <c r="F173" i="1"/>
  <c r="F135" i="1"/>
  <c r="F250" i="1"/>
  <c r="F245" i="1"/>
  <c r="Q229" i="1"/>
  <c r="F229" i="1"/>
  <c r="F176" i="1"/>
  <c r="E250" i="1"/>
  <c r="F163" i="1"/>
  <c r="AF466" i="1"/>
  <c r="F349" i="1"/>
  <c r="E360" i="1"/>
  <c r="F377" i="1"/>
  <c r="F395" i="1"/>
  <c r="E395" i="1" s="1"/>
  <c r="F330" i="1"/>
  <c r="N330" i="1" s="1"/>
  <c r="AC466" i="1"/>
  <c r="Z466" i="1"/>
  <c r="AI466" i="1" s="1"/>
  <c r="S122" i="1" l="1"/>
  <c r="N108" i="1"/>
  <c r="N109" i="1" s="1"/>
  <c r="R27" i="1"/>
  <c r="R28" i="1" s="1"/>
  <c r="S135" i="1"/>
  <c r="N135" i="1"/>
  <c r="S106" i="1"/>
  <c r="Q108" i="1"/>
  <c r="P108" i="1" s="1"/>
  <c r="O113" i="1"/>
  <c r="E194" i="1"/>
  <c r="AL449" i="1"/>
  <c r="AL440" i="1"/>
  <c r="AL443" i="1"/>
  <c r="AN443" i="1" s="1"/>
  <c r="AO443" i="1" s="1"/>
  <c r="AL411" i="1"/>
  <c r="AN411" i="1" s="1"/>
  <c r="AO411" i="1" s="1"/>
  <c r="AL434" i="1"/>
  <c r="AN434" i="1" s="1"/>
  <c r="AL422" i="1"/>
  <c r="AN422" i="1" s="1"/>
  <c r="AO422" i="1" s="1"/>
  <c r="AL444" i="1"/>
  <c r="AL436" i="1"/>
  <c r="AL414" i="1"/>
  <c r="AN414" i="1" s="1"/>
  <c r="AO414" i="1" s="1"/>
  <c r="AL415" i="1"/>
  <c r="AN415" i="1" s="1"/>
  <c r="AO415" i="1" s="1"/>
  <c r="AL442" i="1"/>
  <c r="AL409" i="1"/>
  <c r="AN409" i="1" s="1"/>
  <c r="AO409" i="1" s="1"/>
  <c r="AL428" i="1"/>
  <c r="AN428" i="1" s="1"/>
  <c r="AO428" i="1" s="1"/>
  <c r="AL430" i="1"/>
  <c r="AN430" i="1" s="1"/>
  <c r="AO430" i="1" s="1"/>
  <c r="AL447" i="1"/>
  <c r="AN447" i="1" s="1"/>
  <c r="AO447" i="1" s="1"/>
  <c r="AL421" i="1"/>
  <c r="AN421" i="1" s="1"/>
  <c r="AO421" i="1" s="1"/>
  <c r="AL424" i="1"/>
  <c r="AN424" i="1" s="1"/>
  <c r="AO424" i="1" s="1"/>
  <c r="AL439" i="1"/>
  <c r="AL412" i="1"/>
  <c r="AN412" i="1" s="1"/>
  <c r="AO412" i="1" s="1"/>
  <c r="AL423" i="1"/>
  <c r="AL445" i="1"/>
  <c r="AL437" i="1"/>
  <c r="AN437" i="1" s="1"/>
  <c r="AO437" i="1" s="1"/>
  <c r="AL431" i="1"/>
  <c r="AL446" i="1"/>
  <c r="AN446" i="1" s="1"/>
  <c r="AO446" i="1" s="1"/>
  <c r="AL410" i="1"/>
  <c r="AN410" i="1" s="1"/>
  <c r="AO410" i="1" s="1"/>
  <c r="AL413" i="1"/>
  <c r="AN413" i="1" s="1"/>
  <c r="AO413" i="1" s="1"/>
  <c r="AL438" i="1"/>
  <c r="AL429" i="1"/>
  <c r="AL435" i="1"/>
  <c r="AN435" i="1" s="1"/>
  <c r="AO435" i="1" s="1"/>
  <c r="AL441" i="1"/>
  <c r="AN441" i="1" s="1"/>
  <c r="AO441" i="1" s="1"/>
  <c r="P38" i="1"/>
  <c r="P40" i="1"/>
  <c r="P32" i="1"/>
  <c r="P35" i="1"/>
  <c r="P33" i="1"/>
  <c r="P36" i="1"/>
  <c r="P34" i="1"/>
  <c r="P31" i="1"/>
  <c r="P37" i="1"/>
  <c r="K31" i="1"/>
  <c r="K35" i="1"/>
  <c r="E135" i="1"/>
  <c r="P153" i="1"/>
  <c r="P122" i="1"/>
  <c r="F351" i="1"/>
  <c r="F397" i="1"/>
  <c r="E377" i="1"/>
  <c r="F231" i="1"/>
  <c r="E266" i="1"/>
  <c r="P135" i="1"/>
  <c r="L245" i="1"/>
  <c r="K266" i="1"/>
  <c r="L250" i="1"/>
  <c r="F251" i="1"/>
  <c r="H12" i="1"/>
  <c r="H15" i="1"/>
  <c r="E112" i="1"/>
  <c r="F122" i="1"/>
  <c r="N122" i="1" s="1"/>
  <c r="I13" i="1"/>
  <c r="F242" i="1"/>
  <c r="E11" i="1"/>
  <c r="Q231" i="1"/>
  <c r="K135" i="1"/>
  <c r="K33" i="1"/>
  <c r="K36" i="1"/>
  <c r="I135" i="1"/>
  <c r="H7" i="1"/>
  <c r="H8" i="1"/>
  <c r="Q155" i="1"/>
  <c r="P155" i="1" s="1"/>
  <c r="K37" i="1"/>
  <c r="F285" i="1"/>
  <c r="E285" i="1" s="1"/>
  <c r="I229" i="1"/>
  <c r="F189" i="1"/>
  <c r="P22" i="1"/>
  <c r="L13" i="1"/>
  <c r="J31" i="1" s="1"/>
  <c r="E7" i="1"/>
  <c r="L54" i="1"/>
  <c r="I105" i="1"/>
  <c r="H105" i="1" s="1"/>
  <c r="K34" i="1"/>
  <c r="E15" i="1"/>
  <c r="P24" i="1"/>
  <c r="E6" i="1"/>
  <c r="F304" i="1"/>
  <c r="N304" i="1" s="1"/>
  <c r="N305" i="1" s="1"/>
  <c r="I351" i="1"/>
  <c r="H351" i="1" s="1"/>
  <c r="AL406" i="1"/>
  <c r="K105" i="1"/>
  <c r="K32" i="1"/>
  <c r="E9" i="1"/>
  <c r="G13" i="1"/>
  <c r="E295" i="1"/>
  <c r="D304" i="1"/>
  <c r="M304" i="1" s="1"/>
  <c r="F182" i="1"/>
  <c r="E8" i="1"/>
  <c r="P105" i="1"/>
  <c r="H10" i="1"/>
  <c r="L24" i="1"/>
  <c r="D108" i="1"/>
  <c r="M108" i="1" s="1"/>
  <c r="M109" i="1" s="1"/>
  <c r="E97" i="1"/>
  <c r="D105" i="1"/>
  <c r="M105" i="1" s="1"/>
  <c r="F41" i="1"/>
  <c r="N41" i="1" s="1"/>
  <c r="Q41" i="1"/>
  <c r="S41" i="1" s="1"/>
  <c r="Q13" i="1"/>
  <c r="S14" i="1" s="1"/>
  <c r="K122" i="1"/>
  <c r="F153" i="1"/>
  <c r="E153" i="1" s="1"/>
  <c r="I163" i="1"/>
  <c r="K108" i="1"/>
  <c r="F13" i="1"/>
  <c r="N14" i="1" s="1"/>
  <c r="AN438" i="1" l="1"/>
  <c r="AO438" i="1" s="1"/>
  <c r="AN449" i="1"/>
  <c r="AO449" i="1"/>
  <c r="AN431" i="1"/>
  <c r="AO431" i="1" s="1"/>
  <c r="AN442" i="1"/>
  <c r="AO442" i="1" s="1"/>
  <c r="AO440" i="1"/>
  <c r="AN440" i="1"/>
  <c r="AN445" i="1"/>
  <c r="AO445" i="1" s="1"/>
  <c r="AN423" i="1"/>
  <c r="AO423" i="1" s="1"/>
  <c r="AN436" i="1"/>
  <c r="AO436" i="1" s="1"/>
  <c r="AN444" i="1"/>
  <c r="AO444" i="1" s="1"/>
  <c r="AN439" i="1"/>
  <c r="AO439" i="1" s="1"/>
  <c r="AO434" i="1"/>
  <c r="AN429" i="1"/>
  <c r="AO429" i="1" s="1"/>
  <c r="S24" i="1"/>
  <c r="S25" i="1" s="1"/>
  <c r="N24" i="1"/>
  <c r="N25" i="1" s="1"/>
  <c r="N250" i="1"/>
  <c r="N251" i="1" s="1"/>
  <c r="S250" i="1"/>
  <c r="S108" i="1"/>
  <c r="S109" i="1" s="1"/>
  <c r="D31" i="1"/>
  <c r="O31" i="1"/>
  <c r="F309" i="1"/>
  <c r="N309" i="1" s="1"/>
  <c r="N310" i="1" s="1"/>
  <c r="J32" i="1"/>
  <c r="K24" i="1"/>
  <c r="AL419" i="1"/>
  <c r="AK415" i="1"/>
  <c r="AK414" i="1"/>
  <c r="AK412" i="1"/>
  <c r="AL452" i="1"/>
  <c r="AL433" i="1"/>
  <c r="AK411" i="1"/>
  <c r="AK413" i="1"/>
  <c r="AK410" i="1"/>
  <c r="N9" i="2"/>
  <c r="N8" i="2" s="1"/>
  <c r="F27" i="1"/>
  <c r="E41" i="1" s="1"/>
  <c r="K13" i="1"/>
  <c r="E108" i="1"/>
  <c r="E105" i="1"/>
  <c r="G27" i="1"/>
  <c r="H13" i="1"/>
  <c r="AB409" i="1"/>
  <c r="G24" i="1"/>
  <c r="H39" i="1" s="1"/>
  <c r="Q165" i="1"/>
  <c r="I54" i="1"/>
  <c r="I108" i="1"/>
  <c r="H135" i="1" s="1"/>
  <c r="F194" i="1"/>
  <c r="N194" i="1" s="1"/>
  <c r="N195" i="1" s="1"/>
  <c r="F186" i="1"/>
  <c r="P231" i="1"/>
  <c r="I27" i="1"/>
  <c r="F54" i="1"/>
  <c r="D13" i="1"/>
  <c r="M14" i="1" s="1"/>
  <c r="H11" i="1"/>
  <c r="Q27" i="1"/>
  <c r="P13" i="1"/>
  <c r="H229" i="1"/>
  <c r="L251" i="1"/>
  <c r="Q74" i="1"/>
  <c r="AF433" i="1"/>
  <c r="AH433" i="1" s="1"/>
  <c r="AI433" i="1" s="1"/>
  <c r="L27" i="1"/>
  <c r="F155" i="1"/>
  <c r="E122" i="1"/>
  <c r="H9" i="1"/>
  <c r="I83" i="1"/>
  <c r="AE409" i="1"/>
  <c r="AF419" i="1"/>
  <c r="Z419" i="1"/>
  <c r="Z468" i="1" s="1"/>
  <c r="E304" i="1"/>
  <c r="D309" i="1"/>
  <c r="M309" i="1" s="1"/>
  <c r="AK409" i="1"/>
  <c r="I353" i="1"/>
  <c r="F287" i="1"/>
  <c r="E287" i="1" s="1"/>
  <c r="Z481" i="1"/>
  <c r="F83" i="1"/>
  <c r="I41" i="1"/>
  <c r="I155" i="1"/>
  <c r="I231" i="1"/>
  <c r="H231" i="1" s="1"/>
  <c r="E397" i="1"/>
  <c r="F399" i="1"/>
  <c r="AH419" i="1" l="1"/>
  <c r="AI419" i="1" s="1"/>
  <c r="AN452" i="1"/>
  <c r="AO452" i="1" s="1"/>
  <c r="AN433" i="1"/>
  <c r="AO433" i="1" s="1"/>
  <c r="AN419" i="1"/>
  <c r="AO419" i="1" s="1"/>
  <c r="S27" i="1"/>
  <c r="N27" i="1"/>
  <c r="F314" i="1"/>
  <c r="N314" i="1" s="1"/>
  <c r="N315" i="1" s="1"/>
  <c r="M250" i="1"/>
  <c r="R250" i="1"/>
  <c r="S251" i="1" s="1"/>
  <c r="F353" i="1"/>
  <c r="D314" i="1"/>
  <c r="M314" i="1" s="1"/>
  <c r="AF407" i="1"/>
  <c r="AL468" i="1"/>
  <c r="P41" i="1"/>
  <c r="AL407" i="1"/>
  <c r="Y414" i="1"/>
  <c r="Y412" i="1"/>
  <c r="Y410" i="1"/>
  <c r="Y411" i="1"/>
  <c r="Y413" i="1"/>
  <c r="Y415" i="1"/>
  <c r="Y417" i="1"/>
  <c r="Y416" i="1"/>
  <c r="Y418" i="1"/>
  <c r="E54" i="1"/>
  <c r="E72" i="1"/>
  <c r="H35" i="1"/>
  <c r="K27" i="1"/>
  <c r="H155" i="1"/>
  <c r="H32" i="1"/>
  <c r="E349" i="1"/>
  <c r="Y409" i="1"/>
  <c r="AM409" i="1" s="1"/>
  <c r="E231" i="1"/>
  <c r="P74" i="1"/>
  <c r="H54" i="1"/>
  <c r="K54" i="1"/>
  <c r="Q85" i="1"/>
  <c r="P72" i="1"/>
  <c r="P27" i="1"/>
  <c r="P54" i="1"/>
  <c r="I74" i="1"/>
  <c r="I85" i="1" s="1"/>
  <c r="H41" i="1"/>
  <c r="E155" i="1"/>
  <c r="F165" i="1"/>
  <c r="I233" i="1"/>
  <c r="AC407" i="1"/>
  <c r="G9" i="2" s="1"/>
  <c r="G8" i="2" s="1"/>
  <c r="H72" i="1"/>
  <c r="F233" i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9" i="1"/>
  <c r="Q233" i="1"/>
  <c r="P229" i="1"/>
  <c r="K41" i="1"/>
  <c r="D27" i="1"/>
  <c r="M27" i="1" s="1"/>
  <c r="M28" i="1" s="1"/>
  <c r="E13" i="1"/>
  <c r="D24" i="1"/>
  <c r="M24" i="1" s="1"/>
  <c r="AC481" i="1"/>
  <c r="E309" i="1"/>
  <c r="AF406" i="1"/>
  <c r="I165" i="1"/>
  <c r="H122" i="1"/>
  <c r="H153" i="1"/>
  <c r="H108" i="1"/>
  <c r="F289" i="1"/>
  <c r="AC433" i="1"/>
  <c r="H27" i="1"/>
  <c r="E351" i="1" l="1"/>
  <c r="AG413" i="1"/>
  <c r="AM413" i="1"/>
  <c r="AM412" i="1"/>
  <c r="AG412" i="1"/>
  <c r="AM411" i="1"/>
  <c r="AG411" i="1"/>
  <c r="AG414" i="1"/>
  <c r="AM414" i="1"/>
  <c r="AG418" i="1"/>
  <c r="AM418" i="1"/>
  <c r="AG409" i="1"/>
  <c r="AM415" i="1"/>
  <c r="AG415" i="1"/>
  <c r="AM410" i="1"/>
  <c r="AG410" i="1"/>
  <c r="Z407" i="1"/>
  <c r="Z483" i="1" s="1"/>
  <c r="AG416" i="1"/>
  <c r="AM416" i="1"/>
  <c r="AH407" i="1"/>
  <c r="AI407" i="1" s="1"/>
  <c r="AN407" i="1"/>
  <c r="AO407" i="1" s="1"/>
  <c r="E330" i="1"/>
  <c r="AG417" i="1"/>
  <c r="AM417" i="1"/>
  <c r="N28" i="1"/>
  <c r="S28" i="1"/>
  <c r="Z406" i="1"/>
  <c r="AL483" i="1"/>
  <c r="C9" i="2"/>
  <c r="J9" i="2"/>
  <c r="J8" i="2" s="1"/>
  <c r="O9" i="2"/>
  <c r="O8" i="2" s="1"/>
  <c r="E27" i="1"/>
  <c r="X466" i="1"/>
  <c r="X433" i="1"/>
  <c r="AD433" i="1"/>
  <c r="K9" i="2"/>
  <c r="K8" i="2" s="1"/>
  <c r="C10" i="2"/>
  <c r="AA433" i="1"/>
  <c r="AA481" i="1"/>
  <c r="AA452" i="1"/>
  <c r="AJ468" i="1"/>
  <c r="AJ466" i="1"/>
  <c r="AJ419" i="1"/>
  <c r="AJ433" i="1"/>
  <c r="AJ452" i="1"/>
  <c r="E74" i="1"/>
  <c r="F85" i="1"/>
  <c r="E314" i="1"/>
  <c r="AD419" i="1"/>
  <c r="AA466" i="1"/>
  <c r="E40" i="1"/>
  <c r="E24" i="1"/>
  <c r="E34" i="1"/>
  <c r="E36" i="1"/>
  <c r="E38" i="1"/>
  <c r="E37" i="1"/>
  <c r="E31" i="1"/>
  <c r="E33" i="1"/>
  <c r="E35" i="1"/>
  <c r="E32" i="1"/>
  <c r="E39" i="1"/>
  <c r="AC406" i="1"/>
  <c r="F9" i="2" s="1"/>
  <c r="F8" i="2" s="1"/>
  <c r="H74" i="1"/>
  <c r="AC468" i="1"/>
  <c r="AA468" i="1" s="1"/>
  <c r="AA419" i="1"/>
  <c r="AD466" i="1"/>
  <c r="X419" i="1" l="1"/>
  <c r="X481" i="1"/>
  <c r="X452" i="1"/>
  <c r="C8" i="2"/>
  <c r="P9" i="2"/>
  <c r="P8" i="2" s="1"/>
  <c r="B9" i="2"/>
  <c r="X468" i="1"/>
  <c r="AC483" i="1"/>
  <c r="AL489" i="1"/>
  <c r="AK483" i="1"/>
  <c r="AL488" i="1" l="1"/>
  <c r="AL498" i="1"/>
  <c r="H9" i="2"/>
  <c r="H8" i="2" s="1"/>
  <c r="D9" i="2"/>
  <c r="B8" i="2"/>
  <c r="AK489" i="1"/>
  <c r="AC489" i="1"/>
  <c r="AB483" i="1"/>
  <c r="Z489" i="1"/>
  <c r="Y483" i="1"/>
  <c r="AK488" i="1" l="1"/>
  <c r="Z488" i="1"/>
  <c r="Z498" i="1"/>
  <c r="Y488" i="1"/>
  <c r="Q9" i="2"/>
  <c r="D10" i="2"/>
  <c r="D8" i="2" s="1"/>
  <c r="Y489" i="1"/>
  <c r="AB489" i="1"/>
  <c r="AC498" i="1"/>
  <c r="AK498" i="1"/>
  <c r="AB498" i="1" l="1"/>
  <c r="I9" i="2"/>
  <c r="I8" i="2" s="1"/>
  <c r="Q8" i="2"/>
  <c r="Y498" i="1"/>
  <c r="E9" i="2"/>
  <c r="E10" i="2" l="1"/>
  <c r="E8" i="2" s="1"/>
  <c r="AF481" i="1"/>
  <c r="L82" i="1"/>
  <c r="S82" i="1" l="1"/>
  <c r="S83" i="1" s="1"/>
  <c r="N82" i="1"/>
  <c r="N83" i="1" s="1"/>
  <c r="AN481" i="1"/>
  <c r="AO481" i="1" s="1"/>
  <c r="AH481" i="1"/>
  <c r="AI481" i="1" s="1"/>
  <c r="L83" i="1"/>
  <c r="AD481" i="1"/>
  <c r="L229" i="1" l="1"/>
  <c r="L68" i="1"/>
  <c r="S68" i="1" l="1"/>
  <c r="S72" i="1" s="1"/>
  <c r="S85" i="1" s="1"/>
  <c r="N68" i="1"/>
  <c r="N72" i="1" s="1"/>
  <c r="N85" i="1" s="1"/>
  <c r="N229" i="1"/>
  <c r="S229" i="1"/>
  <c r="L72" i="1"/>
  <c r="K229" i="1"/>
  <c r="L231" i="1"/>
  <c r="L349" i="1"/>
  <c r="L11" i="2"/>
  <c r="L285" i="1"/>
  <c r="S285" i="1" s="1"/>
  <c r="L153" i="1"/>
  <c r="N153" i="1" l="1"/>
  <c r="S153" i="1"/>
  <c r="N231" i="1"/>
  <c r="S231" i="1"/>
  <c r="L10" i="2"/>
  <c r="L74" i="1"/>
  <c r="K72" i="1"/>
  <c r="L233" i="1"/>
  <c r="K231" i="1"/>
  <c r="K285" i="1"/>
  <c r="L287" i="1"/>
  <c r="L351" i="1"/>
  <c r="K349" i="1"/>
  <c r="L155" i="1"/>
  <c r="K153" i="1"/>
  <c r="AF452" i="1"/>
  <c r="N351" i="1" l="1"/>
  <c r="S351" i="1"/>
  <c r="S287" i="1"/>
  <c r="N287" i="1"/>
  <c r="N233" i="1"/>
  <c r="S233" i="1"/>
  <c r="N74" i="1"/>
  <c r="S74" i="1"/>
  <c r="N155" i="1"/>
  <c r="S155" i="1"/>
  <c r="K155" i="1"/>
  <c r="L165" i="1"/>
  <c r="M11" i="2"/>
  <c r="K287" i="1"/>
  <c r="L289" i="1"/>
  <c r="K351" i="1"/>
  <c r="L353" i="1"/>
  <c r="AF468" i="1"/>
  <c r="AD452" i="1"/>
  <c r="L85" i="1"/>
  <c r="K74" i="1"/>
  <c r="AH468" i="1" l="1"/>
  <c r="AI468" i="1" s="1"/>
  <c r="AN468" i="1"/>
  <c r="AO468" i="1" s="1"/>
  <c r="N353" i="1"/>
  <c r="S353" i="1"/>
  <c r="S289" i="1"/>
  <c r="N289" i="1"/>
  <c r="S165" i="1"/>
  <c r="N165" i="1"/>
  <c r="M10" i="2"/>
  <c r="AF483" i="1"/>
  <c r="AD468" i="1"/>
  <c r="AH483" i="1" l="1"/>
  <c r="AI483" i="1" s="1"/>
  <c r="AN483" i="1"/>
  <c r="AO483" i="1" s="1"/>
  <c r="AE483" i="1"/>
  <c r="L9" i="2"/>
  <c r="L8" i="2" s="1"/>
  <c r="AF489" i="1"/>
  <c r="AH489" i="1" l="1"/>
  <c r="AI489" i="1" s="1"/>
  <c r="AN489" i="1"/>
  <c r="AO489" i="1" s="1"/>
  <c r="AF488" i="1"/>
  <c r="AF498" i="1"/>
  <c r="AE488" i="1"/>
  <c r="AE489" i="1"/>
  <c r="AH488" i="1" l="1"/>
  <c r="AI488" i="1" s="1"/>
  <c r="AN488" i="1"/>
  <c r="AO488" i="1" s="1"/>
  <c r="AN498" i="1"/>
  <c r="AO498" i="1" s="1"/>
  <c r="AH498" i="1"/>
  <c r="AI498" i="1" s="1"/>
  <c r="AE498" i="1"/>
  <c r="M9" i="2"/>
  <c r="M8" i="2" s="1"/>
</calcChain>
</file>

<file path=xl/sharedStrings.xml><?xml version="1.0" encoding="utf-8"?>
<sst xmlns="http://schemas.openxmlformats.org/spreadsheetml/2006/main" count="3803" uniqueCount="273">
  <si>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</si>
  <si>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</si>
  <si>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</si>
  <si>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</si>
  <si>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</si>
  <si>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</si>
  <si>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</si>
  <si>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</si>
  <si>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</si>
  <si>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</si>
  <si>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</si>
  <si>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</si>
  <si>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</si>
  <si>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</si>
  <si>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</si>
  <si>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</si>
  <si>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</si>
  <si>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</si>
  <si>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</si>
  <si>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</si>
  <si>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</si>
  <si>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</si>
  <si>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</si>
  <si>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</si>
  <si>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</si>
  <si>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</si>
  <si>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</si>
  <si>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</si>
  <si>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</si>
  <si>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</si>
  <si>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</si>
  <si>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</si>
  <si>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</si>
  <si>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</si>
  <si>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</si>
  <si>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</si>
  <si>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</si>
  <si>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</si>
  <si>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</si>
  <si>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</si>
  <si>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</si>
  <si>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</si>
  <si>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</si>
  <si>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</si>
  <si>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</si>
  <si>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</si>
  <si>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</si>
  <si>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</si>
  <si>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</si>
  <si>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</si>
  <si>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</si>
  <si>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</si>
  <si>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</si>
  <si>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</si>
  <si>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</si>
  <si>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</si>
  <si>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</si>
  <si>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</si>
  <si>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</si>
  <si>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</si>
  <si>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</si>
  <si>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</si>
  <si>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</si>
  <si>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</si>
  <si>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</si>
  <si>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</si>
  <si>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</si>
  <si>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</si>
  <si>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</si>
  <si>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</si>
  <si>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</si>
  <si>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</si>
  <si>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</si>
  <si>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</si>
  <si>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</si>
  <si>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</si>
  <si>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</si>
  <si>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</si>
  <si>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</si>
  <si>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</si>
  <si>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</si>
  <si>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</si>
  <si>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</si>
  <si>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</si>
  <si>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</si>
  <si>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</si>
  <si>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</si>
  <si>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</si>
  <si>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</si>
  <si>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</si>
  <si>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</si>
  <si>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</si>
  <si>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</si>
  <si>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</si>
  <si>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</si>
  <si>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</si>
  <si>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</si>
  <si>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</si>
  <si>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</si>
  <si>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</si>
  <si>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</si>
  <si>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</si>
  <si>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</si>
  <si>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</si>
  <si>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</si>
  <si>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</si>
  <si>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</si>
  <si>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</si>
  <si>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</si>
  <si>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</si>
  <si>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</si>
  <si>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</si>
  <si>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</si>
  <si>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</si>
  <si>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</si>
  <si>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</si>
  <si>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</si>
  <si>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</si>
  <si>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</si>
  <si>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</si>
  <si>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</si>
  <si>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</si>
  <si>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</si>
  <si>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</si>
  <si>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</si>
  <si>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</si>
  <si>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</si>
  <si>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</si>
  <si>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</si>
  <si>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</si>
  <si>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</si>
  <si>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</si>
  <si>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</si>
  <si>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</si>
  <si>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</si>
  <si>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</si>
  <si>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</si>
  <si>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</si>
  <si>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</si>
  <si>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</si>
  <si>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</si>
  <si>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</si>
  <si>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</si>
  <si>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</si>
  <si>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</si>
  <si>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</si>
  <si>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</si>
  <si>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</si>
  <si>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</si>
  <si>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</si>
  <si>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</si>
  <si>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</si>
  <si>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</si>
  <si>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</si>
  <si>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</si>
  <si>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</si>
  <si>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</si>
  <si>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</si>
  <si>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</si>
  <si>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</si>
  <si>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</si>
  <si>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</si>
  <si>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</si>
  <si>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</si>
  <si>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</si>
  <si>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</si>
  <si>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</si>
  <si>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</si>
  <si>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</si>
  <si>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</si>
  <si>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</si>
  <si>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</si>
  <si>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</si>
  <si>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</si>
  <si>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</si>
  <si>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</si>
  <si>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</si>
  <si>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</si>
  <si>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</si>
  <si>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</si>
  <si>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</si>
  <si>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</si>
  <si>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</si>
  <si>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</si>
  <si>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</si>
  <si>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</si>
  <si>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</si>
  <si>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</si>
  <si>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</si>
  <si>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</si>
  <si>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</si>
  <si>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</si>
  <si>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</si>
  <si>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</si>
  <si>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</si>
  <si>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</si>
  <si>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</si>
  <si>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</si>
  <si>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</si>
  <si>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</si>
  <si>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</si>
  <si>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</si>
  <si>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</si>
  <si>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</si>
  <si>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</si>
  <si>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</si>
  <si>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</si>
  <si>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</si>
  <si>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</si>
  <si>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</si>
  <si>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BMW Sherbrooke</t>
  </si>
  <si>
    <t>NB</t>
  </si>
  <si>
    <t>$</t>
  </si>
  <si>
    <t>ÉCART réel / Budget</t>
  </si>
  <si>
    <t>ECART (réel/ Ann.Préc.)</t>
  </si>
  <si>
    <t>UNFTÉ</t>
  </si>
  <si>
    <t>avec boni F&amp;I vendeur 34%</t>
  </si>
  <si>
    <t>sans boni F&amp;I vendeur 26%</t>
  </si>
  <si>
    <t>RBSC neuf</t>
  </si>
  <si>
    <t>$PROFFTS</t>
  </si>
  <si>
    <t>avec boni F&amp;I vendeur %</t>
  </si>
  <si>
    <t>sans boni F&amp;I vendeur 24.3%</t>
  </si>
  <si>
    <t>RBSC used</t>
  </si>
  <si>
    <t>Programme 360</t>
  </si>
  <si>
    <t>$Ventes</t>
  </si>
  <si>
    <t>Gars pneus, budgeté juste en octobre et novembre</t>
  </si>
  <si>
    <t>FORECAST</t>
  </si>
  <si>
    <t>#14</t>
  </si>
  <si>
    <t>#16-17</t>
  </si>
  <si>
    <t>#18</t>
  </si>
  <si>
    <t>#26</t>
  </si>
  <si>
    <t>#27</t>
  </si>
  <si>
    <t>#29</t>
  </si>
  <si>
    <t>#16</t>
  </si>
  <si>
    <t>#52-53</t>
  </si>
  <si>
    <t>+2.5k déprec court +2.5k mobility</t>
  </si>
  <si>
    <t>#69</t>
  </si>
  <si>
    <t>#71</t>
  </si>
  <si>
    <t>#70</t>
  </si>
  <si>
    <t>#75</t>
  </si>
  <si>
    <t>#78</t>
  </si>
  <si>
    <t>#72-77</t>
  </si>
  <si>
    <t>#76</t>
  </si>
  <si>
    <t>#73</t>
  </si>
  <si>
    <t>#90</t>
  </si>
  <si>
    <t>N : 30 17850$</t>
  </si>
  <si>
    <t>u :22 13090$</t>
  </si>
  <si>
    <t>Revenus d'intérêts floor plan</t>
  </si>
  <si>
    <t>Impôt exigible</t>
  </si>
  <si>
    <t>Profit Net après impôt</t>
  </si>
  <si>
    <t>Forecast</t>
  </si>
  <si>
    <t>avec boni F&amp;I vendeur 37.4%</t>
  </si>
  <si>
    <t>sans boni F&amp;I vendeur 24%</t>
  </si>
  <si>
    <t>avec boni F&amp;I vendeur 49%</t>
  </si>
  <si>
    <t>Torque</t>
  </si>
  <si>
    <t>LGM</t>
  </si>
  <si>
    <t>avec boni F&amp;I vendeur 30.5%</t>
  </si>
  <si>
    <t>sans boni F&amp;I vendeur 25%</t>
  </si>
  <si>
    <t>4 unités</t>
  </si>
  <si>
    <t>Pacing</t>
  </si>
  <si>
    <t>avec boni F&amp;I vendeur 38.7%</t>
  </si>
  <si>
    <t>sans boni F&amp;I vendeur 20%</t>
  </si>
  <si>
    <t>démo vente</t>
  </si>
  <si>
    <t>2k climatistion Roger Demers + 599$ Autoverify</t>
  </si>
  <si>
    <t>chemises et pantalon</t>
  </si>
  <si>
    <t>cellulaire Sebastien</t>
  </si>
  <si>
    <t>RDR à 17 versus 19</t>
  </si>
  <si>
    <t>Prix moyen à 83k versus 85k</t>
  </si>
  <si>
    <t># unité</t>
  </si>
  <si>
    <t>Q2 2024</t>
  </si>
  <si>
    <t>Réalisé, Avril 2024</t>
  </si>
  <si>
    <t>Réalisé, Mai 2024</t>
  </si>
  <si>
    <t>Réalisé, Juin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</si>
</sst>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dd\/mm\/yy_)"/>
    <numFmt numFmtId="168" formatCode="0.0%"/>
    <numFmt numFmtId="169" formatCode="0_)"/>
    <numFmt numFmtId="170" formatCode="_(* #,##0_);_(* \(#,##0\);_(* &quot;-&quot;??_);_(@_)"/>
    <numFmt numFmtId="172" formatCode="_-* #,##0.00\ _$_-;_-* #,##0.00\ _$\-;_-* &quot;-&quot;??\ _$_-;_-@_-"/>
    <numFmt numFmtId="173" formatCode="_-* #,##0.00\ &quot;$&quot;_-;_-* #,##0.00\ &quot;$&quot;\-;_-* &quot;-&quot;??\ &quot;$&quot;_-;_-@_-"/>
    <numFmt numFmtId="175" formatCode="0.00_)"/>
    <numFmt numFmtId="178" formatCode="#,##0\ &quot;$&quot;"/>
  </numFmts>
  <fonts count="4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1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6">
    <xf numFmtId="0" fontId="0" fillId="0" borderId="0"/>
    <xf numFmtId="9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3" fillId="0" borderId="0"/>
    <xf numFmtId="0" fontId="34" fillId="0" borderId="0"/>
    <xf numFmtId="172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3" fillId="0" borderId="0"/>
    <xf numFmtId="0" fontId="2" fillId="0" borderId="0"/>
    <xf numFmtId="0" fontId="34" fillId="0" borderId="0"/>
    <xf numFmtId="166" fontId="3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06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7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8" fontId="10" fillId="0" borderId="9" xfId="0" applyNumberFormat="1" applyFont="1" applyBorder="1"/>
    <xf numFmtId="168" fontId="10" fillId="0" borderId="8" xfId="0" applyNumberFormat="1" applyFont="1" applyBorder="1"/>
    <xf numFmtId="168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9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8" fontId="10" fillId="2" borderId="32" xfId="0" applyNumberFormat="1" applyFont="1" applyFill="1" applyBorder="1"/>
    <xf numFmtId="168" fontId="10" fillId="2" borderId="31" xfId="0" applyNumberFormat="1" applyFont="1" applyFill="1" applyBorder="1"/>
    <xf numFmtId="168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8" fontId="9" fillId="0" borderId="9" xfId="1" applyNumberFormat="1" applyFont="1" applyFill="1" applyBorder="1"/>
    <xf numFmtId="37" fontId="9" fillId="0" borderId="10" xfId="0" applyNumberFormat="1" applyFont="1" applyBorder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0" fontId="10" fillId="2" borderId="34" xfId="0" applyFont="1" applyFill="1" applyBorder="1"/>
    <xf numFmtId="0" fontId="10" fillId="2" borderId="35" xfId="0" applyFont="1" applyFill="1" applyBorder="1" applyAlignment="1">
      <alignment horizontal="center"/>
    </xf>
    <xf numFmtId="168" fontId="10" fillId="2" borderId="35" xfId="0" applyNumberFormat="1" applyFont="1" applyFill="1" applyBorder="1"/>
    <xf numFmtId="37" fontId="10" fillId="2" borderId="36" xfId="0" applyNumberFormat="1" applyFont="1" applyFill="1" applyBorder="1"/>
    <xf numFmtId="0" fontId="10" fillId="2" borderId="37" xfId="0" applyFont="1" applyFill="1" applyBorder="1" applyAlignment="1">
      <alignment horizontal="center"/>
    </xf>
    <xf numFmtId="0" fontId="9" fillId="2" borderId="38" xfId="0" applyFont="1" applyFill="1" applyBorder="1"/>
    <xf numFmtId="37" fontId="10" fillId="2" borderId="35" xfId="0" applyNumberFormat="1" applyFont="1" applyFill="1" applyBorder="1"/>
    <xf numFmtId="0" fontId="9" fillId="2" borderId="37" xfId="0" applyFont="1" applyFill="1" applyBorder="1"/>
    <xf numFmtId="37" fontId="10" fillId="2" borderId="39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0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1" xfId="0" applyFont="1" applyFill="1" applyBorder="1"/>
    <xf numFmtId="0" fontId="9" fillId="2" borderId="42" xfId="0" applyFont="1" applyFill="1" applyBorder="1"/>
    <xf numFmtId="0" fontId="10" fillId="2" borderId="42" xfId="0" applyFont="1" applyFill="1" applyBorder="1"/>
    <xf numFmtId="37" fontId="10" fillId="2" borderId="43" xfId="0" applyNumberFormat="1" applyFont="1" applyFill="1" applyBorder="1"/>
    <xf numFmtId="0" fontId="9" fillId="2" borderId="44" xfId="0" applyFont="1" applyFill="1" applyBorder="1"/>
    <xf numFmtId="37" fontId="10" fillId="2" borderId="45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0" borderId="0" xfId="0" applyFont="1"/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9" fontId="9" fillId="0" borderId="0" xfId="0" applyNumberFormat="1" applyFont="1"/>
    <xf numFmtId="168" fontId="18" fillId="4" borderId="46" xfId="0" applyNumberFormat="1" applyFont="1" applyFill="1" applyBorder="1"/>
    <xf numFmtId="37" fontId="9" fillId="0" borderId="13" xfId="0" applyNumberFormat="1" applyFont="1" applyBorder="1"/>
    <xf numFmtId="0" fontId="9" fillId="2" borderId="14" xfId="0" applyFont="1" applyFill="1" applyBorder="1"/>
    <xf numFmtId="168" fontId="9" fillId="0" borderId="0" xfId="0" applyNumberFormat="1" applyFont="1"/>
    <xf numFmtId="0" fontId="10" fillId="0" borderId="0" xfId="0" applyFont="1" applyAlignment="1">
      <alignment horizontal="center"/>
    </xf>
    <xf numFmtId="168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2" xfId="0" applyFont="1" applyFill="1" applyBorder="1" applyAlignment="1">
      <alignment horizontal="right"/>
    </xf>
    <xf numFmtId="0" fontId="9" fillId="2" borderId="44" xfId="0" applyFont="1" applyFill="1" applyBorder="1" applyAlignment="1">
      <alignment horizontal="right"/>
    </xf>
    <xf numFmtId="0" fontId="10" fillId="2" borderId="44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8" fontId="9" fillId="0" borderId="9" xfId="0" applyNumberFormat="1" applyFont="1" applyBorder="1"/>
    <xf numFmtId="168" fontId="9" fillId="0" borderId="8" xfId="0" applyNumberFormat="1" applyFont="1" applyBorder="1"/>
    <xf numFmtId="169" fontId="9" fillId="0" borderId="12" xfId="0" applyNumberFormat="1" applyFont="1" applyBorder="1"/>
    <xf numFmtId="168" fontId="9" fillId="0" borderId="16" xfId="0" applyNumberFormat="1" applyFont="1" applyBorder="1"/>
    <xf numFmtId="37" fontId="9" fillId="0" borderId="14" xfId="0" applyNumberFormat="1" applyFont="1" applyBorder="1"/>
    <xf numFmtId="168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47" xfId="0" applyNumberFormat="1" applyFont="1" applyBorder="1"/>
    <xf numFmtId="2" fontId="9" fillId="0" borderId="0" xfId="0" applyNumberFormat="1" applyFont="1"/>
    <xf numFmtId="168" fontId="10" fillId="0" borderId="14" xfId="0" applyNumberFormat="1" applyFont="1" applyBorder="1"/>
    <xf numFmtId="168" fontId="10" fillId="0" borderId="16" xfId="0" applyNumberFormat="1" applyFont="1" applyBorder="1"/>
    <xf numFmtId="168" fontId="10" fillId="0" borderId="17" xfId="0" applyNumberFormat="1" applyFont="1" applyBorder="1"/>
    <xf numFmtId="169" fontId="9" fillId="0" borderId="15" xfId="0" applyNumberFormat="1" applyFont="1" applyBorder="1"/>
    <xf numFmtId="168" fontId="9" fillId="0" borderId="13" xfId="0" applyNumberFormat="1" applyFont="1" applyBorder="1"/>
    <xf numFmtId="37" fontId="9" fillId="0" borderId="23" xfId="0" applyNumberFormat="1" applyFont="1" applyBorder="1"/>
    <xf numFmtId="168" fontId="9" fillId="0" borderId="20" xfId="0" applyNumberFormat="1" applyFont="1" applyBorder="1"/>
    <xf numFmtId="169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9" fontId="10" fillId="0" borderId="12" xfId="0" applyNumberFormat="1" applyFont="1" applyBorder="1"/>
    <xf numFmtId="0" fontId="10" fillId="0" borderId="14" xfId="0" applyFont="1" applyBorder="1"/>
    <xf numFmtId="37" fontId="10" fillId="0" borderId="14" xfId="0" applyNumberFormat="1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4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8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8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9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9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8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48" xfId="0" applyFont="1" applyBorder="1"/>
    <xf numFmtId="168" fontId="10" fillId="0" borderId="7" xfId="0" applyNumberFormat="1" applyFont="1" applyBorder="1"/>
    <xf numFmtId="168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8" fontId="9" fillId="0" borderId="15" xfId="0" applyNumberFormat="1" applyFont="1" applyBorder="1"/>
    <xf numFmtId="168" fontId="9" fillId="0" borderId="12" xfId="0" applyNumberFormat="1" applyFont="1" applyBorder="1"/>
    <xf numFmtId="168" fontId="10" fillId="2" borderId="25" xfId="0" applyNumberFormat="1" applyFont="1" applyFill="1" applyBorder="1"/>
    <xf numFmtId="168" fontId="10" fillId="2" borderId="49" xfId="0" applyNumberFormat="1" applyFont="1" applyFill="1" applyBorder="1"/>
    <xf numFmtId="37" fontId="10" fillId="2" borderId="50" xfId="0" applyNumberFormat="1" applyFont="1" applyFill="1" applyBorder="1"/>
    <xf numFmtId="37" fontId="10" fillId="2" borderId="51" xfId="0" applyNumberFormat="1" applyFont="1" applyFill="1" applyBorder="1"/>
    <xf numFmtId="0" fontId="10" fillId="2" borderId="52" xfId="0" applyFont="1" applyFill="1" applyBorder="1"/>
    <xf numFmtId="37" fontId="10" fillId="2" borderId="53" xfId="0" applyNumberFormat="1" applyFont="1" applyFill="1" applyBorder="1"/>
    <xf numFmtId="169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9" fillId="2" borderId="32" xfId="0" applyFont="1" applyFill="1" applyBorder="1"/>
    <xf numFmtId="0" fontId="12" fillId="0" borderId="56" xfId="0" applyFont="1" applyBorder="1"/>
    <xf numFmtId="0" fontId="14" fillId="0" borderId="11" xfId="0" applyFont="1" applyBorder="1"/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37" fontId="9" fillId="4" borderId="0" xfId="0" applyNumberFormat="1" applyFont="1" applyFill="1"/>
    <xf numFmtId="168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0" fontId="19" fillId="0" borderId="0" xfId="0" applyFont="1"/>
    <xf numFmtId="37" fontId="18" fillId="0" borderId="0" xfId="0" applyNumberFormat="1" applyFont="1"/>
    <xf numFmtId="168" fontId="9" fillId="0" borderId="0" xfId="1" applyNumberFormat="1" applyFont="1" applyFill="1" applyBorder="1"/>
    <xf numFmtId="168" fontId="10" fillId="0" borderId="26" xfId="0" applyNumberFormat="1" applyFont="1" applyBorder="1"/>
    <xf numFmtId="0" fontId="12" fillId="0" borderId="0" xfId="0" applyFont="1"/>
    <xf numFmtId="168" fontId="9" fillId="0" borderId="8" xfId="1" applyNumberFormat="1" applyFont="1" applyFill="1" applyBorder="1"/>
    <xf numFmtId="0" fontId="10" fillId="0" borderId="10" xfId="0" applyFont="1" applyBorder="1"/>
    <xf numFmtId="0" fontId="20" fillId="0" borderId="0" xfId="0" applyFont="1"/>
    <xf numFmtId="0" fontId="10" fillId="2" borderId="37" xfId="0" applyFont="1" applyFill="1" applyBorder="1"/>
    <xf numFmtId="0" fontId="10" fillId="2" borderId="57" xfId="0" applyFont="1" applyFill="1" applyBorder="1"/>
    <xf numFmtId="0" fontId="10" fillId="2" borderId="58" xfId="0" applyFont="1" applyFill="1" applyBorder="1"/>
    <xf numFmtId="37" fontId="10" fillId="2" borderId="59" xfId="0" applyNumberFormat="1" applyFont="1" applyFill="1" applyBorder="1"/>
    <xf numFmtId="0" fontId="10" fillId="2" borderId="60" xfId="0" applyFont="1" applyFill="1" applyBorder="1"/>
    <xf numFmtId="0" fontId="9" fillId="2" borderId="60" xfId="0" applyFont="1" applyFill="1" applyBorder="1"/>
    <xf numFmtId="0" fontId="9" fillId="2" borderId="58" xfId="0" applyFont="1" applyFill="1" applyBorder="1"/>
    <xf numFmtId="37" fontId="10" fillId="2" borderId="61" xfId="0" applyNumberFormat="1" applyFont="1" applyFill="1" applyBorder="1"/>
    <xf numFmtId="0" fontId="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62" xfId="0" applyFont="1" applyBorder="1" applyAlignment="1">
      <alignment horizontal="left"/>
    </xf>
    <xf numFmtId="0" fontId="10" fillId="0" borderId="6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14" fillId="0" borderId="12" xfId="0" applyFont="1" applyBorder="1"/>
    <xf numFmtId="37" fontId="14" fillId="0" borderId="67" xfId="0" applyNumberFormat="1" applyFont="1" applyBorder="1"/>
    <xf numFmtId="37" fontId="14" fillId="0" borderId="68" xfId="0" applyNumberFormat="1" applyFont="1" applyBorder="1"/>
    <xf numFmtId="37" fontId="14" fillId="0" borderId="12" xfId="0" applyNumberFormat="1" applyFont="1" applyBorder="1"/>
    <xf numFmtId="168" fontId="14" fillId="0" borderId="12" xfId="0" applyNumberFormat="1" applyFont="1" applyBorder="1"/>
    <xf numFmtId="37" fontId="14" fillId="0" borderId="69" xfId="0" applyNumberFormat="1" applyFont="1" applyBorder="1"/>
    <xf numFmtId="168" fontId="14" fillId="0" borderId="17" xfId="0" applyNumberFormat="1" applyFont="1" applyBorder="1"/>
    <xf numFmtId="0" fontId="21" fillId="2" borderId="22" xfId="0" applyFont="1" applyFill="1" applyBorder="1"/>
    <xf numFmtId="0" fontId="21" fillId="2" borderId="12" xfId="0" applyFont="1" applyFill="1" applyBorder="1"/>
    <xf numFmtId="37" fontId="21" fillId="2" borderId="67" xfId="0" applyNumberFormat="1" applyFont="1" applyFill="1" applyBorder="1"/>
    <xf numFmtId="37" fontId="21" fillId="2" borderId="68" xfId="0" applyNumberFormat="1" applyFont="1" applyFill="1" applyBorder="1"/>
    <xf numFmtId="37" fontId="21" fillId="2" borderId="12" xfId="0" applyNumberFormat="1" applyFont="1" applyFill="1" applyBorder="1"/>
    <xf numFmtId="168" fontId="21" fillId="2" borderId="12" xfId="0" applyNumberFormat="1" applyFont="1" applyFill="1" applyBorder="1"/>
    <xf numFmtId="37" fontId="21" fillId="2" borderId="69" xfId="0" applyNumberFormat="1" applyFont="1" applyFill="1" applyBorder="1"/>
    <xf numFmtId="168" fontId="21" fillId="2" borderId="17" xfId="0" applyNumberFormat="1" applyFont="1" applyFill="1" applyBorder="1"/>
    <xf numFmtId="0" fontId="21" fillId="0" borderId="18" xfId="0" applyFont="1" applyBorder="1"/>
    <xf numFmtId="0" fontId="14" fillId="0" borderId="0" xfId="0" applyFont="1"/>
    <xf numFmtId="37" fontId="14" fillId="0" borderId="70" xfId="0" applyNumberFormat="1" applyFont="1" applyBorder="1"/>
    <xf numFmtId="37" fontId="14" fillId="0" borderId="71" xfId="0" applyNumberFormat="1" applyFont="1" applyBorder="1"/>
    <xf numFmtId="37" fontId="14" fillId="0" borderId="0" xfId="0" applyNumberFormat="1" applyFont="1"/>
    <xf numFmtId="168" fontId="14" fillId="0" borderId="0" xfId="0" applyNumberFormat="1" applyFont="1"/>
    <xf numFmtId="37" fontId="14" fillId="0" borderId="72" xfId="0" applyNumberFormat="1" applyFont="1" applyBorder="1"/>
    <xf numFmtId="168" fontId="14" fillId="0" borderId="21" xfId="0" applyNumberFormat="1" applyFont="1" applyBorder="1"/>
    <xf numFmtId="0" fontId="14" fillId="0" borderId="0" xfId="0" applyFont="1" applyAlignment="1">
      <alignment horizontal="right"/>
    </xf>
    <xf numFmtId="169" fontId="14" fillId="0" borderId="0" xfId="0" applyNumberFormat="1" applyFont="1"/>
    <xf numFmtId="0" fontId="14" fillId="0" borderId="71" xfId="0" applyFont="1" applyBorder="1"/>
    <xf numFmtId="168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9" fontId="14" fillId="0" borderId="12" xfId="0" applyNumberFormat="1" applyFont="1" applyBorder="1"/>
    <xf numFmtId="0" fontId="14" fillId="0" borderId="68" xfId="0" applyFont="1" applyBorder="1"/>
    <xf numFmtId="168" fontId="14" fillId="0" borderId="67" xfId="0" applyNumberFormat="1" applyFont="1" applyBorder="1"/>
    <xf numFmtId="168" fontId="14" fillId="0" borderId="73" xfId="0" applyNumberFormat="1" applyFont="1" applyBorder="1"/>
    <xf numFmtId="168" fontId="22" fillId="0" borderId="10" xfId="0" applyNumberFormat="1" applyFont="1" applyBorder="1"/>
    <xf numFmtId="0" fontId="21" fillId="2" borderId="34" xfId="0" applyFont="1" applyFill="1" applyBorder="1"/>
    <xf numFmtId="0" fontId="21" fillId="2" borderId="35" xfId="0" applyFont="1" applyFill="1" applyBorder="1"/>
    <xf numFmtId="168" fontId="21" fillId="2" borderId="35" xfId="0" applyNumberFormat="1" applyFont="1" applyFill="1" applyBorder="1"/>
    <xf numFmtId="37" fontId="21" fillId="2" borderId="74" xfId="0" applyNumberFormat="1" applyFont="1" applyFill="1" applyBorder="1"/>
    <xf numFmtId="168" fontId="21" fillId="2" borderId="38" xfId="0" applyNumberFormat="1" applyFont="1" applyFill="1" applyBorder="1"/>
    <xf numFmtId="0" fontId="21" fillId="2" borderId="38" xfId="0" applyFont="1" applyFill="1" applyBorder="1"/>
    <xf numFmtId="37" fontId="21" fillId="2" borderId="35" xfId="0" applyNumberFormat="1" applyFont="1" applyFill="1" applyBorder="1"/>
    <xf numFmtId="0" fontId="21" fillId="2" borderId="75" xfId="0" applyFont="1" applyFill="1" applyBorder="1"/>
    <xf numFmtId="166" fontId="7" fillId="0" borderId="0" xfId="0" applyNumberFormat="1" applyFont="1"/>
    <xf numFmtId="166" fontId="20" fillId="0" borderId="0" xfId="0" applyNumberFormat="1" applyFont="1"/>
    <xf numFmtId="168" fontId="14" fillId="0" borderId="70" xfId="0" applyNumberFormat="1" applyFont="1" applyBorder="1"/>
    <xf numFmtId="169" fontId="21" fillId="2" borderId="35" xfId="0" applyNumberFormat="1" applyFont="1" applyFill="1" applyBorder="1"/>
    <xf numFmtId="37" fontId="21" fillId="2" borderId="38" xfId="0" applyNumberFormat="1" applyFont="1" applyFill="1" applyBorder="1"/>
    <xf numFmtId="37" fontId="21" fillId="2" borderId="75" xfId="0" applyNumberFormat="1" applyFont="1" applyFill="1" applyBorder="1"/>
    <xf numFmtId="37" fontId="20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76" xfId="0" applyNumberFormat="1" applyFont="1" applyBorder="1"/>
    <xf numFmtId="0" fontId="14" fillId="0" borderId="77" xfId="0" applyFont="1" applyBorder="1"/>
    <xf numFmtId="169" fontId="14" fillId="0" borderId="7" xfId="0" applyNumberFormat="1" applyFont="1" applyBorder="1"/>
    <xf numFmtId="37" fontId="14" fillId="0" borderId="7" xfId="0" applyNumberFormat="1" applyFont="1" applyBorder="1"/>
    <xf numFmtId="168" fontId="14" fillId="0" borderId="7" xfId="0" applyNumberFormat="1" applyFont="1" applyBorder="1"/>
    <xf numFmtId="37" fontId="14" fillId="0" borderId="78" xfId="0" applyNumberFormat="1" applyFont="1" applyBorder="1"/>
    <xf numFmtId="0" fontId="14" fillId="0" borderId="47" xfId="0" applyFont="1" applyBorder="1" applyAlignment="1">
      <alignment horizontal="right"/>
    </xf>
    <xf numFmtId="0" fontId="14" fillId="0" borderId="47" xfId="0" applyFont="1" applyBorder="1"/>
    <xf numFmtId="37" fontId="14" fillId="0" borderId="79" xfId="0" applyNumberFormat="1" applyFont="1" applyBorder="1"/>
    <xf numFmtId="0" fontId="14" fillId="0" borderId="80" xfId="0" applyFont="1" applyBorder="1"/>
    <xf numFmtId="169" fontId="14" fillId="0" borderId="47" xfId="0" applyNumberFormat="1" applyFont="1" applyBorder="1"/>
    <xf numFmtId="37" fontId="14" fillId="0" borderId="80" xfId="0" applyNumberFormat="1" applyFont="1" applyBorder="1"/>
    <xf numFmtId="37" fontId="14" fillId="0" borderId="47" xfId="0" applyNumberFormat="1" applyFont="1" applyBorder="1"/>
    <xf numFmtId="168" fontId="14" fillId="0" borderId="47" xfId="0" applyNumberFormat="1" applyFont="1" applyBorder="1"/>
    <xf numFmtId="37" fontId="14" fillId="0" borderId="81" xfId="0" applyNumberFormat="1" applyFont="1" applyBorder="1"/>
    <xf numFmtId="168" fontId="14" fillId="0" borderId="82" xfId="0" applyNumberFormat="1" applyFont="1" applyBorder="1"/>
    <xf numFmtId="170" fontId="20" fillId="0" borderId="0" xfId="0" applyNumberFormat="1" applyFont="1"/>
    <xf numFmtId="0" fontId="14" fillId="2" borderId="35" xfId="0" applyFont="1" applyFill="1" applyBorder="1"/>
    <xf numFmtId="168" fontId="21" fillId="2" borderId="39" xfId="0" applyNumberFormat="1" applyFont="1" applyFill="1" applyBorder="1"/>
    <xf numFmtId="168" fontId="21" fillId="0" borderId="0" xfId="0" applyNumberFormat="1" applyFont="1"/>
    <xf numFmtId="0" fontId="21" fillId="0" borderId="0" xfId="0" applyFont="1"/>
    <xf numFmtId="0" fontId="20" fillId="3" borderId="0" xfId="0" applyFont="1" applyFill="1"/>
    <xf numFmtId="168" fontId="14" fillId="0" borderId="76" xfId="0" applyNumberFormat="1" applyFont="1" applyBorder="1"/>
    <xf numFmtId="0" fontId="14" fillId="0" borderId="70" xfId="0" applyFont="1" applyBorder="1"/>
    <xf numFmtId="0" fontId="14" fillId="0" borderId="72" xfId="0" applyFont="1" applyBorder="1"/>
    <xf numFmtId="168" fontId="14" fillId="0" borderId="83" xfId="0" applyNumberFormat="1" applyFont="1" applyBorder="1"/>
    <xf numFmtId="168" fontId="21" fillId="0" borderId="7" xfId="0" applyNumberFormat="1" applyFont="1" applyBorder="1"/>
    <xf numFmtId="0" fontId="21" fillId="0" borderId="7" xfId="0" applyFont="1" applyBorder="1"/>
    <xf numFmtId="168" fontId="21" fillId="0" borderId="77" xfId="0" applyNumberFormat="1" applyFont="1" applyBorder="1"/>
    <xf numFmtId="37" fontId="21" fillId="0" borderId="77" xfId="0" applyNumberFormat="1" applyFont="1" applyBorder="1"/>
    <xf numFmtId="37" fontId="14" fillId="0" borderId="84" xfId="0" applyNumberFormat="1" applyFont="1" applyBorder="1"/>
    <xf numFmtId="37" fontId="21" fillId="0" borderId="7" xfId="0" applyNumberFormat="1" applyFont="1" applyBorder="1"/>
    <xf numFmtId="168" fontId="21" fillId="0" borderId="71" xfId="0" applyNumberFormat="1" applyFont="1" applyBorder="1"/>
    <xf numFmtId="37" fontId="21" fillId="0" borderId="71" xfId="0" applyNumberFormat="1" applyFont="1" applyBorder="1"/>
    <xf numFmtId="37" fontId="14" fillId="0" borderId="85" xfId="0" applyNumberFormat="1" applyFont="1" applyBorder="1"/>
    <xf numFmtId="37" fontId="21" fillId="0" borderId="0" xfId="0" applyNumberFormat="1" applyFont="1"/>
    <xf numFmtId="168" fontId="14" fillId="2" borderId="38" xfId="0" applyNumberFormat="1" applyFont="1" applyFill="1" applyBorder="1"/>
    <xf numFmtId="168" fontId="14" fillId="2" borderId="35" xfId="0" applyNumberFormat="1" applyFont="1" applyFill="1" applyBorder="1"/>
    <xf numFmtId="37" fontId="14" fillId="2" borderId="75" xfId="0" applyNumberFormat="1" applyFont="1" applyFill="1" applyBorder="1"/>
    <xf numFmtId="0" fontId="21" fillId="3" borderId="6" xfId="0" applyFont="1" applyFill="1" applyBorder="1"/>
    <xf numFmtId="0" fontId="21" fillId="3" borderId="7" xfId="0" applyFont="1" applyFill="1" applyBorder="1"/>
    <xf numFmtId="37" fontId="21" fillId="3" borderId="7" xfId="0" applyNumberFormat="1" applyFont="1" applyFill="1" applyBorder="1"/>
    <xf numFmtId="37" fontId="14" fillId="3" borderId="76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77" xfId="0" applyNumberFormat="1" applyFont="1" applyFill="1" applyBorder="1"/>
    <xf numFmtId="37" fontId="14" fillId="3" borderId="0" xfId="0" applyNumberFormat="1" applyFont="1" applyFill="1"/>
    <xf numFmtId="168" fontId="14" fillId="3" borderId="0" xfId="0" applyNumberFormat="1" applyFont="1" applyFill="1"/>
    <xf numFmtId="168" fontId="14" fillId="3" borderId="77" xfId="0" applyNumberFormat="1" applyFont="1" applyFill="1" applyBorder="1"/>
    <xf numFmtId="168" fontId="14" fillId="3" borderId="7" xfId="0" applyNumberFormat="1" applyFont="1" applyFill="1" applyBorder="1"/>
    <xf numFmtId="37" fontId="14" fillId="3" borderId="78" xfId="0" applyNumberFormat="1" applyFont="1" applyFill="1" applyBorder="1"/>
    <xf numFmtId="168" fontId="14" fillId="0" borderId="45" xfId="0" applyNumberFormat="1" applyFont="1" applyBorder="1"/>
    <xf numFmtId="0" fontId="21" fillId="2" borderId="57" xfId="0" applyFont="1" applyFill="1" applyBorder="1"/>
    <xf numFmtId="0" fontId="21" fillId="2" borderId="58" xfId="0" applyFont="1" applyFill="1" applyBorder="1"/>
    <xf numFmtId="0" fontId="21" fillId="2" borderId="58" xfId="0" applyFont="1" applyFill="1" applyBorder="1" applyAlignment="1">
      <alignment horizontal="center"/>
    </xf>
    <xf numFmtId="168" fontId="21" fillId="2" borderId="58" xfId="0" applyNumberFormat="1" applyFont="1" applyFill="1" applyBorder="1"/>
    <xf numFmtId="37" fontId="21" fillId="2" borderId="86" xfId="0" applyNumberFormat="1" applyFont="1" applyFill="1" applyBorder="1"/>
    <xf numFmtId="37" fontId="21" fillId="2" borderId="58" xfId="0" applyNumberFormat="1" applyFont="1" applyFill="1" applyBorder="1"/>
    <xf numFmtId="37" fontId="21" fillId="2" borderId="87" xfId="0" applyNumberFormat="1" applyFont="1" applyFill="1" applyBorder="1"/>
    <xf numFmtId="168" fontId="21" fillId="2" borderId="88" xfId="0" applyNumberFormat="1" applyFont="1" applyFill="1" applyBorder="1"/>
    <xf numFmtId="0" fontId="21" fillId="2" borderId="87" xfId="0" applyFont="1" applyFill="1" applyBorder="1" applyAlignment="1">
      <alignment horizontal="center"/>
    </xf>
    <xf numFmtId="37" fontId="21" fillId="2" borderId="89" xfId="0" applyNumberFormat="1" applyFont="1" applyFill="1" applyBorder="1"/>
    <xf numFmtId="168" fontId="21" fillId="2" borderId="46" xfId="0" applyNumberFormat="1" applyFont="1" applyFill="1" applyBorder="1"/>
    <xf numFmtId="39" fontId="14" fillId="0" borderId="0" xfId="0" applyNumberFormat="1" applyFont="1"/>
    <xf numFmtId="0" fontId="21" fillId="2" borderId="90" xfId="0" applyFont="1" applyFill="1" applyBorder="1"/>
    <xf numFmtId="0" fontId="21" fillId="2" borderId="91" xfId="0" applyFont="1" applyFill="1" applyBorder="1"/>
    <xf numFmtId="0" fontId="21" fillId="2" borderId="91" xfId="0" applyFont="1" applyFill="1" applyBorder="1" applyAlignment="1">
      <alignment horizontal="center"/>
    </xf>
    <xf numFmtId="168" fontId="21" fillId="2" borderId="91" xfId="0" applyNumberFormat="1" applyFont="1" applyFill="1" applyBorder="1"/>
    <xf numFmtId="37" fontId="21" fillId="2" borderId="92" xfId="0" applyNumberFormat="1" applyFont="1" applyFill="1" applyBorder="1"/>
    <xf numFmtId="37" fontId="21" fillId="2" borderId="91" xfId="0" applyNumberFormat="1" applyFont="1" applyFill="1" applyBorder="1"/>
    <xf numFmtId="37" fontId="21" fillId="2" borderId="93" xfId="0" applyNumberFormat="1" applyFont="1" applyFill="1" applyBorder="1"/>
    <xf numFmtId="37" fontId="21" fillId="2" borderId="94" xfId="0" applyNumberFormat="1" applyFont="1" applyFill="1" applyBorder="1"/>
    <xf numFmtId="37" fontId="21" fillId="2" borderId="63" xfId="0" applyNumberFormat="1" applyFont="1" applyFill="1" applyBorder="1"/>
    <xf numFmtId="168" fontId="21" fillId="2" borderId="66" xfId="0" applyNumberFormat="1" applyFont="1" applyFill="1" applyBorder="1"/>
    <xf numFmtId="0" fontId="20" fillId="0" borderId="18" xfId="0" applyFont="1" applyBorder="1"/>
    <xf numFmtId="37" fontId="20" fillId="0" borderId="70" xfId="0" applyNumberFormat="1" applyFont="1" applyBorder="1"/>
    <xf numFmtId="0" fontId="20" fillId="0" borderId="70" xfId="0" applyFont="1" applyBorder="1"/>
    <xf numFmtId="0" fontId="20" fillId="0" borderId="85" xfId="0" applyFont="1" applyBorder="1"/>
    <xf numFmtId="0" fontId="20" fillId="0" borderId="72" xfId="0" applyFont="1" applyBorder="1"/>
    <xf numFmtId="0" fontId="20" fillId="0" borderId="10" xfId="0" applyFont="1" applyBorder="1"/>
    <xf numFmtId="0" fontId="7" fillId="0" borderId="72" xfId="0" applyFont="1" applyBorder="1"/>
    <xf numFmtId="168" fontId="21" fillId="2" borderId="61" xfId="0" applyNumberFormat="1" applyFont="1" applyFill="1" applyBorder="1"/>
    <xf numFmtId="0" fontId="23" fillId="0" borderId="0" xfId="0" applyFont="1"/>
    <xf numFmtId="37" fontId="23" fillId="0" borderId="0" xfId="0" applyNumberFormat="1" applyFont="1"/>
    <xf numFmtId="37" fontId="24" fillId="0" borderId="0" xfId="0" applyNumberFormat="1" applyFont="1"/>
    <xf numFmtId="0" fontId="23" fillId="3" borderId="0" xfId="0" applyFont="1" applyFill="1"/>
    <xf numFmtId="37" fontId="20" fillId="3" borderId="0" xfId="0" applyNumberFormat="1" applyFont="1" applyFill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7" fontId="27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168" fontId="20" fillId="3" borderId="0" xfId="0" applyNumberFormat="1" applyFont="1" applyFill="1"/>
    <xf numFmtId="9" fontId="20" fillId="3" borderId="0" xfId="0" applyNumberFormat="1" applyFont="1" applyFill="1"/>
    <xf numFmtId="168" fontId="23" fillId="3" borderId="0" xfId="0" applyNumberFormat="1" applyFont="1" applyFill="1"/>
    <xf numFmtId="0" fontId="28" fillId="3" borderId="0" xfId="0" applyFont="1" applyFill="1"/>
    <xf numFmtId="0" fontId="26" fillId="3" borderId="0" xfId="0" applyFont="1" applyFill="1" applyAlignment="1">
      <alignment horizontal="center"/>
    </xf>
    <xf numFmtId="167" fontId="20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30" fillId="3" borderId="0" xfId="0" applyFont="1" applyFill="1"/>
    <xf numFmtId="0" fontId="32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33" fillId="0" borderId="96" xfId="0" applyFont="1" applyBorder="1" applyAlignment="1">
      <alignment vertical="center"/>
    </xf>
    <xf numFmtId="0" fontId="33" fillId="0" borderId="97" xfId="0" applyFont="1" applyBorder="1" applyAlignment="1">
      <alignment vertical="center"/>
    </xf>
    <xf numFmtId="37" fontId="33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33" fillId="7" borderId="95" xfId="0" applyFont="1" applyFill="1" applyBorder="1" applyAlignment="1">
      <alignment horizontal="center"/>
    </xf>
    <xf numFmtId="0" fontId="33" fillId="8" borderId="95" xfId="0" applyFont="1" applyFill="1" applyBorder="1" applyAlignment="1">
      <alignment horizontal="center"/>
    </xf>
    <xf numFmtId="0" fontId="33" fillId="5" borderId="95" xfId="0" applyFont="1" applyFill="1" applyBorder="1" applyAlignment="1">
      <alignment horizontal="center"/>
    </xf>
    <xf numFmtId="3" fontId="32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33" fillId="0" borderId="100" xfId="0" applyNumberFormat="1" applyFont="1" applyBorder="1" applyAlignment="1">
      <alignment horizontal="center" vertical="center"/>
    </xf>
    <xf numFmtId="3" fontId="32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/>
    </xf>
    <xf numFmtId="3" fontId="7" fillId="0" borderId="0" xfId="0" applyNumberFormat="1" applyFont="1"/>
    <xf numFmtId="0" fontId="13" fillId="0" borderId="0" xfId="0" applyFont="1"/>
    <xf numFmtId="0" fontId="37" fillId="0" borderId="0" xfId="0" applyFont="1" applyAlignment="1">
      <alignment horizontal="center"/>
    </xf>
    <xf numFmtId="3" fontId="37" fillId="0" borderId="0" xfId="0" applyNumberFormat="1" applyFont="1" applyAlignment="1">
      <alignment horizontal="center"/>
    </xf>
    <xf numFmtId="39" fontId="10" fillId="3" borderId="12" xfId="0" applyNumberFormat="1" applyFont="1" applyFill="1" applyBorder="1"/>
    <xf numFmtId="0" fontId="21" fillId="2" borderId="101" xfId="0" applyFont="1" applyFill="1" applyBorder="1"/>
    <xf numFmtId="0" fontId="21" fillId="2" borderId="102" xfId="0" applyFont="1" applyFill="1" applyBorder="1"/>
    <xf numFmtId="0" fontId="21" fillId="2" borderId="102" xfId="0" applyFont="1" applyFill="1" applyBorder="1" applyAlignment="1">
      <alignment horizontal="center"/>
    </xf>
    <xf numFmtId="168" fontId="21" fillId="2" borderId="102" xfId="0" applyNumberFormat="1" applyFont="1" applyFill="1" applyBorder="1"/>
    <xf numFmtId="37" fontId="21" fillId="2" borderId="103" xfId="0" applyNumberFormat="1" applyFont="1" applyFill="1" applyBorder="1"/>
    <xf numFmtId="37" fontId="21" fillId="2" borderId="102" xfId="0" applyNumberFormat="1" applyFont="1" applyFill="1" applyBorder="1"/>
    <xf numFmtId="37" fontId="21" fillId="2" borderId="104" xfId="0" applyNumberFormat="1" applyFont="1" applyFill="1" applyBorder="1"/>
    <xf numFmtId="168" fontId="21" fillId="2" borderId="105" xfId="0" applyNumberFormat="1" applyFont="1" applyFill="1" applyBorder="1"/>
    <xf numFmtId="37" fontId="21" fillId="2" borderId="106" xfId="0" applyNumberFormat="1" applyFont="1" applyFill="1" applyBorder="1"/>
    <xf numFmtId="168" fontId="21" fillId="2" borderId="107" xfId="0" applyNumberFormat="1" applyFont="1" applyFill="1" applyBorder="1"/>
    <xf numFmtId="10" fontId="9" fillId="0" borderId="0" xfId="0" applyNumberFormat="1" applyFont="1"/>
    <xf numFmtId="175" fontId="9" fillId="0" borderId="0" xfId="0" applyNumberFormat="1" applyFont="1"/>
    <xf numFmtId="0" fontId="33" fillId="7" borderId="95" xfId="0" applyFont="1" applyFill="1" applyBorder="1" applyAlignment="1">
      <alignment horizontal="center" vertical="center"/>
    </xf>
    <xf numFmtId="0" fontId="33" fillId="8" borderId="95" xfId="0" applyFon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 vertical="center"/>
    </xf>
    <xf numFmtId="0" fontId="33" fillId="5" borderId="95" xfId="0" applyFont="1" applyFill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1" fillId="0" borderId="63" xfId="0" applyFont="1" applyBorder="1"/>
    <xf numFmtId="0" fontId="11" fillId="0" borderId="66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4" xfId="0" applyFont="1" applyBorder="1" applyAlignment="1">
      <alignment horizontal="center"/>
    </xf>
    <xf numFmtId="0" fontId="11" fillId="0" borderId="5" xfId="0" applyFont="1" applyBorder="1"/>
    <xf numFmtId="0" fontId="10" fillId="0" borderId="63" xfId="0" applyFont="1" applyBorder="1" applyAlignment="1">
      <alignment horizontal="center" vertical="center"/>
    </xf>
    <xf numFmtId="0" fontId="11" fillId="0" borderId="64" xfId="0" applyFont="1" applyBorder="1"/>
    <xf numFmtId="0" fontId="10" fillId="0" borderId="49" xfId="0" applyFont="1" applyBorder="1" applyAlignment="1">
      <alignment horizontal="center"/>
    </xf>
    <xf numFmtId="0" fontId="11" fillId="0" borderId="50" xfId="0" applyFont="1" applyBorder="1"/>
    <xf numFmtId="0" fontId="39" fillId="0" borderId="0" xfId="0" applyFont="1" applyAlignment="1">
      <alignment horizontal="center"/>
    </xf>
    <xf numFmtId="0" fontId="39" fillId="0" borderId="0" xfId="0" applyFont="1"/>
    <xf numFmtId="0" fontId="8" fillId="0" borderId="0" xfId="0" quotePrefix="1" applyFont="1"/>
    <xf numFmtId="3" fontId="9" fillId="0" borderId="108" xfId="0" applyNumberFormat="1" applyFont="1" applyBorder="1"/>
    <xf numFmtId="3" fontId="9" fillId="0" borderId="109" xfId="0" applyNumberFormat="1" applyFont="1" applyBorder="1"/>
    <xf numFmtId="3" fontId="9" fillId="0" borderId="110" xfId="0" applyNumberFormat="1" applyFont="1" applyBorder="1"/>
    <xf numFmtId="0" fontId="9" fillId="0" borderId="0" xfId="0" quotePrefix="1" applyFont="1"/>
    <xf numFmtId="0" fontId="9" fillId="2" borderId="111" xfId="0" applyFont="1" applyFill="1" applyBorder="1"/>
    <xf numFmtId="37" fontId="10" fillId="2" borderId="112" xfId="0" applyNumberFormat="1" applyFont="1" applyFill="1" applyBorder="1"/>
    <xf numFmtId="39" fontId="12" fillId="0" borderId="113" xfId="0" applyNumberFormat="1" applyFont="1" applyBorder="1"/>
    <xf numFmtId="2" fontId="10" fillId="0" borderId="8" xfId="0" applyNumberFormat="1" applyFont="1" applyBorder="1"/>
    <xf numFmtId="0" fontId="9" fillId="0" borderId="23" xfId="0" applyFont="1" applyBorder="1"/>
    <xf numFmtId="0" fontId="9" fillId="0" borderId="15" xfId="0" applyFont="1" applyBorder="1"/>
    <xf numFmtId="37" fontId="9" fillId="0" borderId="73" xfId="0" applyNumberFormat="1" applyFont="1" applyBorder="1"/>
    <xf numFmtId="10" fontId="9" fillId="0" borderId="8" xfId="0" applyNumberFormat="1" applyFont="1" applyBorder="1"/>
    <xf numFmtId="0" fontId="9" fillId="0" borderId="13" xfId="0" applyFont="1" applyBorder="1" applyAlignment="1">
      <alignment horizontal="center"/>
    </xf>
    <xf numFmtId="1" fontId="0" fillId="0" borderId="0" xfId="0" applyNumberFormat="1"/>
    <xf numFmtId="178" fontId="0" fillId="0" borderId="0" xfId="0" applyNumberFormat="1"/>
    <xf numFmtId="10" fontId="20" fillId="0" borderId="0" xfId="0" applyNumberFormat="1" applyFont="1"/>
    <xf numFmtId="1" fontId="20" fillId="0" borderId="0" xfId="0" applyNumberFormat="1" applyFont="1"/>
    <xf numFmtId="10" fontId="20" fillId="0" borderId="0" xfId="0" applyNumberFormat="1" applyFont="1" applyAlignment="1">
      <alignment horizontal="center"/>
    </xf>
    <xf numFmtId="178" fontId="20" fillId="0" borderId="0" xfId="0" applyNumberFormat="1" applyFont="1"/>
    <xf numFmtId="1" fontId="23" fillId="0" borderId="0" xfId="0" applyNumberFormat="1" applyFont="1"/>
    <xf numFmtId="10" fontId="23" fillId="0" borderId="0" xfId="0" applyNumberFormat="1" applyFont="1"/>
    <xf numFmtId="178" fontId="23" fillId="0" borderId="0" xfId="0" applyNumberFormat="1" applyFont="1"/>
    <xf numFmtId="3" fontId="40" fillId="0" borderId="0" xfId="0" applyNumberFormat="1" applyFont="1"/>
    <xf numFmtId="3" fontId="20" fillId="0" borderId="0" xfId="0" applyNumberFormat="1" applyFont="1"/>
    <xf numFmtId="10" fontId="20" fillId="0" borderId="0" xfId="0" quotePrefix="1" applyNumberFormat="1" applyFont="1"/>
    <xf numFmtId="1" fontId="20" fillId="0" borderId="0" xfId="0" quotePrefix="1" applyNumberFormat="1" applyFont="1"/>
    <xf numFmtId="0" fontId="20" fillId="0" borderId="0" xfId="0" quotePrefix="1" applyFont="1"/>
    <xf numFmtId="0" fontId="20" fillId="9" borderId="0" xfId="0" applyFont="1" applyFill="1"/>
    <xf numFmtId="168" fontId="21" fillId="2" borderId="86" xfId="0" applyNumberFormat="1" applyFont="1" applyFill="1" applyBorder="1"/>
    <xf numFmtId="10" fontId="21" fillId="0" borderId="0" xfId="0" applyNumberFormat="1" applyFont="1"/>
    <xf numFmtId="10" fontId="8" fillId="0" borderId="0" xfId="0" applyNumberFormat="1" applyFont="1"/>
  </cellXfs>
  <cellStyles count="16"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1107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4" sqref="C4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206</v>
      </c>
      <c r="C3" t="s">
        <v>269</v>
      </c>
      <c r="P3" s="441"/>
      <c r="Q3" s="442"/>
    </row>
    <row r="5" spans="1:17" s="419" customFormat="1" ht="16.5" customHeight="1"/>
    <row r="6" spans="1:17" s="419" customFormat="1" ht="16.5" customHeight="1">
      <c r="B6" s="456" t="s">
        <v>198</v>
      </c>
      <c r="C6" s="456"/>
      <c r="D6" s="456"/>
      <c r="E6" s="456"/>
      <c r="F6" s="457" t="s">
        <v>199</v>
      </c>
      <c r="G6" s="457"/>
      <c r="H6" s="457"/>
      <c r="I6" s="457"/>
      <c r="J6" s="458" t="s">
        <v>200</v>
      </c>
      <c r="K6" s="458"/>
      <c r="L6" s="458"/>
      <c r="M6" s="458"/>
      <c r="N6" s="459" t="s">
        <v>201</v>
      </c>
      <c r="O6" s="459"/>
      <c r="P6" s="459"/>
      <c r="Q6" s="459"/>
    </row>
    <row r="7" spans="1:17" s="419" customFormat="1" ht="16.5" customHeight="1">
      <c r="A7"/>
      <c r="B7" s="426" t="s">
        <v>191</v>
      </c>
      <c r="C7" s="426" t="s">
        <v>192</v>
      </c>
      <c r="D7" s="426" t="s">
        <v>193</v>
      </c>
      <c r="E7" s="426" t="s">
        <v>194</v>
      </c>
      <c r="F7" s="427" t="s">
        <v>191</v>
      </c>
      <c r="G7" s="427" t="s">
        <v>192</v>
      </c>
      <c r="H7" s="427" t="s">
        <v>193</v>
      </c>
      <c r="I7" s="427" t="s">
        <v>194</v>
      </c>
      <c r="J7" s="438" t="s">
        <v>191</v>
      </c>
      <c r="K7" s="438" t="s">
        <v>192</v>
      </c>
      <c r="L7" s="438" t="s">
        <v>193</v>
      </c>
      <c r="M7" s="438" t="s">
        <v>194</v>
      </c>
      <c r="N7" s="428" t="s">
        <v>191</v>
      </c>
      <c r="O7" s="428" t="s">
        <v>192</v>
      </c>
      <c r="P7" s="428" t="s">
        <v>193</v>
      </c>
      <c r="Q7" s="428" t="s">
        <v>194</v>
      </c>
    </row>
    <row r="8" spans="1:17" s="419" customFormat="1" ht="16.5" customHeight="1">
      <c r="A8" s="418" t="s">
        <v>197</v>
      </c>
      <c r="B8" s="429">
        <f>+B9-B10</f>
        <v>0</v>
      </c>
      <c r="C8" s="429">
        <f t="shared" ref="C8:F8" si="0">+C9-C10</f>
        <v>0</v>
      </c>
      <c r="D8" s="429">
        <f t="shared" si="0"/>
        <v>0</v>
      </c>
      <c r="E8" s="429">
        <f t="shared" si="0"/>
        <v>0</v>
      </c>
      <c r="F8" s="429">
        <f t="shared" si="0"/>
        <v>0</v>
      </c>
      <c r="G8" s="429">
        <f t="shared" ref="G8" si="1">+G9-G10</f>
        <v>0</v>
      </c>
      <c r="H8" s="429">
        <f t="shared" ref="H8" si="2">+H9-H10</f>
        <v>0</v>
      </c>
      <c r="I8" s="429">
        <f t="shared" ref="I8:J8" si="3">+I9-I10</f>
        <v>0</v>
      </c>
      <c r="J8" s="434">
        <f t="shared" si="3"/>
        <v>0</v>
      </c>
      <c r="K8" s="434">
        <f t="shared" ref="K8" si="4">+K9-K10</f>
        <v>0</v>
      </c>
      <c r="L8" s="434">
        <f t="shared" ref="L8" si="5">+L9-L10</f>
        <v>0</v>
      </c>
      <c r="M8" s="434">
        <f t="shared" ref="M8:N8" si="6">+M9-M10</f>
        <v>0</v>
      </c>
      <c r="N8" s="429">
        <f t="shared" si="6"/>
        <v>0</v>
      </c>
      <c r="O8" s="429">
        <f t="shared" ref="O8" si="7">+O9-O10</f>
        <v>0</v>
      </c>
      <c r="P8" s="429">
        <f>+P9-P10</f>
        <v>0</v>
      </c>
      <c r="Q8" s="429">
        <f t="shared" ref="Q8" si="8">+Q9-Q10</f>
        <v>0</v>
      </c>
    </row>
    <row r="9" spans="1:17" s="419" customFormat="1" ht="16.5" customHeight="1">
      <c r="A9" s="420" t="s">
        <v>195</v>
      </c>
      <c r="B9" s="422">
        <f>+Conso!$Z$406</f>
        <v>14562152.040141772</v>
      </c>
      <c r="C9" s="422">
        <f>+Conso!$Z$407</f>
        <v>1549507.4156869221</v>
      </c>
      <c r="D9" s="422">
        <f>+Conso!$Z$483</f>
        <v>605699.2710200994</v>
      </c>
      <c r="E9" s="422">
        <f>+Conso!$Z$498</f>
        <v>569766.04697638354</v>
      </c>
      <c r="F9" s="422">
        <f>+Conso!$AC$406</f>
        <v>0</v>
      </c>
      <c r="G9" s="422">
        <f>+Conso!$AC$407</f>
        <v>0</v>
      </c>
      <c r="H9" s="422">
        <f>+Conso!$AC$483</f>
        <v>0</v>
      </c>
      <c r="I9" s="422">
        <f>+Conso!$AC$498</f>
        <v>0</v>
      </c>
      <c r="J9" s="422">
        <f>+Conso!$AF$406</f>
        <v>14216826.590000002</v>
      </c>
      <c r="K9" s="422">
        <f>+Conso!$AF$407</f>
        <v>1370046.1700000004</v>
      </c>
      <c r="L9" s="422">
        <f>+Conso!$AF$483</f>
        <v>417861.05000000045</v>
      </c>
      <c r="M9" s="422">
        <f>+Conso!$AF$498</f>
        <v>376253.28000000044</v>
      </c>
      <c r="N9" s="422">
        <f>+Conso!$AL$406</f>
        <v>13573478.81999998</v>
      </c>
      <c r="O9" s="422">
        <f>+Conso!$AL$407</f>
        <v>1505057.7899999986</v>
      </c>
      <c r="P9" s="422">
        <f>+Conso!$AL$483</f>
        <v>636598.64999999898</v>
      </c>
      <c r="Q9" s="422">
        <f>+Conso!$AL$498</f>
        <v>578038.64999999898</v>
      </c>
    </row>
    <row r="10" spans="1:17" s="419" customFormat="1" ht="16.5" customHeight="1">
      <c r="A10" s="421" t="s">
        <v>196</v>
      </c>
      <c r="B10" s="433">
        <f>+SUM(B11:B13)</f>
        <v>14562152.040141774</v>
      </c>
      <c r="C10" s="433">
        <f t="shared" ref="C10:Q10" si="9">+SUM(C11:C13)</f>
        <v>1549507.4156869221</v>
      </c>
      <c r="D10" s="433">
        <f t="shared" si="9"/>
        <v>605699.27102009929</v>
      </c>
      <c r="E10" s="433">
        <f t="shared" si="9"/>
        <v>569766.04697638354</v>
      </c>
      <c r="F10" s="433">
        <f t="shared" si="9"/>
        <v>0</v>
      </c>
      <c r="G10" s="433">
        <f t="shared" si="9"/>
        <v>0</v>
      </c>
      <c r="H10" s="433">
        <f t="shared" si="9"/>
        <v>0</v>
      </c>
      <c r="I10" s="433">
        <f t="shared" si="9"/>
        <v>0</v>
      </c>
      <c r="J10" s="433">
        <f t="shared" si="9"/>
        <v>14216826.59</v>
      </c>
      <c r="K10" s="433">
        <f t="shared" si="9"/>
        <v>1370046.1700000004</v>
      </c>
      <c r="L10" s="433">
        <f t="shared" si="9"/>
        <v>417861.05000000034</v>
      </c>
      <c r="M10" s="433">
        <f t="shared" si="9"/>
        <v>376253.28000000038</v>
      </c>
      <c r="N10" s="433">
        <f t="shared" si="9"/>
        <v>13573478.81999998</v>
      </c>
      <c r="O10" s="433">
        <f t="shared" si="9"/>
        <v>1505057.7899999986</v>
      </c>
      <c r="P10" s="433">
        <f t="shared" si="9"/>
        <v>636598.64999999851</v>
      </c>
      <c r="Q10" s="433">
        <f t="shared" si="9"/>
        <v>578038.64999999851</v>
      </c>
    </row>
    <row r="11" spans="1:17" s="419" customFormat="1" ht="16.5" customHeight="1">
      <c r="A11" s="430" t="s">
        <v>203</v>
      </c>
      <c r="B11" s="423">
        <f>+'Mois 1'!$Z$406</f>
        <v>5186555.0180582749</v>
      </c>
      <c r="C11" s="423">
        <f>+'Mois 1'!$Z$407</f>
        <v>535039.14324018499</v>
      </c>
      <c r="D11" s="423">
        <f>+'Mois 1'!$Z$483</f>
        <v>223310.82439715162</v>
      </c>
      <c r="E11" s="423">
        <f>+'Mois 1'!$Z$498</f>
        <v>211234.26702010244</v>
      </c>
      <c r="F11" s="423">
        <f>+'Mois 1'!$AC$406</f>
        <v>0</v>
      </c>
      <c r="G11" s="423">
        <f>+'Mois 1'!$AC$407</f>
        <v>0</v>
      </c>
      <c r="H11" s="423">
        <f>+'Mois 1'!$AC$483</f>
        <v>0</v>
      </c>
      <c r="I11" s="423">
        <f>+'Mois 1'!$AC$498</f>
        <v>0</v>
      </c>
      <c r="J11" s="435">
        <f>+'Mois 1'!$AF$406</f>
        <v>5136322.25</v>
      </c>
      <c r="K11" s="435">
        <f>+'Mois 1'!$AF$407</f>
        <v>471251.61000000022</v>
      </c>
      <c r="L11" s="435">
        <f>+'Mois 1'!$AF$483</f>
        <v>167576.77000000031</v>
      </c>
      <c r="M11" s="435">
        <f>+'Mois 1'!$AF$498</f>
        <v>153682.18000000031</v>
      </c>
      <c r="N11" s="423">
        <f>+'Mois 1'!$AL$406</f>
        <v>4519395.8499999903</v>
      </c>
      <c r="O11" s="423">
        <f>+'Mois 1'!$AL$407</f>
        <v>489317.75999999949</v>
      </c>
      <c r="P11" s="423">
        <f>+'Mois 1'!$AL$483</f>
        <v>212343.45999999944</v>
      </c>
      <c r="Q11" s="423">
        <f>+'Mois 1'!$AL$498</f>
        <v>192823.45999999944</v>
      </c>
    </row>
    <row r="12" spans="1:17" s="419" customFormat="1" ht="16.5" customHeight="1">
      <c r="A12" s="431" t="s">
        <v>204</v>
      </c>
      <c r="B12" s="424">
        <f>+'Mois 2'!$Z$406</f>
        <v>5281290.8870769488</v>
      </c>
      <c r="C12" s="424">
        <f>+'Mois 2'!$Z$407</f>
        <v>569755.57458954141</v>
      </c>
      <c r="D12" s="424">
        <f>+'Mois 2'!$Z$483</f>
        <v>250098.63104288428</v>
      </c>
      <c r="E12" s="424">
        <f>+'Mois 2'!$Z$498</f>
        <v>238318.5217532668</v>
      </c>
      <c r="F12" s="424">
        <f>+'Mois 2'!$AC$406</f>
        <v>0</v>
      </c>
      <c r="G12" s="424">
        <f>+'Mois 2'!$AC$407</f>
        <v>0</v>
      </c>
      <c r="H12" s="424">
        <f>+'Mois 2'!$AC$483</f>
        <v>0</v>
      </c>
      <c r="I12" s="424">
        <f>+'Mois 2'!$AC$498</f>
        <v>0</v>
      </c>
      <c r="J12" s="436">
        <f>+'Mois 2'!$AF$406</f>
        <v>5500461.7200000007</v>
      </c>
      <c r="K12" s="436">
        <f>+'Mois 2'!$AF$407</f>
        <v>570108.12000000011</v>
      </c>
      <c r="L12" s="436">
        <f>+'Mois 2'!$AF$483</f>
        <v>224884.24000000005</v>
      </c>
      <c r="M12" s="436">
        <f>+'Mois 2'!$AF$498</f>
        <v>211225.49000000005</v>
      </c>
      <c r="N12" s="424">
        <f>+'Mois 2'!$AL$406</f>
        <v>5228335.0699999891</v>
      </c>
      <c r="O12" s="424">
        <f>+'Mois 2'!$AL$407</f>
        <v>563683.11999999941</v>
      </c>
      <c r="P12" s="424">
        <f>+'Mois 2'!$AL$483</f>
        <v>259055.20999999956</v>
      </c>
      <c r="Q12" s="424">
        <f>+'Mois 2'!$AL$498</f>
        <v>239535.20999999956</v>
      </c>
    </row>
    <row r="13" spans="1:17">
      <c r="A13" s="432" t="s">
        <v>205</v>
      </c>
      <c r="B13" s="425">
        <f>+'Mois 3'!$Z$406</f>
        <v>4094306.1350065502</v>
      </c>
      <c r="C13" s="425">
        <f>+'Mois 3'!$Z$407</f>
        <v>444712.69785719574</v>
      </c>
      <c r="D13" s="425">
        <f>+'Mois 3'!$Z$483</f>
        <v>132289.81558006341</v>
      </c>
      <c r="E13" s="425">
        <f>+'Mois 3'!$Z$498</f>
        <v>120213.25820301424</v>
      </c>
      <c r="F13" s="425">
        <f>+'Mois 3'!$AC$406</f>
        <v>0</v>
      </c>
      <c r="G13" s="425">
        <f>+'Mois 3'!$AC$407</f>
        <v>0</v>
      </c>
      <c r="H13" s="425">
        <f>+'Mois 3'!$AC$483</f>
        <v>0</v>
      </c>
      <c r="I13" s="425">
        <f>+'Mois 3'!$AC$498</f>
        <v>0</v>
      </c>
      <c r="J13" s="437">
        <f>+'Mois 3'!$AF$406</f>
        <v>3580042.6199999992</v>
      </c>
      <c r="K13" s="437">
        <f>+'Mois 3'!$AF$407</f>
        <v>328686.44</v>
      </c>
      <c r="L13" s="437">
        <f>+'Mois 3'!$AF$483</f>
        <v>25400.039999999979</v>
      </c>
      <c r="M13" s="437">
        <f>+'Mois 3'!$AF$498</f>
        <v>11345.609999999979</v>
      </c>
      <c r="N13" s="425">
        <f>+'Mois 3'!$AL$406</f>
        <v>3825747.9</v>
      </c>
      <c r="O13" s="425">
        <f>+'Mois 3'!$AL$407</f>
        <v>452056.90999999963</v>
      </c>
      <c r="P13" s="425">
        <f>+'Mois 3'!$AL$483</f>
        <v>165199.97999999957</v>
      </c>
      <c r="Q13" s="425">
        <f>+'Mois 3'!$AL$498</f>
        <v>145679.97999999957</v>
      </c>
    </row>
  </sheetData>
  <mergeCells count="4">
    <mergeCell ref="B6:E6"/>
    <mergeCell ref="F6:I6"/>
    <mergeCell ref="J6:M6"/>
    <mergeCell ref="N6:Q6"/>
  </mergeCells>
  <phoneticPr fontId="3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02"/>
  <sheetViews>
    <sheetView tabSelected="1" view="pageBreakPreview" topLeftCell="O446" zoomScale="60" zoomScaleNormal="70" workbookViewId="0">
      <selection activeCell="AF494" sqref="AF494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CONCATENATE("Réalisé"," ",Paramètre!$C$2," ",Paramètre!$C$3)</f>
        <v>Réalisé  Q2 2024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72" t="s">
        <v>2</v>
      </c>
      <c r="E2" s="472" t="s">
        <v>3</v>
      </c>
      <c r="F2" s="472" t="s">
        <v>4</v>
      </c>
      <c r="G2" s="472" t="s">
        <v>2</v>
      </c>
      <c r="H2" s="472" t="s">
        <v>3</v>
      </c>
      <c r="I2" s="472" t="s">
        <v>4</v>
      </c>
      <c r="J2" s="472"/>
      <c r="K2" s="472"/>
      <c r="L2" s="472"/>
      <c r="M2" s="473"/>
      <c r="N2" s="473"/>
      <c r="O2" s="472"/>
      <c r="P2" s="472"/>
      <c r="Q2" s="472"/>
      <c r="R2" s="10"/>
      <c r="S2" s="10"/>
      <c r="T2" s="10"/>
      <c r="U2" s="10"/>
    </row>
    <row r="3" spans="1:40" ht="21" thickTop="1">
      <c r="B3" s="11"/>
      <c r="C3" s="12"/>
      <c r="D3" s="463" t="s">
        <v>5</v>
      </c>
      <c r="E3" s="464"/>
      <c r="F3" s="465"/>
      <c r="G3" s="466" t="s">
        <v>6</v>
      </c>
      <c r="H3" s="464"/>
      <c r="I3" s="465"/>
      <c r="J3" s="466" t="s">
        <v>7</v>
      </c>
      <c r="K3" s="464"/>
      <c r="L3" s="465"/>
      <c r="M3" s="466" t="s">
        <v>213</v>
      </c>
      <c r="N3" s="465"/>
      <c r="O3" s="463" t="s">
        <v>8</v>
      </c>
      <c r="P3" s="464"/>
      <c r="Q3" s="465"/>
      <c r="R3" s="470" t="s">
        <v>214</v>
      </c>
      <c r="S3" s="471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 t="s">
        <v>10</v>
      </c>
      <c r="H4" s="16" t="s">
        <v>11</v>
      </c>
      <c r="I4" s="17" t="s">
        <v>12</v>
      </c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13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f>+SUM(START:END!F5)</f>
        <v>7835887.3827763004</v>
      </c>
      <c r="G5" s="23"/>
      <c r="H5" s="21"/>
      <c r="I5" s="24">
        <f>+SUM(START:END!I5)</f>
        <v>0</v>
      </c>
      <c r="J5" s="23"/>
      <c r="K5" s="25"/>
      <c r="L5" s="22">
        <f>+SUM(START:END!L5)</f>
        <v>7795730.71</v>
      </c>
      <c r="M5" s="26"/>
      <c r="N5" s="27"/>
      <c r="O5" s="23"/>
      <c r="P5" s="25"/>
      <c r="Q5" s="22">
        <f>+SUM(START:END!Q5)</f>
        <v>7253509.0099999905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f>+SUM(START:END!D6)</f>
        <v>26</v>
      </c>
      <c r="E6" s="30">
        <f>IF(D6=0,0,F6/D6)</f>
        <v>5144.9382716049386</v>
      </c>
      <c r="F6" s="30">
        <f>+SUM(START:END!F6)</f>
        <v>133768.3950617284</v>
      </c>
      <c r="G6" s="31">
        <f>+SUM(START:END!G6)</f>
        <v>0</v>
      </c>
      <c r="H6" s="30">
        <f>IF(G6=0,0,I6/G6)</f>
        <v>0</v>
      </c>
      <c r="I6" s="30">
        <f>+SUM(START:END!I6)</f>
        <v>0</v>
      </c>
      <c r="J6" s="31">
        <f>+SUM(START:END!J6)</f>
        <v>32</v>
      </c>
      <c r="K6" s="30">
        <f>IF(J6=0,0,L6/J6)</f>
        <v>4953.76656250001</v>
      </c>
      <c r="L6" s="32">
        <f>+SUM(START:END!L6)</f>
        <v>158520.53000000032</v>
      </c>
      <c r="M6" s="31">
        <f t="shared" ref="M6:M12" si="2">J6-D6</f>
        <v>6</v>
      </c>
      <c r="N6" s="33">
        <f t="shared" ref="N6:N12" si="3">L6-F6</f>
        <v>24752.13493827192</v>
      </c>
      <c r="O6" s="31">
        <f>+SUM(START:END!O6)</f>
        <v>26</v>
      </c>
      <c r="P6" s="30">
        <f>IF(O6=0,0,Q6/O6)</f>
        <v>5561.4542307692227</v>
      </c>
      <c r="Q6" s="32">
        <f>+SUM(START:END!Q6)</f>
        <v>144597.80999999979</v>
      </c>
      <c r="R6" s="31">
        <f>J6-O6</f>
        <v>6</v>
      </c>
      <c r="S6" s="34">
        <f>L6-Q6</f>
        <v>13922.720000000525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 t="shared" si="1"/>
        <v>Véhicules neufsCamions détail</v>
      </c>
      <c r="B7" s="11" t="str">
        <f t="shared" si="0"/>
        <v>Véhicules neufs</v>
      </c>
      <c r="C7" s="29" t="s">
        <v>16</v>
      </c>
      <c r="D7" s="30">
        <f>+SUM(START:END!D7)</f>
        <v>49</v>
      </c>
      <c r="E7" s="30">
        <f t="shared" ref="E7:E12" si="4">IF(D7=0,0,F7/D7)</f>
        <v>5386.4238410596026</v>
      </c>
      <c r="F7" s="30">
        <f>+SUM(START:END!F7)</f>
        <v>263934.76821192051</v>
      </c>
      <c r="G7" s="31">
        <f>+SUM(START:END!G7)</f>
        <v>0</v>
      </c>
      <c r="H7" s="30">
        <f t="shared" ref="H7:H12" si="5">IF(G7=0,0,I7/G7)</f>
        <v>0</v>
      </c>
      <c r="I7" s="30">
        <f>+SUM(START:END!I7)</f>
        <v>0</v>
      </c>
      <c r="J7" s="31">
        <f>+SUM(START:END!J7)</f>
        <v>44</v>
      </c>
      <c r="K7" s="30">
        <f t="shared" ref="K7:K12" si="6">IF(J7=0,0,L7/J7)</f>
        <v>4504.2815909090914</v>
      </c>
      <c r="L7" s="32">
        <f>+SUM(START:END!L7)</f>
        <v>198188.39</v>
      </c>
      <c r="M7" s="31">
        <f t="shared" si="2"/>
        <v>-5</v>
      </c>
      <c r="N7" s="33">
        <f t="shared" si="3"/>
        <v>-65746.378211920499</v>
      </c>
      <c r="O7" s="31">
        <f>+SUM(START:END!O7)</f>
        <v>43</v>
      </c>
      <c r="P7" s="30">
        <f t="shared" ref="P7:P12" si="7">IF(O7=0,0,Q7/O7)</f>
        <v>5523.0825581395329</v>
      </c>
      <c r="Q7" s="32">
        <f>+SUM(START:END!Q7)</f>
        <v>237492.54999999993</v>
      </c>
      <c r="R7" s="31">
        <f t="shared" ref="R7:R12" si="8">J7-O7</f>
        <v>1</v>
      </c>
      <c r="S7" s="34">
        <f t="shared" ref="S7:S12" si="9">L7-Q7</f>
        <v>-39304.159999999916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 t="shared" si="1"/>
        <v>Véhicules neufsSprinter</v>
      </c>
      <c r="B8" s="11" t="str">
        <f t="shared" si="0"/>
        <v>Véhicules neufs</v>
      </c>
      <c r="C8" s="29" t="s">
        <v>17</v>
      </c>
      <c r="D8" s="30">
        <f>+SUM(START:END!D8)</f>
        <v>0</v>
      </c>
      <c r="E8" s="30">
        <f t="shared" si="4"/>
        <v>0</v>
      </c>
      <c r="F8" s="30">
        <f>+SUM(START:END!F8)</f>
        <v>0</v>
      </c>
      <c r="G8" s="31">
        <f>+SUM(START:END!G8)</f>
        <v>0</v>
      </c>
      <c r="H8" s="30">
        <f t="shared" si="5"/>
        <v>0</v>
      </c>
      <c r="I8" s="30">
        <f>+SUM(START:END!I8)</f>
        <v>0</v>
      </c>
      <c r="J8" s="31">
        <f>+SUM(START:END!J8)</f>
        <v>0</v>
      </c>
      <c r="K8" s="30">
        <f t="shared" si="6"/>
        <v>0</v>
      </c>
      <c r="L8" s="32">
        <f>+SUM(START:END!L8)</f>
        <v>0</v>
      </c>
      <c r="M8" s="31">
        <f t="shared" si="2"/>
        <v>0</v>
      </c>
      <c r="N8" s="33">
        <f t="shared" si="3"/>
        <v>0</v>
      </c>
      <c r="O8" s="31">
        <f>+SUM(START:END!O8)</f>
        <v>0</v>
      </c>
      <c r="P8" s="30">
        <f t="shared" si="7"/>
        <v>0</v>
      </c>
      <c r="Q8" s="32">
        <f>+SUM(START:END!Q8)</f>
        <v>0</v>
      </c>
      <c r="R8" s="31">
        <f t="shared" si="8"/>
        <v>0</v>
      </c>
      <c r="S8" s="34">
        <f t="shared" si="9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 t="shared" si="1"/>
        <v>Véhicules neufsMoto détail</v>
      </c>
      <c r="B9" s="11" t="str">
        <f t="shared" si="0"/>
        <v>Véhicules neufs</v>
      </c>
      <c r="C9" s="29" t="s">
        <v>18</v>
      </c>
      <c r="D9" s="30">
        <f>+SUM(START:END!D9)</f>
        <v>0</v>
      </c>
      <c r="E9" s="30">
        <f t="shared" si="4"/>
        <v>0</v>
      </c>
      <c r="F9" s="30">
        <f>+SUM(START:END!F9)</f>
        <v>0</v>
      </c>
      <c r="G9" s="31">
        <f>+SUM(START:END!G9)</f>
        <v>0</v>
      </c>
      <c r="H9" s="30">
        <f t="shared" si="5"/>
        <v>0</v>
      </c>
      <c r="I9" s="30">
        <f>+SUM(START:END!I9)</f>
        <v>0</v>
      </c>
      <c r="J9" s="31">
        <f>+SUM(START:END!J9)</f>
        <v>0</v>
      </c>
      <c r="K9" s="30">
        <f t="shared" si="6"/>
        <v>0</v>
      </c>
      <c r="L9" s="32">
        <f>+SUM(START:END!L9)</f>
        <v>0</v>
      </c>
      <c r="M9" s="31">
        <f t="shared" si="2"/>
        <v>0</v>
      </c>
      <c r="N9" s="33">
        <f t="shared" si="3"/>
        <v>0</v>
      </c>
      <c r="O9" s="31">
        <f>+SUM(START:END!O9)</f>
        <v>0</v>
      </c>
      <c r="P9" s="30">
        <f t="shared" si="7"/>
        <v>0</v>
      </c>
      <c r="Q9" s="32">
        <f>+SUM(START:END!Q9)</f>
        <v>0</v>
      </c>
      <c r="R9" s="31">
        <f t="shared" si="8"/>
        <v>0</v>
      </c>
      <c r="S9" s="34">
        <f t="shared" si="9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 t="shared" si="1"/>
        <v>Véhicules neufs[...]</v>
      </c>
      <c r="B10" s="11" t="str">
        <f t="shared" si="0"/>
        <v>Véhicules neufs</v>
      </c>
      <c r="C10" s="29" t="s">
        <v>19</v>
      </c>
      <c r="D10" s="30">
        <f>+SUM(START:END!D10)</f>
        <v>0</v>
      </c>
      <c r="E10" s="30">
        <f t="shared" si="4"/>
        <v>0</v>
      </c>
      <c r="F10" s="30">
        <f>+SUM(START:END!F10)</f>
        <v>0</v>
      </c>
      <c r="G10" s="31">
        <f>+SUM(START:END!G10)</f>
        <v>0</v>
      </c>
      <c r="H10" s="30">
        <f t="shared" si="5"/>
        <v>0</v>
      </c>
      <c r="I10" s="30">
        <f>+SUM(START:END!I10)</f>
        <v>0</v>
      </c>
      <c r="J10" s="31">
        <f>+SUM(START:END!J10)</f>
        <v>0</v>
      </c>
      <c r="K10" s="30">
        <f t="shared" si="6"/>
        <v>0</v>
      </c>
      <c r="L10" s="32">
        <f>+SUM(START:END!L10)</f>
        <v>0</v>
      </c>
      <c r="M10" s="31">
        <f t="shared" si="2"/>
        <v>0</v>
      </c>
      <c r="N10" s="33">
        <f t="shared" si="3"/>
        <v>0</v>
      </c>
      <c r="O10" s="31">
        <f>+SUM(START:END!O10)</f>
        <v>0</v>
      </c>
      <c r="P10" s="30">
        <f t="shared" si="7"/>
        <v>0</v>
      </c>
      <c r="Q10" s="32">
        <f>+SUM(START:END!Q10)</f>
        <v>0</v>
      </c>
      <c r="R10" s="31">
        <f t="shared" si="8"/>
        <v>0</v>
      </c>
      <c r="S10" s="34">
        <f t="shared" si="9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 t="shared" si="1"/>
        <v>Véhicules neufs[...]</v>
      </c>
      <c r="B11" s="11" t="str">
        <f t="shared" si="0"/>
        <v>Véhicules neufs</v>
      </c>
      <c r="C11" s="29" t="s">
        <v>19</v>
      </c>
      <c r="D11" s="30">
        <f>+SUM(START:END!D11)</f>
        <v>0</v>
      </c>
      <c r="E11" s="30">
        <f t="shared" si="4"/>
        <v>0</v>
      </c>
      <c r="F11" s="30">
        <f>+SUM(START:END!F11)</f>
        <v>0</v>
      </c>
      <c r="G11" s="31">
        <f>+SUM(START:END!G11)</f>
        <v>0</v>
      </c>
      <c r="H11" s="30">
        <f t="shared" si="5"/>
        <v>0</v>
      </c>
      <c r="I11" s="30">
        <f>+SUM(START:END!I11)</f>
        <v>0</v>
      </c>
      <c r="J11" s="31">
        <f>+SUM(START:END!J11)</f>
        <v>0</v>
      </c>
      <c r="K11" s="30">
        <f t="shared" si="6"/>
        <v>0</v>
      </c>
      <c r="L11" s="32">
        <f>+SUM(START:END!L11)</f>
        <v>0</v>
      </c>
      <c r="M11" s="31">
        <f t="shared" si="2"/>
        <v>0</v>
      </c>
      <c r="N11" s="33">
        <f t="shared" si="3"/>
        <v>0</v>
      </c>
      <c r="O11" s="31">
        <f>+SUM(START:END!O11)</f>
        <v>0</v>
      </c>
      <c r="P11" s="30">
        <f t="shared" si="7"/>
        <v>0</v>
      </c>
      <c r="Q11" s="32">
        <f>+SUM(START:END!Q11)</f>
        <v>0</v>
      </c>
      <c r="R11" s="31">
        <f t="shared" si="8"/>
        <v>0</v>
      </c>
      <c r="S11" s="34">
        <f t="shared" si="9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si="1"/>
        <v>Véhicules neufs[...]</v>
      </c>
      <c r="B12" s="11" t="str">
        <f t="shared" si="0"/>
        <v>Véhicules neufs</v>
      </c>
      <c r="C12" s="29" t="s">
        <v>19</v>
      </c>
      <c r="D12" s="30">
        <f>+SUM(START:END!D12)</f>
        <v>0</v>
      </c>
      <c r="E12" s="30">
        <f t="shared" si="4"/>
        <v>0</v>
      </c>
      <c r="F12" s="30">
        <f>+SUM(START:END!F12)</f>
        <v>0</v>
      </c>
      <c r="G12" s="31">
        <f>+SUM(START:END!G12)</f>
        <v>0</v>
      </c>
      <c r="H12" s="30">
        <f t="shared" si="5"/>
        <v>0</v>
      </c>
      <c r="I12" s="30">
        <f>+SUM(START:END!I12)</f>
        <v>0</v>
      </c>
      <c r="J12" s="31">
        <f>+SUM(START:END!J12)</f>
        <v>0</v>
      </c>
      <c r="K12" s="30">
        <f t="shared" si="6"/>
        <v>0</v>
      </c>
      <c r="L12" s="32">
        <f>+SUM(START:END!L12)</f>
        <v>0</v>
      </c>
      <c r="M12" s="31">
        <f t="shared" si="2"/>
        <v>0</v>
      </c>
      <c r="N12" s="33">
        <f t="shared" si="3"/>
        <v>0</v>
      </c>
      <c r="O12" s="31">
        <f>+SUM(START:END!O12)</f>
        <v>0</v>
      </c>
      <c r="P12" s="30">
        <f t="shared" si="7"/>
        <v>0</v>
      </c>
      <c r="Q12" s="32">
        <f>+SUM(START:END!Q12)</f>
        <v>0</v>
      </c>
      <c r="R12" s="31">
        <f t="shared" si="8"/>
        <v>0</v>
      </c>
      <c r="S12" s="34">
        <f t="shared" si="9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1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75</v>
      </c>
      <c r="E13" s="36">
        <f>IF(D13&lt;=0,0,F13/D13)</f>
        <v>5302.7088436486529</v>
      </c>
      <c r="F13" s="37">
        <f>+SUM(F6:F12)</f>
        <v>397703.16327364894</v>
      </c>
      <c r="G13" s="38">
        <f>+SUM(G6:G12)</f>
        <v>0</v>
      </c>
      <c r="H13" s="36">
        <f>IF(G13&lt;=0,0,I13/G13)</f>
        <v>0</v>
      </c>
      <c r="I13" s="37">
        <f>+SUM(I6:I12)</f>
        <v>0</v>
      </c>
      <c r="J13" s="38">
        <f>+SUM(J6:J12)</f>
        <v>76</v>
      </c>
      <c r="K13" s="36">
        <f>IF(J13&lt;=0,0,L13/J13)</f>
        <v>4693.5384210526363</v>
      </c>
      <c r="L13" s="37">
        <f>+SUM(L6:L12)</f>
        <v>356708.92000000033</v>
      </c>
      <c r="M13" s="38">
        <f>+SUM(M6:M12)</f>
        <v>1</v>
      </c>
      <c r="N13" s="37">
        <f t="shared" ref="N13" si="10">+SUM(N6:N12)</f>
        <v>-40994.243273648579</v>
      </c>
      <c r="O13" s="38">
        <f>+SUM(O6:O12)</f>
        <v>69</v>
      </c>
      <c r="P13" s="36">
        <f>IF(O13&lt;=0,0,Q13/O13)</f>
        <v>5537.5414492753589</v>
      </c>
      <c r="Q13" s="37">
        <f>+SUM(Q6:Q12)</f>
        <v>382090.35999999975</v>
      </c>
      <c r="R13" s="38">
        <f>+SUM(R6:R12)</f>
        <v>7</v>
      </c>
      <c r="S13" s="39">
        <f>+SUM(S6:S12)</f>
        <v>-25381.439999999391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1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1.3333333333333334E-2</v>
      </c>
      <c r="N14" s="43">
        <f>IF(F13=0,0,N13/F13)</f>
        <v>-0.10307748858774235</v>
      </c>
      <c r="O14" s="41"/>
      <c r="P14" s="30"/>
      <c r="Q14" s="40"/>
      <c r="R14" s="42">
        <f>R13/O13</f>
        <v>0.10144927536231885</v>
      </c>
      <c r="S14" s="44">
        <f>IF(Q13=0,0,(S13/Q13))</f>
        <v>-6.6427847067378004E-2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1"/>
        <v>Véhicules neufsEx-Démos et courtoisies</v>
      </c>
      <c r="B15" s="11" t="str">
        <f t="shared" si="0"/>
        <v>Véhicules neufs</v>
      </c>
      <c r="C15" s="45" t="s">
        <v>21</v>
      </c>
      <c r="D15" s="25">
        <f>+SUM(START:END!D15)</f>
        <v>8</v>
      </c>
      <c r="E15" s="25">
        <f t="shared" ref="E15" si="11">IF(D15=0,0,F15/D15)</f>
        <v>2500</v>
      </c>
      <c r="F15" s="22">
        <f>+SUM(START:END!F15)</f>
        <v>20000</v>
      </c>
      <c r="G15" s="46">
        <f>+SUM(START:END!G15)</f>
        <v>0</v>
      </c>
      <c r="H15" s="47">
        <f t="shared" ref="H15" si="12">IF(G15=0,0,I15/G15)</f>
        <v>0</v>
      </c>
      <c r="I15" s="48">
        <f>+SUM(START:END!I15)</f>
        <v>0</v>
      </c>
      <c r="J15" s="49">
        <f>+SUM(START:END!J15)</f>
        <v>11</v>
      </c>
      <c r="K15" s="50">
        <f>IF(J15=0,0,L15/J15)</f>
        <v>1789.7654545454584</v>
      </c>
      <c r="L15" s="50">
        <f>+SUM(START:END!L15)</f>
        <v>19687.420000000042</v>
      </c>
      <c r="M15" s="51">
        <f>J15-D15</f>
        <v>3</v>
      </c>
      <c r="N15" s="48">
        <f>L15-F15</f>
        <v>-312.57999999995809</v>
      </c>
      <c r="O15" s="49">
        <f>+SUM(START:END!O15)</f>
        <v>6</v>
      </c>
      <c r="P15" s="50">
        <f>IF(O15=0,0,Q15/O15)</f>
        <v>5052.8583333333163</v>
      </c>
      <c r="Q15" s="50">
        <f>+SUM(START:END!Q15)</f>
        <v>30317.1499999999</v>
      </c>
      <c r="R15" s="51">
        <f>J15-O15</f>
        <v>5</v>
      </c>
      <c r="S15" s="52">
        <f>L15-Q15</f>
        <v>-10629.729999999858</v>
      </c>
      <c r="T15" s="13"/>
      <c r="U15" s="13"/>
      <c r="V15" s="11"/>
      <c r="W15" s="474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1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1"/>
        <v>Véhicules neufsFlottes</v>
      </c>
      <c r="B17" s="11" t="str">
        <f t="shared" si="0"/>
        <v>Véhicules neufs</v>
      </c>
      <c r="C17" s="53" t="s">
        <v>22</v>
      </c>
      <c r="D17" s="30">
        <f>+SUM(START:END!D17)</f>
        <v>2</v>
      </c>
      <c r="E17" s="30">
        <f t="shared" ref="E17" si="13">IF(D17=0,0,F17/D17)</f>
        <v>2500</v>
      </c>
      <c r="F17" s="30">
        <f>+SUM(START:END!F17)</f>
        <v>5000</v>
      </c>
      <c r="G17" s="31">
        <f>+SUM(START:END!G17)</f>
        <v>0</v>
      </c>
      <c r="H17" s="30">
        <f t="shared" ref="H17" si="14">IF(G17=0,0,I17/G17)</f>
        <v>0</v>
      </c>
      <c r="I17" s="30">
        <f>+SUM(START:END!I17)</f>
        <v>0</v>
      </c>
      <c r="J17" s="51">
        <f>+SUM(START:END!J17)</f>
        <v>0</v>
      </c>
      <c r="K17" s="30">
        <f>IF(J17=0,0,L17/J17)</f>
        <v>0</v>
      </c>
      <c r="L17" s="33">
        <f>+SUM(START:END!L17)</f>
        <v>0</v>
      </c>
      <c r="M17" s="51">
        <f>J17-D17</f>
        <v>-2</v>
      </c>
      <c r="N17" s="33">
        <f>L17-F17</f>
        <v>-5000</v>
      </c>
      <c r="O17" s="51">
        <f>+SUM(START:END!O17)</f>
        <v>1</v>
      </c>
      <c r="P17" s="30">
        <f>IF(O17=0,0,Q17/O17)</f>
        <v>5638.25</v>
      </c>
      <c r="Q17" s="33">
        <f>+SUM(START:END!Q17)</f>
        <v>5638.25</v>
      </c>
      <c r="R17" s="31">
        <f>J17-O17</f>
        <v>-1</v>
      </c>
      <c r="S17" s="34">
        <f>L17-Q17</f>
        <v>-5638.25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1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1"/>
        <v>Véhicules neufsRachat bail</v>
      </c>
      <c r="B19" s="11" t="str">
        <f t="shared" si="0"/>
        <v>Véhicules neufs</v>
      </c>
      <c r="C19" s="45" t="s">
        <v>23</v>
      </c>
      <c r="D19" s="30"/>
      <c r="E19" s="30"/>
      <c r="F19" s="30">
        <f>+SUM(START:END!F19)</f>
        <v>15163.868040756337</v>
      </c>
      <c r="G19" s="31"/>
      <c r="H19" s="30"/>
      <c r="I19" s="30">
        <f>+SUM(START:END!I19)</f>
        <v>0</v>
      </c>
      <c r="J19" s="46"/>
      <c r="K19" s="30"/>
      <c r="L19" s="33">
        <f>+SUM(START:END!L19)</f>
        <v>18390.39999999998</v>
      </c>
      <c r="M19" s="31"/>
      <c r="N19" s="33">
        <f>L19-F19</f>
        <v>3226.5319592436426</v>
      </c>
      <c r="O19" s="46"/>
      <c r="P19" s="30"/>
      <c r="Q19" s="33">
        <f>+SUM(START:END!Q19)</f>
        <v>27496.250000000022</v>
      </c>
      <c r="R19" s="31">
        <f>O19-K19</f>
        <v>0</v>
      </c>
      <c r="S19" s="34">
        <f>L19-Q19</f>
        <v>-9105.8500000000422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1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1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 t="shared" ref="E21:E23" si="15">IF(D21=0,0,F21/D21)</f>
        <v>0</v>
      </c>
      <c r="F21" s="30">
        <f>+SUM(START:END!F21)</f>
        <v>7055</v>
      </c>
      <c r="G21" s="41">
        <v>0</v>
      </c>
      <c r="H21" s="30">
        <f t="shared" ref="H21:H23" si="16">IF(G21=0,0,I21/G21)</f>
        <v>0</v>
      </c>
      <c r="I21" s="30">
        <f>+SUM(START:END!I21)</f>
        <v>0</v>
      </c>
      <c r="J21" s="31"/>
      <c r="K21" s="30">
        <f>IF(J13=0,0,L21/(J13+J15))</f>
        <v>-14.129999999999999</v>
      </c>
      <c r="L21" s="33">
        <f>+SUM(START:END!L21)</f>
        <v>-1229.31</v>
      </c>
      <c r="M21" s="31"/>
      <c r="N21" s="33">
        <f>L21-F21</f>
        <v>-8284.31</v>
      </c>
      <c r="O21" s="31"/>
      <c r="P21" s="30">
        <f>IF(O13=0,0,Q21/(O13+O15))</f>
        <v>122.37333333333333</v>
      </c>
      <c r="Q21" s="33">
        <f>+SUM(START:END!Q21)</f>
        <v>9178</v>
      </c>
      <c r="R21" s="31">
        <f>O21-K21</f>
        <v>14.129999999999999</v>
      </c>
      <c r="S21" s="34">
        <f>L21-Q21</f>
        <v>-10407.31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1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 t="shared" si="15"/>
        <v>0</v>
      </c>
      <c r="F22" s="30">
        <f>+SUM(START:END!F22)</f>
        <v>84660</v>
      </c>
      <c r="G22" s="41">
        <v>0</v>
      </c>
      <c r="H22" s="30">
        <f t="shared" si="16"/>
        <v>0</v>
      </c>
      <c r="I22" s="30">
        <f>+SUM(START:END!I22)</f>
        <v>0</v>
      </c>
      <c r="J22" s="31"/>
      <c r="K22" s="30">
        <f>IF(J13=0,0,L22/(J13+J15))</f>
        <v>1196.745287356322</v>
      </c>
      <c r="L22" s="33">
        <f>+SUM(START:END!L22)</f>
        <v>104116.84000000001</v>
      </c>
      <c r="M22" s="31"/>
      <c r="N22" s="33">
        <f>L22-F22</f>
        <v>19456.840000000011</v>
      </c>
      <c r="O22" s="31"/>
      <c r="P22" s="30">
        <f>IF(O13=0,0,Q22/(O13+O15))</f>
        <v>1178.865333333332</v>
      </c>
      <c r="Q22" s="33">
        <f>+SUM(START:END!Q22)</f>
        <v>88414.899999999907</v>
      </c>
      <c r="R22" s="31">
        <f>O22-K22</f>
        <v>-1196.745287356322</v>
      </c>
      <c r="S22" s="34">
        <f>L22-Q22</f>
        <v>15701.940000000104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1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 t="shared" si="15"/>
        <v>0</v>
      </c>
      <c r="F23" s="30">
        <f>+SUM(START:END!F23)</f>
        <v>41085</v>
      </c>
      <c r="G23" s="41">
        <v>0</v>
      </c>
      <c r="H23" s="30">
        <f t="shared" si="16"/>
        <v>0</v>
      </c>
      <c r="I23" s="30">
        <f>+SUM(START:END!I23)</f>
        <v>0</v>
      </c>
      <c r="J23" s="31"/>
      <c r="K23" s="30">
        <f>IF(J13=0,0,L23/(J13+J15))</f>
        <v>463.41482758620697</v>
      </c>
      <c r="L23" s="33">
        <f>+SUM(START:END!L23)</f>
        <v>40317.090000000004</v>
      </c>
      <c r="M23" s="51"/>
      <c r="N23" s="33">
        <f>L23-F23</f>
        <v>-767.90999999999622</v>
      </c>
      <c r="O23" s="31"/>
      <c r="P23" s="30">
        <f>IF(O13=0,0,Q23/(O13+O15))</f>
        <v>459.39133333333206</v>
      </c>
      <c r="Q23" s="33">
        <f>+SUM(START:END!Q23)</f>
        <v>34454.349999999904</v>
      </c>
      <c r="R23" s="31">
        <f>O23-K23</f>
        <v>-463.41482758620697</v>
      </c>
      <c r="S23" s="34">
        <f>L23-Q23</f>
        <v>5862.7400000000998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1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83</v>
      </c>
      <c r="E24" s="36">
        <f>IF(D24&lt;=0,0,F24/D24)</f>
        <v>1600</v>
      </c>
      <c r="F24" s="37">
        <f>F21+F22+F23</f>
        <v>132800</v>
      </c>
      <c r="G24" s="38">
        <f>+G15+G13</f>
        <v>0</v>
      </c>
      <c r="H24" s="36">
        <f>IF(G24&lt;=0,0,I24/G24)</f>
        <v>0</v>
      </c>
      <c r="I24" s="37">
        <f>I21+I22+I23</f>
        <v>0</v>
      </c>
      <c r="J24" s="38">
        <f>+J15+J13</f>
        <v>87</v>
      </c>
      <c r="K24" s="36">
        <f>IF(J24&lt;=0,0,L24/J24)</f>
        <v>1646.0301149425291</v>
      </c>
      <c r="L24" s="37">
        <f>L21+L22+L23</f>
        <v>143204.62000000002</v>
      </c>
      <c r="M24" s="58">
        <f>J24-D24</f>
        <v>4</v>
      </c>
      <c r="N24" s="37">
        <f>L24-F24</f>
        <v>10404.620000000024</v>
      </c>
      <c r="O24" s="38">
        <f>+O15+O13</f>
        <v>75</v>
      </c>
      <c r="P24" s="36">
        <f>IF(O24&lt;=0,0,Q24/O24)</f>
        <v>1760.6299999999976</v>
      </c>
      <c r="Q24" s="37">
        <f>Q21+Q22+Q23</f>
        <v>132047.24999999983</v>
      </c>
      <c r="R24" s="56"/>
      <c r="S24" s="39">
        <f>L24-Q24</f>
        <v>11157.370000000199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1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7.8348042168674886E-2</v>
      </c>
      <c r="O25" s="41"/>
      <c r="P25" s="13"/>
      <c r="Q25" s="59"/>
      <c r="R25" s="60"/>
      <c r="S25" s="44">
        <f>IF(Q24=0,0,(S24/Q24))</f>
        <v>8.4495284831756917E-2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1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1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85</v>
      </c>
      <c r="E27" s="64">
        <f>IF(D27&lt;=0,0,F27/D27)</f>
        <v>6713.729780169474</v>
      </c>
      <c r="F27" s="65">
        <f>F13+F17+F24+F19+F15</f>
        <v>570667.03131440526</v>
      </c>
      <c r="G27" s="66">
        <f>+G13+G15+G17</f>
        <v>0</v>
      </c>
      <c r="H27" s="67">
        <f>IF(G27&lt;=0,0,I27/G27)</f>
        <v>0</v>
      </c>
      <c r="I27" s="65">
        <f>I13+I17+I24+I19+I15</f>
        <v>0</v>
      </c>
      <c r="J27" s="66">
        <f>+J13+J15+J17</f>
        <v>87</v>
      </c>
      <c r="K27" s="67">
        <f>IF(J27&lt;=0,0,L27/J27)</f>
        <v>6183.8087356321876</v>
      </c>
      <c r="L27" s="65">
        <f>L13+L17+L24+L19+L15</f>
        <v>537991.36000000034</v>
      </c>
      <c r="M27" s="66">
        <f>J27-D27</f>
        <v>2</v>
      </c>
      <c r="N27" s="65">
        <f>L27-F27</f>
        <v>-32675.671314404928</v>
      </c>
      <c r="O27" s="66">
        <f>+O13+O15+O17</f>
        <v>76</v>
      </c>
      <c r="P27" s="67">
        <f>IF(O27&lt;=0,0,Q27/O27)</f>
        <v>7599.8586842105206</v>
      </c>
      <c r="Q27" s="65">
        <f>Q13+Q17+Q24+Q19+Q15</f>
        <v>577589.25999999954</v>
      </c>
      <c r="R27" s="66">
        <f>J27-O27</f>
        <v>11</v>
      </c>
      <c r="S27" s="68">
        <f>L27-Q27</f>
        <v>-39597.899999999208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1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2.3529411764705882E-2</v>
      </c>
      <c r="N28" s="74">
        <f>N27/F27</f>
        <v>-5.7258733239142531E-2</v>
      </c>
      <c r="O28" s="72"/>
      <c r="P28" s="70"/>
      <c r="Q28" s="71"/>
      <c r="R28" s="73">
        <f>R27/O27</f>
        <v>0.14473684210526316</v>
      </c>
      <c r="S28" s="75">
        <f>IF(Q27=0,0,S27/Q27)</f>
        <v>-6.85571958176633E-2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1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1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1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0.29226325385658231</v>
      </c>
      <c r="E31" s="82">
        <f t="shared" ref="E31:E40" si="17">F31/D$24</f>
        <v>1470.8347668017338</v>
      </c>
      <c r="F31" s="30">
        <f>+SUM(START:END!F31)</f>
        <v>122079.28564454391</v>
      </c>
      <c r="G31" s="157"/>
      <c r="H31" s="82" t="e">
        <f t="shared" ref="H31:H40" si="18">I31/G$24</f>
        <v>#DIV/0!</v>
      </c>
      <c r="I31" s="30">
        <f>+SUM(START:END!I31)</f>
        <v>0</v>
      </c>
      <c r="J31" s="157">
        <f>L31/(L13+L15)</f>
        <v>0.28935828653381673</v>
      </c>
      <c r="K31" s="82">
        <f t="shared" ref="K31:K40" si="19">IF(L31=0,0,L31/J$24)</f>
        <v>1251.8781609195403</v>
      </c>
      <c r="L31" s="30">
        <f>+SUM(START:END!L31)</f>
        <v>108913.40000000001</v>
      </c>
      <c r="M31" s="41"/>
      <c r="N31" s="59">
        <f t="shared" ref="N31:N53" si="20">L31-F31</f>
        <v>-13165.885644543901</v>
      </c>
      <c r="O31" s="157">
        <f>Q31/(Q13+Q15+Q17)</f>
        <v>0.2925929687697349</v>
      </c>
      <c r="P31" s="82">
        <f t="shared" ref="P31:P40" si="21">IF(Q31=0,0,Q31/O$24)</f>
        <v>1630.8966666666668</v>
      </c>
      <c r="Q31" s="33">
        <f>+SUM(START:END!Q31)</f>
        <v>122317.25</v>
      </c>
      <c r="R31" s="41"/>
      <c r="S31" s="85">
        <f t="shared" ref="S31:S53" si="22">L31-Q31</f>
        <v>-13403.849999999991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1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0.25</v>
      </c>
      <c r="E32" s="88">
        <f t="shared" si="17"/>
        <v>400</v>
      </c>
      <c r="F32" s="22">
        <f>+SUM(START:END!F32)</f>
        <v>33200</v>
      </c>
      <c r="G32" s="162"/>
      <c r="H32" s="90" t="e">
        <f t="shared" si="18"/>
        <v>#DIV/0!</v>
      </c>
      <c r="I32" s="22">
        <f>+SUM(START:END!I32)</f>
        <v>0</v>
      </c>
      <c r="J32" s="162">
        <f>L32/L24</f>
        <v>0.38286222888619087</v>
      </c>
      <c r="K32" s="88">
        <f t="shared" si="19"/>
        <v>630.20275862068968</v>
      </c>
      <c r="L32" s="22">
        <f>+SUM(START:END!L32)</f>
        <v>54827.64</v>
      </c>
      <c r="M32" s="23"/>
      <c r="N32" s="91">
        <f t="shared" si="20"/>
        <v>21627.64</v>
      </c>
      <c r="O32" s="162">
        <f>Q32/Q24</f>
        <v>0.24908917073244649</v>
      </c>
      <c r="P32" s="88">
        <f t="shared" si="21"/>
        <v>438.55386666666669</v>
      </c>
      <c r="Q32" s="22">
        <f>+SUM(START:END!Q32)</f>
        <v>32891.54</v>
      </c>
      <c r="R32" s="23"/>
      <c r="S32" s="92">
        <f t="shared" si="22"/>
        <v>21936.1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1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7"/>
        <v>100</v>
      </c>
      <c r="F33" s="30">
        <f>+SUM(START:END!F33)</f>
        <v>8300</v>
      </c>
      <c r="G33" s="83"/>
      <c r="H33" s="82" t="e">
        <f t="shared" si="18"/>
        <v>#DIV/0!</v>
      </c>
      <c r="I33" s="30">
        <f>+SUM(START:END!I33)</f>
        <v>0</v>
      </c>
      <c r="J33" s="41"/>
      <c r="K33" s="82">
        <f t="shared" si="19"/>
        <v>84.095402298850573</v>
      </c>
      <c r="L33" s="30">
        <f>+SUM(START:END!L33)</f>
        <v>7316.3</v>
      </c>
      <c r="M33" s="41"/>
      <c r="N33" s="59">
        <f t="shared" si="20"/>
        <v>-983.69999999999982</v>
      </c>
      <c r="O33" s="41"/>
      <c r="P33" s="82">
        <f t="shared" si="21"/>
        <v>74.567333333333337</v>
      </c>
      <c r="Q33" s="33">
        <f>+SUM(START:END!Q33)</f>
        <v>5592.55</v>
      </c>
      <c r="R33" s="41"/>
      <c r="S33" s="85">
        <f t="shared" si="22"/>
        <v>1723.75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1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7"/>
        <v>45</v>
      </c>
      <c r="F34" s="30">
        <f>+SUM(START:END!F34)</f>
        <v>3735</v>
      </c>
      <c r="G34" s="83"/>
      <c r="H34" s="82" t="e">
        <f t="shared" si="18"/>
        <v>#DIV/0!</v>
      </c>
      <c r="I34" s="30">
        <f>+SUM(START:END!I34)</f>
        <v>0</v>
      </c>
      <c r="J34" s="41"/>
      <c r="K34" s="82">
        <f t="shared" si="19"/>
        <v>26.244022988505748</v>
      </c>
      <c r="L34" s="30">
        <f>+SUM(START:END!L34)</f>
        <v>2283.23</v>
      </c>
      <c r="M34" s="41"/>
      <c r="N34" s="59">
        <f t="shared" si="20"/>
        <v>-1451.77</v>
      </c>
      <c r="O34" s="41"/>
      <c r="P34" s="82">
        <f t="shared" si="21"/>
        <v>37.733600000000003</v>
      </c>
      <c r="Q34" s="33">
        <f>+SUM(START:END!Q34)</f>
        <v>2830.02</v>
      </c>
      <c r="R34" s="41"/>
      <c r="S34" s="85">
        <f t="shared" si="22"/>
        <v>-546.79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1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7"/>
        <v>45.421686746987952</v>
      </c>
      <c r="F35" s="22">
        <f>+SUM(START:END!F35)</f>
        <v>3770</v>
      </c>
      <c r="G35" s="89"/>
      <c r="H35" s="90" t="e">
        <f t="shared" si="18"/>
        <v>#DIV/0!</v>
      </c>
      <c r="I35" s="22">
        <f>+SUM(START:END!I35)</f>
        <v>0</v>
      </c>
      <c r="J35" s="23"/>
      <c r="K35" s="88">
        <f t="shared" si="19"/>
        <v>43.203563218390805</v>
      </c>
      <c r="L35" s="22">
        <f>+SUM(START:END!L35)</f>
        <v>3758.71</v>
      </c>
      <c r="M35" s="23"/>
      <c r="N35" s="91">
        <f t="shared" si="20"/>
        <v>-11.289999999999964</v>
      </c>
      <c r="O35" s="23"/>
      <c r="P35" s="88">
        <f t="shared" si="21"/>
        <v>37.764133333333334</v>
      </c>
      <c r="Q35" s="33">
        <f>+SUM(START:END!Q35)</f>
        <v>2832.31</v>
      </c>
      <c r="R35" s="23"/>
      <c r="S35" s="92">
        <f t="shared" si="22"/>
        <v>926.40000000000009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1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7"/>
        <v>496.609375</v>
      </c>
      <c r="F36" s="30">
        <f>+SUM(START:END!F36)</f>
        <v>41218.578125</v>
      </c>
      <c r="G36" s="83"/>
      <c r="H36" s="82" t="e">
        <f t="shared" si="18"/>
        <v>#DIV/0!</v>
      </c>
      <c r="I36" s="30">
        <f>+SUM(START:END!I36)</f>
        <v>0</v>
      </c>
      <c r="J36" s="41"/>
      <c r="K36" s="82">
        <f t="shared" si="19"/>
        <v>499.42517241379306</v>
      </c>
      <c r="L36" s="475">
        <f>+SUM(START:END!L36)</f>
        <v>43449.99</v>
      </c>
      <c r="M36" s="13"/>
      <c r="N36" s="59">
        <f t="shared" si="20"/>
        <v>2231.411874999998</v>
      </c>
      <c r="O36" s="41"/>
      <c r="P36" s="82">
        <f t="shared" si="21"/>
        <v>553.73013333333336</v>
      </c>
      <c r="Q36" s="55">
        <f>+SUM(START:END!Q36)</f>
        <v>41529.760000000002</v>
      </c>
      <c r="R36" s="41"/>
      <c r="S36" s="85">
        <f t="shared" si="22"/>
        <v>1920.2299999999959</v>
      </c>
      <c r="T36" s="13"/>
      <c r="U36" s="13"/>
      <c r="V36" s="11"/>
      <c r="W36" s="11"/>
      <c r="X36" s="474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 t="shared" si="1"/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7"/>
        <v>1030.3905239064711</v>
      </c>
      <c r="F37" s="30">
        <f>+SUM(START:END!F37)</f>
        <v>85522.413484237099</v>
      </c>
      <c r="G37" s="83"/>
      <c r="H37" s="82" t="e">
        <f t="shared" si="18"/>
        <v>#DIV/0!</v>
      </c>
      <c r="I37" s="30">
        <f>+SUM(START:END!I37)</f>
        <v>0</v>
      </c>
      <c r="J37" s="41"/>
      <c r="K37" s="82">
        <f t="shared" si="19"/>
        <v>1186.3266666666668</v>
      </c>
      <c r="L37" s="476">
        <f>+SUM(START:END!L37)</f>
        <v>103210.42000000001</v>
      </c>
      <c r="M37" s="13"/>
      <c r="N37" s="59">
        <f t="shared" si="20"/>
        <v>17688.006515762914</v>
      </c>
      <c r="O37" s="41"/>
      <c r="P37" s="82">
        <f t="shared" si="21"/>
        <v>244.40306666666666</v>
      </c>
      <c r="Q37" s="33">
        <f>+SUM(START:END!Q37)</f>
        <v>18330.23</v>
      </c>
      <c r="R37" s="41"/>
      <c r="S37" s="85">
        <f>L37-Q37</f>
        <v>84880.190000000017</v>
      </c>
      <c r="T37" s="13"/>
      <c r="U37" s="13"/>
      <c r="V37" s="474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 t="shared" si="1"/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7"/>
        <v>0</v>
      </c>
      <c r="F38" s="30">
        <f>+SUM(START:END!F38)</f>
        <v>0</v>
      </c>
      <c r="G38" s="83"/>
      <c r="H38" s="82" t="e">
        <f t="shared" si="18"/>
        <v>#DIV/0!</v>
      </c>
      <c r="I38" s="30">
        <f>+SUM(START:END!I38)</f>
        <v>0</v>
      </c>
      <c r="J38" s="41"/>
      <c r="K38" s="82">
        <f t="shared" si="19"/>
        <v>0</v>
      </c>
      <c r="L38" s="476">
        <f>+SUM(START:END!L38)</f>
        <v>0</v>
      </c>
      <c r="M38" s="13"/>
      <c r="N38" s="59">
        <f t="shared" si="20"/>
        <v>0</v>
      </c>
      <c r="O38" s="41"/>
      <c r="P38" s="82">
        <f t="shared" si="21"/>
        <v>0</v>
      </c>
      <c r="Q38" s="33">
        <f>+SUM(START:END!Q38)</f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 t="shared" si="1"/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7"/>
        <v>0</v>
      </c>
      <c r="F39" s="30">
        <f>+SUM(START:END!F39)</f>
        <v>0</v>
      </c>
      <c r="G39" s="83"/>
      <c r="H39" s="82" t="e">
        <f t="shared" si="18"/>
        <v>#DIV/0!</v>
      </c>
      <c r="I39" s="30">
        <f>+SUM(START:END!I39)</f>
        <v>0</v>
      </c>
      <c r="J39" s="41"/>
      <c r="K39" s="82">
        <f t="shared" si="19"/>
        <v>0</v>
      </c>
      <c r="L39" s="476">
        <f>+SUM(START:END!L39)</f>
        <v>0</v>
      </c>
      <c r="M39" s="13"/>
      <c r="N39" s="59">
        <f t="shared" si="20"/>
        <v>0</v>
      </c>
      <c r="O39" s="41"/>
      <c r="P39" s="82">
        <f t="shared" si="21"/>
        <v>0</v>
      </c>
      <c r="Q39" s="33">
        <f>+SUM(START:END!Q39)</f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si="1"/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7"/>
        <v>0</v>
      </c>
      <c r="F40" s="30">
        <f>+SUM(START:END!F40)</f>
        <v>0</v>
      </c>
      <c r="G40" s="83"/>
      <c r="H40" s="82" t="e">
        <f t="shared" si="18"/>
        <v>#DIV/0!</v>
      </c>
      <c r="I40" s="30">
        <f>+SUM(START:END!I40)</f>
        <v>0</v>
      </c>
      <c r="J40" s="41"/>
      <c r="K40" s="82">
        <f t="shared" si="19"/>
        <v>0</v>
      </c>
      <c r="L40" s="477">
        <f>+SUM(START:END!L40)</f>
        <v>0</v>
      </c>
      <c r="M40" s="13"/>
      <c r="N40" s="59">
        <f t="shared" si="20"/>
        <v>0</v>
      </c>
      <c r="O40" s="41"/>
      <c r="P40" s="82">
        <f t="shared" si="21"/>
        <v>0</v>
      </c>
      <c r="Q40" s="33">
        <f>+SUM(START:END!Q40)</f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0.52188975516564595</v>
      </c>
      <c r="F41" s="96">
        <f>SUM(F31:F40)</f>
        <v>297825.27725378098</v>
      </c>
      <c r="G41" s="97" t="s">
        <v>38</v>
      </c>
      <c r="H41" s="95" t="e">
        <f>I41/I$27</f>
        <v>#DIV/0!</v>
      </c>
      <c r="I41" s="96">
        <f>SUM(I31:I40)</f>
        <v>0</v>
      </c>
      <c r="J41" s="97" t="s">
        <v>38</v>
      </c>
      <c r="K41" s="95">
        <f>L41/L$27</f>
        <v>0.60179347489892743</v>
      </c>
      <c r="L41" s="96">
        <f>SUM(L31:L40)</f>
        <v>323759.69</v>
      </c>
      <c r="M41" s="98"/>
      <c r="N41" s="96">
        <f t="shared" si="20"/>
        <v>25934.412746219023</v>
      </c>
      <c r="O41" s="97" t="s">
        <v>38</v>
      </c>
      <c r="P41" s="95">
        <f>Q41/Q$27</f>
        <v>0.39184187739224963</v>
      </c>
      <c r="Q41" s="99">
        <f>SUM(Q31:Q40)</f>
        <v>226323.66</v>
      </c>
      <c r="R41" s="100"/>
      <c r="S41" s="101">
        <f t="shared" si="22"/>
        <v>97436.03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f>+SUM(START:END!F42)</f>
        <v>37456.613358778632</v>
      </c>
      <c r="G42" s="41"/>
      <c r="H42" s="13"/>
      <c r="I42" s="30">
        <f>+SUM(START:END!I42)</f>
        <v>0</v>
      </c>
      <c r="J42" s="41"/>
      <c r="K42" s="13"/>
      <c r="L42" s="33">
        <f>+SUM(START:END!L42)</f>
        <v>35064.100000000006</v>
      </c>
      <c r="M42" s="41"/>
      <c r="N42" s="59">
        <f t="shared" si="20"/>
        <v>-2392.5133587786258</v>
      </c>
      <c r="O42" s="41"/>
      <c r="P42" s="13"/>
      <c r="Q42" s="33">
        <f>+SUM(START:END!Q42)</f>
        <v>43639.68</v>
      </c>
      <c r="R42" s="41"/>
      <c r="S42" s="85">
        <f t="shared" si="22"/>
        <v>-8575.5799999999945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f>+SUM(START:END!F43)</f>
        <v>25887.898091603052</v>
      </c>
      <c r="G43" s="83"/>
      <c r="H43" s="13"/>
      <c r="I43" s="22">
        <f>+SUM(START:END!I43)</f>
        <v>0</v>
      </c>
      <c r="J43" s="41"/>
      <c r="K43" s="13"/>
      <c r="L43" s="33">
        <f>+SUM(START:END!L43)</f>
        <v>26614.340000000004</v>
      </c>
      <c r="M43" s="41"/>
      <c r="N43" s="59">
        <f t="shared" si="20"/>
        <v>726.44190839695148</v>
      </c>
      <c r="O43" s="41"/>
      <c r="P43" s="13"/>
      <c r="Q43" s="33">
        <f>+SUM(START:END!Q43)</f>
        <v>21826.720000000001</v>
      </c>
      <c r="R43" s="41"/>
      <c r="S43" s="85">
        <f t="shared" si="22"/>
        <v>4787.6200000000026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f>+SUM(START:END!F44)</f>
        <v>1026</v>
      </c>
      <c r="G44" s="106"/>
      <c r="H44" s="105"/>
      <c r="I44" s="30">
        <f>+SUM(START:END!I44)</f>
        <v>0</v>
      </c>
      <c r="J44" s="107"/>
      <c r="K44" s="105"/>
      <c r="L44" s="108">
        <f>+SUM(START:END!L44)</f>
        <v>1026</v>
      </c>
      <c r="M44" s="107"/>
      <c r="N44" s="109">
        <f t="shared" si="20"/>
        <v>0</v>
      </c>
      <c r="O44" s="107"/>
      <c r="P44" s="105"/>
      <c r="Q44" s="108">
        <f>+SUM(START:END!Q44)</f>
        <v>1026</v>
      </c>
      <c r="R44" s="107"/>
      <c r="S44" s="110">
        <f t="shared" si="22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f>+SUM(START:END!F45)</f>
        <v>0</v>
      </c>
      <c r="G45" s="83"/>
      <c r="H45" s="13"/>
      <c r="I45" s="30">
        <f>+SUM(START:END!I45)</f>
        <v>0</v>
      </c>
      <c r="J45" s="41"/>
      <c r="K45" s="13"/>
      <c r="L45" s="33">
        <f>+SUM(START:END!L45)</f>
        <v>0</v>
      </c>
      <c r="M45" s="41"/>
      <c r="N45" s="59">
        <f t="shared" si="20"/>
        <v>0</v>
      </c>
      <c r="O45" s="41"/>
      <c r="P45" s="13"/>
      <c r="Q45" s="33">
        <f>+SUM(START:END!Q45)</f>
        <v>0</v>
      </c>
      <c r="R45" s="41"/>
      <c r="S45" s="85">
        <f t="shared" si="22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 t="shared" si="1"/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f>+SUM(START:END!F46)</f>
        <v>0</v>
      </c>
      <c r="G46" s="83"/>
      <c r="H46" s="13"/>
      <c r="I46" s="30">
        <f>+SUM(START:END!I46)</f>
        <v>0</v>
      </c>
      <c r="J46" s="41"/>
      <c r="K46" s="13"/>
      <c r="L46" s="33">
        <f>+SUM(START:END!L46)</f>
        <v>0</v>
      </c>
      <c r="M46" s="41"/>
      <c r="N46" s="59">
        <f t="shared" si="20"/>
        <v>0</v>
      </c>
      <c r="O46" s="41"/>
      <c r="P46" s="13"/>
      <c r="Q46" s="33">
        <f>+SUM(START:END!Q46)</f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 t="shared" si="1"/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f>+SUM(START:END!F47)</f>
        <v>0</v>
      </c>
      <c r="G47" s="83"/>
      <c r="H47" s="13"/>
      <c r="I47" s="30">
        <f>+SUM(START:END!I47)</f>
        <v>0</v>
      </c>
      <c r="J47" s="41"/>
      <c r="K47" s="13"/>
      <c r="L47" s="33">
        <f>+SUM(START:END!L47)</f>
        <v>0</v>
      </c>
      <c r="M47" s="41"/>
      <c r="N47" s="59">
        <f t="shared" si="20"/>
        <v>0</v>
      </c>
      <c r="O47" s="41"/>
      <c r="P47" s="13"/>
      <c r="Q47" s="33">
        <f>+SUM(START:END!Q47)</f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 t="shared" si="1"/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f>+SUM(START:END!F48)</f>
        <v>0</v>
      </c>
      <c r="G48" s="83"/>
      <c r="H48" s="13"/>
      <c r="I48" s="30">
        <f>+SUM(START:END!I48)</f>
        <v>0</v>
      </c>
      <c r="J48" s="41"/>
      <c r="K48" s="13"/>
      <c r="L48" s="33">
        <f>+SUM(START:END!L48)</f>
        <v>0</v>
      </c>
      <c r="M48" s="41"/>
      <c r="N48" s="59">
        <f t="shared" si="20"/>
        <v>0</v>
      </c>
      <c r="O48" s="41"/>
      <c r="P48" s="13"/>
      <c r="Q48" s="33">
        <f>+SUM(START:END!Q48)</f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si="1"/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f>+SUM(START:END!F49)</f>
        <v>24726.63205848309</v>
      </c>
      <c r="G49" s="83"/>
      <c r="H49" s="13"/>
      <c r="I49" s="22">
        <f>+SUM(START:END!I49)</f>
        <v>0</v>
      </c>
      <c r="J49" s="41"/>
      <c r="K49" s="13"/>
      <c r="L49" s="22">
        <f>+SUM(START:END!L49)</f>
        <v>24625.989999999998</v>
      </c>
      <c r="M49" s="41"/>
      <c r="N49" s="59">
        <f t="shared" si="20"/>
        <v>-100.64205848309211</v>
      </c>
      <c r="O49" s="41"/>
      <c r="P49" s="13"/>
      <c r="Q49" s="22">
        <f>+SUM(START:END!Q49)</f>
        <v>20710.809999999998</v>
      </c>
      <c r="R49" s="41"/>
      <c r="S49" s="85">
        <f t="shared" si="22"/>
        <v>3915.1800000000003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f>+SUM(START:END!F50)</f>
        <v>32460.446623819975</v>
      </c>
      <c r="G50" s="106"/>
      <c r="H50" s="105"/>
      <c r="I50" s="30">
        <f>+SUM(START:END!I50)</f>
        <v>0</v>
      </c>
      <c r="J50" s="107"/>
      <c r="K50" s="105"/>
      <c r="L50" s="33">
        <f>+SUM(START:END!L50)</f>
        <v>33038.46</v>
      </c>
      <c r="M50" s="107"/>
      <c r="N50" s="109">
        <f t="shared" si="20"/>
        <v>578.01337618002435</v>
      </c>
      <c r="O50" s="107"/>
      <c r="P50" s="105"/>
      <c r="Q50" s="33">
        <f>+SUM(START:END!Q50)</f>
        <v>29125.75</v>
      </c>
      <c r="R50" s="107"/>
      <c r="S50" s="110">
        <f t="shared" si="22"/>
        <v>3912.7099999999991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f>+SUM(START:END!F51)</f>
        <v>14867.337142213632</v>
      </c>
      <c r="G51" s="83"/>
      <c r="H51" s="13"/>
      <c r="I51" s="30">
        <f>+SUM(START:END!I51)</f>
        <v>0</v>
      </c>
      <c r="J51" s="41"/>
      <c r="K51" s="13"/>
      <c r="L51" s="33">
        <f>+SUM(START:END!L51)</f>
        <v>13583.68</v>
      </c>
      <c r="M51" s="41"/>
      <c r="N51" s="59">
        <f t="shared" si="20"/>
        <v>-1283.6571422136312</v>
      </c>
      <c r="O51" s="41"/>
      <c r="P51" s="13"/>
      <c r="Q51" s="33">
        <f>+SUM(START:END!Q51)</f>
        <v>11461.220000000001</v>
      </c>
      <c r="R51" s="41"/>
      <c r="S51" s="85">
        <f t="shared" si="22"/>
        <v>2122.4599999999991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f>+SUM(START:END!F52)</f>
        <v>3357.1406450159811</v>
      </c>
      <c r="G52" s="83"/>
      <c r="H52" s="13"/>
      <c r="I52" s="30">
        <f>+SUM(START:END!I52)</f>
        <v>0</v>
      </c>
      <c r="J52" s="41"/>
      <c r="K52" s="13"/>
      <c r="L52" s="33">
        <f>+SUM(START:END!L52)</f>
        <v>4150.57</v>
      </c>
      <c r="M52" s="41"/>
      <c r="N52" s="59">
        <f t="shared" si="20"/>
        <v>793.42935498401857</v>
      </c>
      <c r="O52" s="41"/>
      <c r="P52" s="13"/>
      <c r="Q52" s="33">
        <f>+SUM(START:END!Q52)</f>
        <v>2848.46</v>
      </c>
      <c r="R52" s="41"/>
      <c r="S52" s="85">
        <f t="shared" si="22"/>
        <v>1302.1099999999997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"/>
        <v>Véhicules neufs[...]</v>
      </c>
      <c r="B53" s="11" t="str">
        <f t="shared" si="0"/>
        <v>Véhicules neufs</v>
      </c>
      <c r="C53" s="29" t="s">
        <v>19</v>
      </c>
      <c r="D53" s="87"/>
      <c r="E53" s="111"/>
      <c r="F53" s="30">
        <f>+SUM(START:END!F53)</f>
        <v>0</v>
      </c>
      <c r="G53" s="89"/>
      <c r="H53" s="111"/>
      <c r="I53" s="30">
        <f>+SUM(START:END!I53)</f>
        <v>0</v>
      </c>
      <c r="J53" s="23"/>
      <c r="K53" s="111"/>
      <c r="L53" s="33">
        <f>+SUM(START:END!L53)</f>
        <v>0</v>
      </c>
      <c r="M53" s="23"/>
      <c r="N53" s="91">
        <f t="shared" si="20"/>
        <v>0</v>
      </c>
      <c r="O53" s="23"/>
      <c r="P53" s="111"/>
      <c r="Q53" s="33">
        <f>+SUM(START:END!Q53)</f>
        <v>0</v>
      </c>
      <c r="R53" s="23"/>
      <c r="S53" s="92">
        <f t="shared" si="22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0.24494505596014068</v>
      </c>
      <c r="F54" s="96">
        <f>+SUM(F42:F53)</f>
        <v>139782.06791991435</v>
      </c>
      <c r="G54" s="97" t="s">
        <v>38</v>
      </c>
      <c r="H54" s="95" t="e">
        <f>I54/I$27</f>
        <v>#DIV/0!</v>
      </c>
      <c r="I54" s="96">
        <f>+SUM(I42:I53)</f>
        <v>0</v>
      </c>
      <c r="J54" s="97" t="s">
        <v>38</v>
      </c>
      <c r="K54" s="95">
        <f>L54/L$27</f>
        <v>0.25670140873637809</v>
      </c>
      <c r="L54" s="96">
        <f>+SUM(L42:L53)</f>
        <v>138103.14000000001</v>
      </c>
      <c r="M54" s="100"/>
      <c r="N54" s="96">
        <f>+SUM(N42:N53)</f>
        <v>-1678.9279199143548</v>
      </c>
      <c r="O54" s="97" t="s">
        <v>38</v>
      </c>
      <c r="P54" s="95">
        <f>Q54/Q$27</f>
        <v>0.22617913636413547</v>
      </c>
      <c r="Q54" s="96">
        <f>+SUM(Q42:Q53)</f>
        <v>130638.64</v>
      </c>
      <c r="R54" s="100"/>
      <c r="S54" s="101">
        <f>+SUM(S42:S53)</f>
        <v>7464.5000000000064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f>+SUM(START:END!F55)</f>
        <v>0</v>
      </c>
      <c r="G55" s="83"/>
      <c r="H55" s="13"/>
      <c r="I55" s="30">
        <f>+SUM(START:END!I55)</f>
        <v>0</v>
      </c>
      <c r="J55" s="41"/>
      <c r="K55" s="13"/>
      <c r="L55" s="33">
        <f>+SUM(START:END!L55)</f>
        <v>0</v>
      </c>
      <c r="M55" s="41"/>
      <c r="N55" s="59">
        <f t="shared" ref="N55:N71" si="23">L55-F55</f>
        <v>0</v>
      </c>
      <c r="O55" s="41"/>
      <c r="P55" s="13"/>
      <c r="Q55" s="33">
        <f>+SUM(START:END!Q55)</f>
        <v>0</v>
      </c>
      <c r="R55" s="41"/>
      <c r="S55" s="85">
        <f t="shared" ref="S55:S71" si="24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f>+SUM(START:END!F56)</f>
        <v>0</v>
      </c>
      <c r="G56" s="83"/>
      <c r="H56" s="13"/>
      <c r="I56" s="30">
        <f>+SUM(START:END!I56)</f>
        <v>0</v>
      </c>
      <c r="J56" s="41"/>
      <c r="K56" s="13"/>
      <c r="L56" s="33">
        <f>+SUM(START:END!L56)</f>
        <v>0</v>
      </c>
      <c r="M56" s="41"/>
      <c r="N56" s="59">
        <f t="shared" si="23"/>
        <v>0</v>
      </c>
      <c r="O56" s="41"/>
      <c r="P56" s="13"/>
      <c r="Q56" s="33">
        <f>+SUM(START:END!Q56)</f>
        <v>0</v>
      </c>
      <c r="R56" s="41"/>
      <c r="S56" s="85">
        <f t="shared" si="24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f>+SUM(START:END!F57)</f>
        <v>15240.250000000002</v>
      </c>
      <c r="G57" s="89"/>
      <c r="H57" s="111"/>
      <c r="I57" s="22">
        <f>+SUM(START:END!I57)</f>
        <v>0</v>
      </c>
      <c r="J57" s="23"/>
      <c r="K57" s="111"/>
      <c r="L57" s="22">
        <f>+SUM(START:END!L57)</f>
        <v>20751.53</v>
      </c>
      <c r="M57" s="23"/>
      <c r="N57" s="91">
        <f t="shared" si="23"/>
        <v>5511.279999999997</v>
      </c>
      <c r="O57" s="23"/>
      <c r="P57" s="111"/>
      <c r="Q57" s="22">
        <f>+SUM(START:END!Q57)</f>
        <v>15204.63</v>
      </c>
      <c r="R57" s="23"/>
      <c r="S57" s="92">
        <f t="shared" si="24"/>
        <v>5546.9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f>+SUM(START:END!F58)</f>
        <v>14979.150000000001</v>
      </c>
      <c r="G58" s="83"/>
      <c r="H58" s="13"/>
      <c r="I58" s="30">
        <f>+SUM(START:END!I58)</f>
        <v>0</v>
      </c>
      <c r="J58" s="41"/>
      <c r="K58" s="13"/>
      <c r="L58" s="33">
        <f>+SUM(START:END!L58)</f>
        <v>14266.7</v>
      </c>
      <c r="M58" s="41"/>
      <c r="N58" s="59">
        <f t="shared" si="23"/>
        <v>-712.45000000000073</v>
      </c>
      <c r="O58" s="41"/>
      <c r="P58" s="13"/>
      <c r="Q58" s="33">
        <f>+SUM(START:END!Q58)</f>
        <v>14854.82</v>
      </c>
      <c r="R58" s="41"/>
      <c r="S58" s="85">
        <f t="shared" si="24"/>
        <v>-588.11999999999898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f>+SUM(START:END!F59)</f>
        <v>2467.8000000000002</v>
      </c>
      <c r="G59" s="83"/>
      <c r="H59" s="13"/>
      <c r="I59" s="30">
        <f>+SUM(START:END!I59)</f>
        <v>0</v>
      </c>
      <c r="J59" s="41"/>
      <c r="K59" s="13"/>
      <c r="L59" s="33">
        <f>+SUM(START:END!L59)</f>
        <v>4031.37</v>
      </c>
      <c r="M59" s="41"/>
      <c r="N59" s="59">
        <f t="shared" si="23"/>
        <v>1563.5699999999997</v>
      </c>
      <c r="O59" s="41"/>
      <c r="P59" s="13"/>
      <c r="Q59" s="33">
        <f>+SUM(START:END!Q59)</f>
        <v>2804.55</v>
      </c>
      <c r="R59" s="41"/>
      <c r="S59" s="85">
        <f t="shared" si="24"/>
        <v>1226.8199999999997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f>+SUM(START:END!F60)</f>
        <v>8263.35</v>
      </c>
      <c r="G60" s="89"/>
      <c r="H60" s="111"/>
      <c r="I60" s="22">
        <f>+SUM(START:END!I60)</f>
        <v>0</v>
      </c>
      <c r="J60" s="23"/>
      <c r="K60" s="111"/>
      <c r="L60" s="22">
        <f>+SUM(START:END!L60)</f>
        <v>10283.67</v>
      </c>
      <c r="M60" s="23"/>
      <c r="N60" s="91">
        <f t="shared" si="23"/>
        <v>2020.3199999999997</v>
      </c>
      <c r="O60" s="23"/>
      <c r="P60" s="111"/>
      <c r="Q60" s="22">
        <f>+SUM(START:END!Q60)</f>
        <v>8589.5199999999986</v>
      </c>
      <c r="R60" s="23"/>
      <c r="S60" s="92">
        <f t="shared" si="24"/>
        <v>1694.1500000000015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f>+SUM(START:END!F61)</f>
        <v>259.375</v>
      </c>
      <c r="G61" s="83"/>
      <c r="H61" s="13"/>
      <c r="I61" s="30">
        <f>+SUM(START:END!I61)</f>
        <v>0</v>
      </c>
      <c r="J61" s="41"/>
      <c r="K61" s="13"/>
      <c r="L61" s="33">
        <f>+SUM(START:END!L61)</f>
        <v>35.07</v>
      </c>
      <c r="M61" s="41"/>
      <c r="N61" s="59">
        <f t="shared" si="23"/>
        <v>-224.30500000000001</v>
      </c>
      <c r="O61" s="41"/>
      <c r="P61" s="13"/>
      <c r="Q61" s="33">
        <f>+SUM(START:END!Q61)</f>
        <v>267.79000000000002</v>
      </c>
      <c r="R61" s="41"/>
      <c r="S61" s="85">
        <f t="shared" si="24"/>
        <v>-232.72000000000003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f>+SUM(START:END!F62)</f>
        <v>45</v>
      </c>
      <c r="G62" s="83"/>
      <c r="H62" s="13"/>
      <c r="I62" s="30">
        <f>+SUM(START:END!I62)</f>
        <v>0</v>
      </c>
      <c r="J62" s="41"/>
      <c r="K62" s="13"/>
      <c r="L62" s="33">
        <f>+SUM(START:END!L62)</f>
        <v>78.08</v>
      </c>
      <c r="M62" s="41"/>
      <c r="N62" s="59">
        <f t="shared" si="23"/>
        <v>33.08</v>
      </c>
      <c r="O62" s="41"/>
      <c r="P62" s="13"/>
      <c r="Q62" s="33">
        <f>+SUM(START:END!Q62)</f>
        <v>83.14</v>
      </c>
      <c r="R62" s="41"/>
      <c r="S62" s="85">
        <f t="shared" si="24"/>
        <v>-5.0600000000000023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f>+SUM(START:END!F63)</f>
        <v>2362.5</v>
      </c>
      <c r="G63" s="83"/>
      <c r="H63" s="13"/>
      <c r="I63" s="30">
        <f>+SUM(START:END!I63)</f>
        <v>0</v>
      </c>
      <c r="J63" s="41"/>
      <c r="K63" s="13"/>
      <c r="L63" s="32">
        <f>+SUM(START:END!L63)</f>
        <v>1834.28</v>
      </c>
      <c r="M63" s="41"/>
      <c r="N63" s="59">
        <f t="shared" si="23"/>
        <v>-528.22</v>
      </c>
      <c r="O63" s="41"/>
      <c r="P63" s="13"/>
      <c r="Q63" s="32">
        <f>+SUM(START:END!Q63)</f>
        <v>2159.3100000000004</v>
      </c>
      <c r="R63" s="41"/>
      <c r="S63" s="85">
        <f t="shared" si="24"/>
        <v>-325.03000000000043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f>+SUM(START:END!F64)</f>
        <v>631.20000000000005</v>
      </c>
      <c r="G64" s="83"/>
      <c r="H64" s="13"/>
      <c r="I64" s="30">
        <f>+SUM(START:END!I64)</f>
        <v>0</v>
      </c>
      <c r="J64" s="41"/>
      <c r="K64" s="13"/>
      <c r="L64" s="33">
        <f>+SUM(START:END!L64)</f>
        <v>823</v>
      </c>
      <c r="M64" s="41"/>
      <c r="N64" s="59">
        <f t="shared" si="23"/>
        <v>191.79999999999995</v>
      </c>
      <c r="O64" s="41"/>
      <c r="P64" s="13"/>
      <c r="Q64" s="33">
        <f>+SUM(START:END!Q64)</f>
        <v>915.16000000000008</v>
      </c>
      <c r="R64" s="41"/>
      <c r="S64" s="85">
        <f t="shared" si="24"/>
        <v>-92.160000000000082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f>+SUM(START:END!F65)</f>
        <v>675</v>
      </c>
      <c r="G65" s="83"/>
      <c r="H65" s="13"/>
      <c r="I65" s="30">
        <f>+SUM(START:END!I65)</f>
        <v>0</v>
      </c>
      <c r="J65" s="41"/>
      <c r="K65" s="13"/>
      <c r="L65" s="33">
        <f>+SUM(START:END!L65)</f>
        <v>653.57999999999993</v>
      </c>
      <c r="M65" s="41"/>
      <c r="N65" s="59">
        <f t="shared" si="23"/>
        <v>-21.420000000000073</v>
      </c>
      <c r="O65" s="41"/>
      <c r="P65" s="13"/>
      <c r="Q65" s="33">
        <f>+SUM(START:END!Q65)</f>
        <v>659.55</v>
      </c>
      <c r="R65" s="41"/>
      <c r="S65" s="85">
        <f t="shared" si="24"/>
        <v>-5.9700000000000273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f>+SUM(START:END!F66)</f>
        <v>2508.3000000000002</v>
      </c>
      <c r="G66" s="83"/>
      <c r="H66" s="13"/>
      <c r="I66" s="30">
        <f>+SUM(START:END!I66)</f>
        <v>0</v>
      </c>
      <c r="J66" s="41"/>
      <c r="K66" s="13"/>
      <c r="L66" s="33">
        <f>+SUM(START:END!L66)</f>
        <v>2134.3500000000004</v>
      </c>
      <c r="M66" s="41"/>
      <c r="N66" s="59">
        <f t="shared" si="23"/>
        <v>-373.94999999999982</v>
      </c>
      <c r="O66" s="41"/>
      <c r="P66" s="13"/>
      <c r="Q66" s="33">
        <f>+SUM(START:END!Q66)</f>
        <v>2489.34</v>
      </c>
      <c r="R66" s="41"/>
      <c r="S66" s="85">
        <f t="shared" si="24"/>
        <v>-354.98999999999978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 t="shared" si="1"/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f>+SUM(START:END!F67)</f>
        <v>1446.4914399999996</v>
      </c>
      <c r="G67" s="83"/>
      <c r="H67" s="13"/>
      <c r="I67" s="30">
        <f>+SUM(START:END!I67)</f>
        <v>0</v>
      </c>
      <c r="J67" s="41"/>
      <c r="K67" s="13"/>
      <c r="L67" s="59">
        <f>+SUM(START:END!L67)</f>
        <v>-688.71</v>
      </c>
      <c r="M67" s="41"/>
      <c r="N67" s="59">
        <f t="shared" si="23"/>
        <v>-2135.2014399999998</v>
      </c>
      <c r="O67" s="41"/>
      <c r="P67" s="13"/>
      <c r="Q67" s="33">
        <f>+SUM(START:END!Q67)</f>
        <v>1070.24</v>
      </c>
      <c r="R67" s="41"/>
      <c r="S67" s="85">
        <f>L67-Q67</f>
        <v>-1758.95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 t="shared" si="1"/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f>+SUM(START:END!F68)</f>
        <v>9894.9823112763388</v>
      </c>
      <c r="G68" s="83"/>
      <c r="H68" s="13"/>
      <c r="I68" s="30">
        <f>+SUM(START:END!I68)</f>
        <v>0</v>
      </c>
      <c r="J68" s="41"/>
      <c r="K68" s="13"/>
      <c r="L68" s="32">
        <f>+SUM(START:END!L68)</f>
        <v>10958.76</v>
      </c>
      <c r="M68" s="41"/>
      <c r="N68" s="59">
        <f t="shared" si="23"/>
        <v>1063.7776887236614</v>
      </c>
      <c r="O68" s="41"/>
      <c r="P68" s="13"/>
      <c r="Q68" s="33">
        <f>+SUM(START:END!Q68)</f>
        <v>9621.4700000000012</v>
      </c>
      <c r="R68" s="41"/>
      <c r="S68" s="85">
        <f>L68-Q68</f>
        <v>1337.2899999999991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 t="shared" si="1"/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f>+SUM(START:END!F69)</f>
        <v>0</v>
      </c>
      <c r="G69" s="83"/>
      <c r="H69" s="13"/>
      <c r="I69" s="30">
        <f>+SUM(START:END!I69)</f>
        <v>0</v>
      </c>
      <c r="J69" s="41"/>
      <c r="K69" s="13"/>
      <c r="L69" s="33">
        <f>+SUM(START:END!L69)</f>
        <v>0</v>
      </c>
      <c r="M69" s="41"/>
      <c r="N69" s="59">
        <f t="shared" si="23"/>
        <v>0</v>
      </c>
      <c r="O69" s="41"/>
      <c r="P69" s="13"/>
      <c r="Q69" s="33">
        <f>+SUM(START:END!Q69)</f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si="1"/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f>+SUM(START:END!F70)</f>
        <v>0</v>
      </c>
      <c r="G70" s="83"/>
      <c r="H70" s="13"/>
      <c r="I70" s="30">
        <f>+SUM(START:END!I70)</f>
        <v>0</v>
      </c>
      <c r="J70" s="41"/>
      <c r="K70" s="13"/>
      <c r="L70" s="33">
        <f>+SUM(START:END!L70)</f>
        <v>0</v>
      </c>
      <c r="M70" s="41"/>
      <c r="N70" s="59">
        <f t="shared" si="23"/>
        <v>0</v>
      </c>
      <c r="O70" s="41"/>
      <c r="P70" s="13"/>
      <c r="Q70" s="33">
        <f>+SUM(START:END!Q70)</f>
        <v>0</v>
      </c>
      <c r="R70" s="41"/>
      <c r="S70" s="85">
        <f t="shared" si="24"/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f>+SUM(START:END!F71)</f>
        <v>0</v>
      </c>
      <c r="G71" s="83"/>
      <c r="H71" s="13"/>
      <c r="I71" s="30">
        <f>+SUM(START:END!I71)</f>
        <v>0</v>
      </c>
      <c r="J71" s="41"/>
      <c r="K71" s="13"/>
      <c r="L71" s="33">
        <f>+SUM(START:END!L71)</f>
        <v>0</v>
      </c>
      <c r="M71" s="41"/>
      <c r="N71" s="59">
        <f t="shared" si="23"/>
        <v>0</v>
      </c>
      <c r="O71" s="41"/>
      <c r="P71" s="13"/>
      <c r="Q71" s="33">
        <f>+SUM(START:END!Q71)</f>
        <v>0</v>
      </c>
      <c r="R71" s="41"/>
      <c r="S71" s="85">
        <f t="shared" si="24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0.10299070303028514</v>
      </c>
      <c r="F72" s="96">
        <f>+SUM(F55:F71)</f>
        <v>58773.398751276341</v>
      </c>
      <c r="G72" s="97" t="s">
        <v>38</v>
      </c>
      <c r="H72" s="95" t="e">
        <f>I72/I$27</f>
        <v>#DIV/0!</v>
      </c>
      <c r="I72" s="96">
        <f>+SUM(I55:I71)</f>
        <v>0</v>
      </c>
      <c r="J72" s="97" t="s">
        <v>38</v>
      </c>
      <c r="K72" s="95">
        <f>L72/L$27</f>
        <v>0.12112030944140062</v>
      </c>
      <c r="L72" s="96">
        <f>+SUM(L55:L71)</f>
        <v>65161.68</v>
      </c>
      <c r="M72" s="100"/>
      <c r="N72" s="96">
        <f>+SUM(N55:N71)</f>
        <v>6388.281248723657</v>
      </c>
      <c r="O72" s="97" t="s">
        <v>38</v>
      </c>
      <c r="P72" s="95">
        <f>Q72/Q$27</f>
        <v>0.10166310917900385</v>
      </c>
      <c r="Q72" s="96">
        <f>+SUM(Q55:Q71)</f>
        <v>58719.519999999997</v>
      </c>
      <c r="R72" s="100"/>
      <c r="S72" s="101">
        <f>+SUM(S55:S71)</f>
        <v>6442.16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0.86982551415607179</v>
      </c>
      <c r="F74" s="96">
        <f>F41+F54+F72</f>
        <v>496380.74392497167</v>
      </c>
      <c r="G74" s="97" t="s">
        <v>38</v>
      </c>
      <c r="H74" s="95" t="e">
        <f>I74/I$27</f>
        <v>#DIV/0!</v>
      </c>
      <c r="I74" s="96">
        <f>I41+I54+I72</f>
        <v>0</v>
      </c>
      <c r="J74" s="97" t="s">
        <v>38</v>
      </c>
      <c r="K74" s="95">
        <f>L74/L$27</f>
        <v>0.97961519307670608</v>
      </c>
      <c r="L74" s="96">
        <f>L41+L54+L72</f>
        <v>527024.51</v>
      </c>
      <c r="M74" s="100"/>
      <c r="N74" s="113">
        <f t="shared" ref="N74:N82" si="25">L74-F74</f>
        <v>30643.766075028339</v>
      </c>
      <c r="O74" s="97" t="s">
        <v>38</v>
      </c>
      <c r="P74" s="95">
        <f>Q74/Q$27</f>
        <v>0.71968412293538897</v>
      </c>
      <c r="Q74" s="96">
        <f>Q41+Q54+Q72</f>
        <v>415681.82</v>
      </c>
      <c r="R74" s="100"/>
      <c r="S74" s="114">
        <f>L74-Q74</f>
        <v>111342.69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1"/>
        <v>Véhicules neufsRBSC neuf</v>
      </c>
      <c r="B75" s="11" t="str">
        <f t="shared" si="0"/>
        <v>Véhicules neufs</v>
      </c>
      <c r="C75" s="29" t="s">
        <v>218</v>
      </c>
      <c r="D75" s="81"/>
      <c r="E75" s="13"/>
      <c r="F75" s="30">
        <f>+SUM(START:END!F75)</f>
        <v>123763.75307692314</v>
      </c>
      <c r="G75" s="83"/>
      <c r="H75" s="13"/>
      <c r="I75" s="30">
        <f>+SUM(START:END!I75)</f>
        <v>0</v>
      </c>
      <c r="J75" s="41"/>
      <c r="K75" s="13"/>
      <c r="L75" s="32">
        <f>+SUM(START:END!L75)</f>
        <v>141600.53999999998</v>
      </c>
      <c r="M75" s="41"/>
      <c r="N75" s="59">
        <f t="shared" si="25"/>
        <v>17836.786923076841</v>
      </c>
      <c r="O75" s="41"/>
      <c r="P75" s="13"/>
      <c r="Q75" s="32">
        <f>+SUM(START:END!Q75)</f>
        <v>111517.06999999999</v>
      </c>
      <c r="R75" s="41"/>
      <c r="S75" s="85">
        <f>L75-Q75</f>
        <v>30083.469999999987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f>+SUM(START:END!F76)</f>
        <v>0</v>
      </c>
      <c r="G76" s="83"/>
      <c r="H76" s="13"/>
      <c r="I76" s="30">
        <f>+SUM(START:END!I76)</f>
        <v>0</v>
      </c>
      <c r="J76" s="41"/>
      <c r="K76" s="13"/>
      <c r="L76" s="32">
        <f>+SUM(START:END!L76)</f>
        <v>0</v>
      </c>
      <c r="M76" s="41"/>
      <c r="N76" s="59">
        <f t="shared" si="25"/>
        <v>0</v>
      </c>
      <c r="O76" s="41"/>
      <c r="P76" s="13"/>
      <c r="Q76" s="32">
        <f>+SUM(START:END!Q76)</f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f>+SUM(START:END!F77)</f>
        <v>0</v>
      </c>
      <c r="G77" s="83"/>
      <c r="H77" s="13"/>
      <c r="I77" s="30">
        <f>+SUM(START:END!I77)</f>
        <v>0</v>
      </c>
      <c r="J77" s="41"/>
      <c r="K77" s="13"/>
      <c r="L77" s="32">
        <f>+SUM(START:END!L77)</f>
        <v>0</v>
      </c>
      <c r="M77" s="41"/>
      <c r="N77" s="59">
        <f t="shared" si="25"/>
        <v>0</v>
      </c>
      <c r="O77" s="41"/>
      <c r="P77" s="13"/>
      <c r="Q77" s="32">
        <f>+SUM(START:END!Q77)</f>
        <v>0</v>
      </c>
      <c r="R77" s="41"/>
      <c r="S77" s="85">
        <f t="shared" ref="S77:S82" si="26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f>+SUM(START:END!F78)</f>
        <v>141444.28923076927</v>
      </c>
      <c r="G78" s="83"/>
      <c r="H78" s="13"/>
      <c r="I78" s="30">
        <f>+SUM(START:END!I78)</f>
        <v>0</v>
      </c>
      <c r="J78" s="41"/>
      <c r="K78" s="13"/>
      <c r="L78" s="33">
        <f>+SUM(START:END!L78)</f>
        <v>142495.09999999998</v>
      </c>
      <c r="M78" s="41"/>
      <c r="N78" s="59">
        <f t="shared" si="25"/>
        <v>1050.8107692307094</v>
      </c>
      <c r="O78" s="41"/>
      <c r="P78" s="13"/>
      <c r="Q78" s="32">
        <f>+SUM(START:END!Q78)</f>
        <v>138060.6</v>
      </c>
      <c r="R78" s="41"/>
      <c r="S78" s="85">
        <f t="shared" si="26"/>
        <v>4434.4999999999709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 t="shared" si="1"/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f>+SUM(START:END!F79)</f>
        <v>0</v>
      </c>
      <c r="G79" s="83"/>
      <c r="H79" s="13"/>
      <c r="I79" s="30">
        <f>+SUM(START:END!I79)</f>
        <v>0</v>
      </c>
      <c r="J79" s="41"/>
      <c r="K79" s="13"/>
      <c r="L79" s="33">
        <f>+SUM(START:END!L79)</f>
        <v>0</v>
      </c>
      <c r="M79" s="41"/>
      <c r="N79" s="59">
        <f t="shared" si="25"/>
        <v>0</v>
      </c>
      <c r="O79" s="41"/>
      <c r="P79" s="13"/>
      <c r="Q79" s="32">
        <f>+SUM(START:END!Q79)</f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 t="shared" si="1"/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f>+SUM(START:END!F80)</f>
        <v>0</v>
      </c>
      <c r="G80" s="83"/>
      <c r="H80" s="13"/>
      <c r="I80" s="30">
        <f>+SUM(START:END!I80)</f>
        <v>0</v>
      </c>
      <c r="J80" s="41"/>
      <c r="K80" s="13"/>
      <c r="L80" s="33">
        <f>+SUM(START:END!L80)</f>
        <v>0</v>
      </c>
      <c r="M80" s="41"/>
      <c r="N80" s="59">
        <f t="shared" si="25"/>
        <v>0</v>
      </c>
      <c r="O80" s="41"/>
      <c r="P80" s="13"/>
      <c r="Q80" s="32">
        <f>+SUM(START:END!Q80)</f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 t="shared" si="1"/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f>+SUM(START:END!F81)</f>
        <v>0</v>
      </c>
      <c r="G81" s="83"/>
      <c r="H81" s="13"/>
      <c r="I81" s="30">
        <f>+SUM(START:END!I81)</f>
        <v>0</v>
      </c>
      <c r="J81" s="41"/>
      <c r="K81" s="13"/>
      <c r="L81" s="33">
        <f>+SUM(START:END!L81)</f>
        <v>0</v>
      </c>
      <c r="M81" s="41"/>
      <c r="N81" s="59">
        <f t="shared" si="25"/>
        <v>0</v>
      </c>
      <c r="O81" s="41"/>
      <c r="P81" s="13"/>
      <c r="Q81" s="32">
        <f>+SUM(START:END!Q81)</f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si="1"/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f>+SUM(START:END!F82)</f>
        <v>48891.15</v>
      </c>
      <c r="G82" s="83"/>
      <c r="H82" s="13"/>
      <c r="I82" s="30">
        <f>+SUM(START:END!I82)</f>
        <v>0</v>
      </c>
      <c r="J82" s="41"/>
      <c r="K82" s="13"/>
      <c r="L82" s="32">
        <f>+SUM(START:END!L82)</f>
        <v>52360</v>
      </c>
      <c r="M82" s="41"/>
      <c r="N82" s="59">
        <f t="shared" si="25"/>
        <v>3468.8499999999985</v>
      </c>
      <c r="O82" s="41"/>
      <c r="P82" s="13"/>
      <c r="Q82" s="32">
        <f>+SUM(START:END!Q82)</f>
        <v>44530</v>
      </c>
      <c r="R82" s="41"/>
      <c r="S82" s="85">
        <f t="shared" si="26"/>
        <v>7830</v>
      </c>
      <c r="T82" s="13"/>
      <c r="U82" s="13"/>
      <c r="V82" s="11"/>
      <c r="W82" s="505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1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314099.19230769243</v>
      </c>
      <c r="G83" s="97"/>
      <c r="H83" s="95"/>
      <c r="I83" s="96">
        <f>+SUM(I75:I82)</f>
        <v>0</v>
      </c>
      <c r="J83" s="97"/>
      <c r="K83" s="95"/>
      <c r="L83" s="96">
        <f>+SUM(L75:L82)</f>
        <v>336455.63999999996</v>
      </c>
      <c r="M83" s="100"/>
      <c r="N83" s="96">
        <f>+SUM(N75:N82)</f>
        <v>22356.447692307549</v>
      </c>
      <c r="O83" s="97"/>
      <c r="P83" s="95"/>
      <c r="Q83" s="96">
        <f>+SUM(Q75:Q82)</f>
        <v>294107.67</v>
      </c>
      <c r="R83" s="100"/>
      <c r="S83" s="101">
        <f>+SUM(S75:S82)</f>
        <v>42347.969999999958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1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1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388385.47969712602</v>
      </c>
      <c r="G85" s="128"/>
      <c r="H85" s="126"/>
      <c r="I85" s="127">
        <f>I27-I74+I83</f>
        <v>0</v>
      </c>
      <c r="J85" s="128"/>
      <c r="K85" s="125"/>
      <c r="L85" s="127">
        <f>L27-L74+L83</f>
        <v>347422.49000000028</v>
      </c>
      <c r="M85" s="128"/>
      <c r="N85" s="127">
        <f>N27-N41-N54-N72+N83</f>
        <v>-40962.989697125704</v>
      </c>
      <c r="O85" s="128"/>
      <c r="P85" s="125"/>
      <c r="Q85" s="127">
        <f>Q27-Q74+Q83</f>
        <v>456015.10999999952</v>
      </c>
      <c r="R85" s="128"/>
      <c r="S85" s="129">
        <f>S27-S41-S54-S72+S83</f>
        <v>-108592.61999999925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  Q2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63" t="s">
        <v>5</v>
      </c>
      <c r="E91" s="464"/>
      <c r="F91" s="465"/>
      <c r="G91" s="466" t="s">
        <v>71</v>
      </c>
      <c r="H91" s="464"/>
      <c r="I91" s="465"/>
      <c r="J91" s="466" t="s">
        <v>7</v>
      </c>
      <c r="K91" s="464"/>
      <c r="L91" s="465"/>
      <c r="M91" s="466" t="s">
        <v>213</v>
      </c>
      <c r="N91" s="465"/>
      <c r="O91" s="463" t="s">
        <v>8</v>
      </c>
      <c r="P91" s="464"/>
      <c r="Q91" s="465"/>
      <c r="R91" s="470" t="s">
        <v>214</v>
      </c>
      <c r="S91" s="471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 t="s">
        <v>10</v>
      </c>
      <c r="H92" s="80" t="s">
        <v>11</v>
      </c>
      <c r="I92" s="134" t="s">
        <v>12</v>
      </c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219</v>
      </c>
      <c r="O92" s="80" t="s">
        <v>10</v>
      </c>
      <c r="P92" s="80" t="s">
        <v>13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f>+SUM(START:END!F93)</f>
        <v>5180758.6206896547</v>
      </c>
      <c r="G93" s="46"/>
      <c r="H93" s="25"/>
      <c r="I93" s="22">
        <f>+SUM(START:END!I93)</f>
        <v>0</v>
      </c>
      <c r="J93" s="23"/>
      <c r="K93" s="25"/>
      <c r="L93" s="22">
        <f>+SUM(START:END!L93)</f>
        <v>4968976.5</v>
      </c>
      <c r="M93" s="137"/>
      <c r="N93" s="138"/>
      <c r="O93" s="23"/>
      <c r="P93" s="25"/>
      <c r="Q93" s="22">
        <f>+SUM(START:END!Q93)</f>
        <v>4883235.3899999904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7"/>
        <v>Véhicules usagésCertifié</v>
      </c>
      <c r="B94" s="11" t="s">
        <v>70</v>
      </c>
      <c r="C94" s="29" t="s">
        <v>72</v>
      </c>
      <c r="D94" s="30">
        <f>+SUM(START:END!D94)</f>
        <v>22</v>
      </c>
      <c r="E94" s="30">
        <f>IF(D94=0,0,F94/D94)</f>
        <v>3000</v>
      </c>
      <c r="F94" s="30">
        <f>+SUM(START:END!F94)</f>
        <v>66000</v>
      </c>
      <c r="G94" s="31">
        <f>+SUM(START:END!G94)</f>
        <v>0</v>
      </c>
      <c r="H94" s="30">
        <f>IF(G94=0,0,I94/G94)</f>
        <v>0</v>
      </c>
      <c r="I94" s="30">
        <f>+SUM(START:END!I94)</f>
        <v>0</v>
      </c>
      <c r="J94" s="31">
        <f>+SUM(START:END!J94)</f>
        <v>22</v>
      </c>
      <c r="K94" s="30">
        <f>IF(J94=0,0,L94/J94)</f>
        <v>2080.9290909090892</v>
      </c>
      <c r="L94" s="33">
        <f>+SUM(START:END!L94)</f>
        <v>45780.439999999966</v>
      </c>
      <c r="M94" s="31">
        <f>J94-D94</f>
        <v>0</v>
      </c>
      <c r="N94" s="33">
        <f>L94-F94</f>
        <v>-20219.560000000034</v>
      </c>
      <c r="O94" s="31">
        <f>+SUM(START:END!O94)</f>
        <v>14</v>
      </c>
      <c r="P94" s="30">
        <f>IF(O94=0,0,Q94/O94)</f>
        <v>2623.4128571428437</v>
      </c>
      <c r="Q94" s="33">
        <f>+SUM(START:END!Q94)</f>
        <v>36727.77999999981</v>
      </c>
      <c r="R94" s="31">
        <f>J94-O94</f>
        <v>8</v>
      </c>
      <c r="S94" s="34">
        <f>L94-Q94</f>
        <v>9052.6600000001563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7"/>
        <v>Véhicules usagésNon Certifié</v>
      </c>
      <c r="B95" s="11" t="s">
        <v>70</v>
      </c>
      <c r="C95" s="29" t="s">
        <v>73</v>
      </c>
      <c r="D95" s="30">
        <f>+SUM(START:END!D95)</f>
        <v>16</v>
      </c>
      <c r="E95" s="30">
        <f t="shared" ref="E95:E105" si="28">IF(D95=0,0,F95/D95)</f>
        <v>2200</v>
      </c>
      <c r="F95" s="30">
        <f>+SUM(START:END!F95)</f>
        <v>35200</v>
      </c>
      <c r="G95" s="31">
        <f>+SUM(START:END!G95)</f>
        <v>0</v>
      </c>
      <c r="H95" s="30">
        <f t="shared" ref="H95" si="29">IF(G95=0,0,I95/G95)</f>
        <v>0</v>
      </c>
      <c r="I95" s="30">
        <f>+SUM(START:END!I95)</f>
        <v>0</v>
      </c>
      <c r="J95" s="31">
        <f>+SUM(START:END!J95)</f>
        <v>27</v>
      </c>
      <c r="K95" s="30">
        <f t="shared" ref="K95" si="30">IF(J95=0,0,L95/J95)</f>
        <v>1804.5996296296287</v>
      </c>
      <c r="L95" s="32">
        <f>+SUM(START:END!L95)</f>
        <v>48724.189999999973</v>
      </c>
      <c r="M95" s="31">
        <f>J95-D95</f>
        <v>11</v>
      </c>
      <c r="N95" s="33">
        <f>L95-F95</f>
        <v>13524.189999999973</v>
      </c>
      <c r="O95" s="31">
        <f>+SUM(START:END!O95)</f>
        <v>45</v>
      </c>
      <c r="P95" s="30">
        <f t="shared" ref="P95" si="31">IF(O95=0,0,Q95/O95)</f>
        <v>2733.0064444444379</v>
      </c>
      <c r="Q95" s="32">
        <f>+SUM(START:END!Q95)</f>
        <v>122985.2899999997</v>
      </c>
      <c r="R95" s="31">
        <f>J95-O95</f>
        <v>-18</v>
      </c>
      <c r="S95" s="34">
        <f>L95-Q95</f>
        <v>-74261.099999999729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ref="A96" si="32">+B96&amp;C96</f>
        <v>Véhicules usagésAutres marques</v>
      </c>
      <c r="B96" s="11" t="s">
        <v>70</v>
      </c>
      <c r="C96" s="29" t="s">
        <v>207</v>
      </c>
      <c r="D96" s="30">
        <f>+SUM(START:END!D96)</f>
        <v>28</v>
      </c>
      <c r="E96" s="25">
        <f t="shared" ref="E96" si="33">IF(D96=0,0,F96/D96)</f>
        <v>1850</v>
      </c>
      <c r="F96" s="30">
        <f>+SUM(START:END!F96)</f>
        <v>51800</v>
      </c>
      <c r="G96" s="31">
        <f>+SUM(START:END!G96)</f>
        <v>0</v>
      </c>
      <c r="H96" s="30">
        <f t="shared" ref="H96" si="34">IF(G96=0,0,I96/G96)</f>
        <v>0</v>
      </c>
      <c r="I96" s="30">
        <f>+SUM(START:END!I96)</f>
        <v>0</v>
      </c>
      <c r="J96" s="31">
        <f>+SUM(START:END!J96)</f>
        <v>22</v>
      </c>
      <c r="K96" s="30">
        <f t="shared" ref="K96" si="35">IF(J96=0,0,L96/J96)</f>
        <v>922.37636363636454</v>
      </c>
      <c r="L96" s="32">
        <f>+SUM(START:END!L96)</f>
        <v>20292.280000000021</v>
      </c>
      <c r="M96" s="31">
        <f>J96-D96</f>
        <v>-6</v>
      </c>
      <c r="N96" s="33">
        <f>L96-F96</f>
        <v>-31507.719999999979</v>
      </c>
      <c r="O96" s="31">
        <f>+SUM(START:END!O96)</f>
        <v>0</v>
      </c>
      <c r="P96" s="30">
        <f t="shared" ref="P96" si="36">IF(O96=0,0,Q96/O96)</f>
        <v>0</v>
      </c>
      <c r="Q96" s="32">
        <f>+SUM(START:END!Q96)</f>
        <v>0</v>
      </c>
      <c r="R96" s="31">
        <f>J96-O96</f>
        <v>22</v>
      </c>
      <c r="S96" s="34">
        <f>L96-Q96</f>
        <v>20292.280000000021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66</v>
      </c>
      <c r="E97" s="30">
        <f t="shared" si="28"/>
        <v>2318.181818181818</v>
      </c>
      <c r="F97" s="37">
        <f>+F94+F95+F96</f>
        <v>153000</v>
      </c>
      <c r="G97" s="38">
        <f>+G95+G94+G96</f>
        <v>0</v>
      </c>
      <c r="H97" s="36">
        <f t="shared" ref="H97" si="37">IF(G97=0,0,I97/G97)</f>
        <v>0</v>
      </c>
      <c r="I97" s="37">
        <f>+I94+I95+I96</f>
        <v>0</v>
      </c>
      <c r="J97" s="38">
        <f>+J95+J94+J96</f>
        <v>71</v>
      </c>
      <c r="K97" s="36">
        <f t="shared" ref="K97" si="38">IF(J97=0,0,L97/J97)</f>
        <v>1616.8578873239433</v>
      </c>
      <c r="L97" s="37">
        <f>+L94+L95+L96</f>
        <v>114796.90999999997</v>
      </c>
      <c r="M97" s="38">
        <f>J97-D97</f>
        <v>5</v>
      </c>
      <c r="N97" s="37">
        <f>L97-F97</f>
        <v>-38203.090000000026</v>
      </c>
      <c r="O97" s="38">
        <f>+O95+O94+O96</f>
        <v>59</v>
      </c>
      <c r="P97" s="36">
        <f>IF(O97&lt;=0,0,Q97/O97)</f>
        <v>2707.0011864406697</v>
      </c>
      <c r="Q97" s="37">
        <f>+Q94+Q95+Q96</f>
        <v>159713.06999999951</v>
      </c>
      <c r="R97" s="38">
        <f>R94+R95</f>
        <v>-10</v>
      </c>
      <c r="S97" s="39">
        <f>S94+S95</f>
        <v>-65208.439999999573</v>
      </c>
      <c r="T97" s="13"/>
      <c r="U97" s="13"/>
      <c r="V97" s="13"/>
      <c r="W97" s="478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>
        <f t="shared" ref="H98:H99" si="39">IF(G98=0,0,I98/G98)</f>
        <v>0</v>
      </c>
      <c r="I98" s="40"/>
      <c r="J98" s="41"/>
      <c r="K98" s="13"/>
      <c r="L98" s="40"/>
      <c r="M98" s="42">
        <f>M97/D97</f>
        <v>7.575757575757576E-2</v>
      </c>
      <c r="N98" s="43">
        <f>N97/F97</f>
        <v>-0.24969339869281063</v>
      </c>
      <c r="O98" s="41"/>
      <c r="P98" s="13"/>
      <c r="Q98" s="40"/>
      <c r="R98" s="42">
        <f>R97/O97</f>
        <v>-0.16949152542372881</v>
      </c>
      <c r="S98" s="44">
        <f>IF(Q97=0,0,(S97/Q97))</f>
        <v>-0.40828493247296399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7"/>
        <v>Véhicules usagésUS</v>
      </c>
      <c r="B99" s="11" t="s">
        <v>70</v>
      </c>
      <c r="C99" s="29" t="s">
        <v>187</v>
      </c>
      <c r="D99" s="30">
        <f>+SUM(START:END!D99)</f>
        <v>0</v>
      </c>
      <c r="E99" s="30">
        <f t="shared" si="28"/>
        <v>0</v>
      </c>
      <c r="F99" s="30">
        <f>+SUM(START:END!F99)</f>
        <v>0</v>
      </c>
      <c r="G99" s="41">
        <f>+SUM(START:END!G99)</f>
        <v>0</v>
      </c>
      <c r="H99" s="30">
        <f t="shared" si="39"/>
        <v>0</v>
      </c>
      <c r="I99" s="30">
        <f>+SUM(START:END!I99)</f>
        <v>0</v>
      </c>
      <c r="J99" s="31">
        <f>+SUM(START:END!J99)</f>
        <v>0</v>
      </c>
      <c r="K99" s="30">
        <f t="shared" ref="K99" si="40">IF(J99=0,0,L99/J99)</f>
        <v>0</v>
      </c>
      <c r="L99" s="33">
        <f>+SUM(START:END!L99)</f>
        <v>0</v>
      </c>
      <c r="M99" s="31"/>
      <c r="N99" s="33"/>
      <c r="O99" s="31">
        <f>+SUM(START:END!O99)</f>
        <v>0</v>
      </c>
      <c r="P99" s="30">
        <f t="shared" ref="P99" si="41">IF(O99=0,0,Q99/O99)</f>
        <v>0</v>
      </c>
      <c r="Q99" s="33">
        <f>+SUM(START:END!Q99)</f>
        <v>0</v>
      </c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7"/>
        <v>Véhicules usagésVentes au Gros</v>
      </c>
      <c r="B100" s="11" t="s">
        <v>70</v>
      </c>
      <c r="C100" s="29" t="s">
        <v>75</v>
      </c>
      <c r="D100" s="30">
        <f>+SUM(START:END!D100)</f>
        <v>71</v>
      </c>
      <c r="E100" s="30">
        <f t="shared" ref="E100" si="42">IF(D100=0,0,F100/D100)</f>
        <v>375</v>
      </c>
      <c r="F100" s="30">
        <f>+SUM(START:END!F100)</f>
        <v>26625</v>
      </c>
      <c r="G100" s="31">
        <f>+SUM(START:END!G100)</f>
        <v>0</v>
      </c>
      <c r="H100" s="30">
        <f t="shared" ref="H100" si="43">IF(G100=0,0,I100/G100)</f>
        <v>0</v>
      </c>
      <c r="I100" s="30">
        <f>+SUM(START:END!I100)</f>
        <v>0</v>
      </c>
      <c r="J100" s="31">
        <f>+SUM(START:END!J100)</f>
        <v>64</v>
      </c>
      <c r="K100" s="30">
        <f t="shared" ref="K100" si="44">IF(J100=0,0,L100/J100)</f>
        <v>157.34718750000047</v>
      </c>
      <c r="L100" s="33">
        <f>+SUM(START:END!L100)</f>
        <v>10070.22000000003</v>
      </c>
      <c r="M100" s="31">
        <f>J100-D100</f>
        <v>-7</v>
      </c>
      <c r="N100" s="33">
        <f>L100-F100</f>
        <v>-16554.77999999997</v>
      </c>
      <c r="O100" s="31">
        <f>+SUM(START:END!O100)</f>
        <v>70</v>
      </c>
      <c r="P100" s="30">
        <f t="shared" ref="P100" si="45">IF(O100=0,0,Q100/O100)</f>
        <v>567.69057142857218</v>
      </c>
      <c r="Q100" s="33">
        <f>+SUM(START:END!Q100)</f>
        <v>39738.340000000055</v>
      </c>
      <c r="R100" s="31">
        <f>J100-O100</f>
        <v>-6</v>
      </c>
      <c r="S100" s="34">
        <f>L100-Q100</f>
        <v>-29668.120000000024</v>
      </c>
      <c r="T100" s="13"/>
      <c r="U100" s="13"/>
      <c r="V100" s="13"/>
      <c r="W100" s="478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7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7"/>
        <v>Véhicules usagésRev. Finances</v>
      </c>
      <c r="B102" s="11" t="s">
        <v>70</v>
      </c>
      <c r="C102" s="29" t="s">
        <v>24</v>
      </c>
      <c r="D102" s="30">
        <f>+SUM(START:END!D102)</f>
        <v>0</v>
      </c>
      <c r="E102" s="30">
        <f t="shared" ref="E102:E104" si="46">IF(D102=0,0,F102/D102)</f>
        <v>0</v>
      </c>
      <c r="F102" s="33">
        <f>+SUM(START:END!F102)</f>
        <v>39600</v>
      </c>
      <c r="G102" s="31">
        <f>+SUM(START:END!G102)</f>
        <v>0</v>
      </c>
      <c r="H102" s="30">
        <f t="shared" ref="H102:H104" si="47">IF(G102=0,0,I102/G102)</f>
        <v>0</v>
      </c>
      <c r="I102" s="30">
        <f>+SUM(START:END!I102)</f>
        <v>0</v>
      </c>
      <c r="J102" s="31">
        <f>+SUM(START:END!J102)</f>
        <v>0</v>
      </c>
      <c r="K102" s="30">
        <f t="shared" ref="K102:K104" si="48">IF(J102=0,0,L102/J102)</f>
        <v>0</v>
      </c>
      <c r="L102" s="33">
        <f>+SUM(START:END!L102)</f>
        <v>28470.75</v>
      </c>
      <c r="M102" s="31"/>
      <c r="N102" s="33">
        <f>L102-F102</f>
        <v>-11129.25</v>
      </c>
      <c r="O102" s="31">
        <f>+SUM(START:END!O102)</f>
        <v>0</v>
      </c>
      <c r="P102" s="30">
        <f t="shared" ref="P102:P104" si="49">IF(O102=0,0,Q102/O102)</f>
        <v>0</v>
      </c>
      <c r="Q102" s="33">
        <f>+SUM(START:END!Q102)</f>
        <v>38785.97</v>
      </c>
      <c r="R102" s="31">
        <f>O102-K102</f>
        <v>0</v>
      </c>
      <c r="S102" s="34">
        <f>L102-Q102</f>
        <v>-10315.220000000001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7"/>
        <v>Véhicules usagésRev. Protections</v>
      </c>
      <c r="B103" s="11" t="s">
        <v>70</v>
      </c>
      <c r="C103" s="29" t="s">
        <v>25</v>
      </c>
      <c r="D103" s="30">
        <f>+SUM(START:END!D103)</f>
        <v>0</v>
      </c>
      <c r="E103" s="30">
        <f t="shared" si="46"/>
        <v>0</v>
      </c>
      <c r="F103" s="33">
        <f>+SUM(START:END!F103)</f>
        <v>58080</v>
      </c>
      <c r="G103" s="31">
        <f>+SUM(START:END!G103)</f>
        <v>0</v>
      </c>
      <c r="H103" s="30">
        <f t="shared" si="47"/>
        <v>0</v>
      </c>
      <c r="I103" s="30">
        <f>+SUM(START:END!I103)</f>
        <v>0</v>
      </c>
      <c r="J103" s="31">
        <f>+SUM(START:END!J103)</f>
        <v>0</v>
      </c>
      <c r="K103" s="30">
        <f t="shared" si="48"/>
        <v>0</v>
      </c>
      <c r="L103" s="33">
        <f>+SUM(START:END!L103)</f>
        <v>56115.630000000005</v>
      </c>
      <c r="M103" s="31"/>
      <c r="N103" s="33">
        <f>L103-F103</f>
        <v>-1964.3699999999953</v>
      </c>
      <c r="O103" s="31">
        <f>+SUM(START:END!O103)</f>
        <v>0</v>
      </c>
      <c r="P103" s="30">
        <f t="shared" si="49"/>
        <v>0</v>
      </c>
      <c r="Q103" s="33">
        <f>+SUM(START:END!Q103)</f>
        <v>44581.43</v>
      </c>
      <c r="R103" s="31">
        <f>O103-K103</f>
        <v>0</v>
      </c>
      <c r="S103" s="34">
        <f>L103-Q103</f>
        <v>11534.200000000004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7"/>
        <v>Véhicules usagésRev. Autres</v>
      </c>
      <c r="B104" s="11" t="s">
        <v>70</v>
      </c>
      <c r="C104" s="29" t="s">
        <v>26</v>
      </c>
      <c r="D104" s="30">
        <f>+SUM(START:END!D104)</f>
        <v>0</v>
      </c>
      <c r="E104" s="25">
        <f t="shared" si="46"/>
        <v>0</v>
      </c>
      <c r="F104" s="33">
        <f>+SUM(START:END!F104)</f>
        <v>11220</v>
      </c>
      <c r="G104" s="31">
        <f>+SUM(START:END!G104)</f>
        <v>0</v>
      </c>
      <c r="H104" s="47">
        <f t="shared" si="47"/>
        <v>0</v>
      </c>
      <c r="I104" s="30">
        <f>+SUM(START:END!I104)</f>
        <v>0</v>
      </c>
      <c r="J104" s="31">
        <f>+SUM(START:END!J104)</f>
        <v>0</v>
      </c>
      <c r="K104" s="47">
        <f t="shared" si="48"/>
        <v>0</v>
      </c>
      <c r="L104" s="33">
        <f>+SUM(START:END!L104)</f>
        <v>9275</v>
      </c>
      <c r="M104" s="51"/>
      <c r="N104" s="33">
        <f>L104-F104</f>
        <v>-1945</v>
      </c>
      <c r="O104" s="31">
        <f>+SUM(START:END!O104)</f>
        <v>0</v>
      </c>
      <c r="P104" s="47">
        <f t="shared" si="49"/>
        <v>0</v>
      </c>
      <c r="Q104" s="33">
        <f>+SUM(START:END!Q104)</f>
        <v>10489.76</v>
      </c>
      <c r="R104" s="31">
        <f>O104-K104</f>
        <v>0</v>
      </c>
      <c r="S104" s="34">
        <f>L104-Q104</f>
        <v>-1214.7600000000002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7"/>
        <v>Véhicules usagésTotal F&amp;I</v>
      </c>
      <c r="B105" s="11" t="s">
        <v>70</v>
      </c>
      <c r="C105" s="35" t="s">
        <v>27</v>
      </c>
      <c r="D105" s="36">
        <f>D97</f>
        <v>66</v>
      </c>
      <c r="E105" s="30">
        <f t="shared" si="28"/>
        <v>1650</v>
      </c>
      <c r="F105" s="37">
        <f>F102+F103+F104</f>
        <v>108900</v>
      </c>
      <c r="G105" s="38">
        <f>G97</f>
        <v>0</v>
      </c>
      <c r="H105" s="36">
        <f t="shared" ref="H105" si="50">IF(G105=0,0,I105/G105)</f>
        <v>0</v>
      </c>
      <c r="I105" s="37">
        <f>I102+I103+I104</f>
        <v>0</v>
      </c>
      <c r="J105" s="38">
        <f>J97</f>
        <v>71</v>
      </c>
      <c r="K105" s="36">
        <f>IF(J105&lt;=0,0,L105/J105)</f>
        <v>1321.9912676056338</v>
      </c>
      <c r="L105" s="37">
        <f>L102+L103+L104</f>
        <v>93861.38</v>
      </c>
      <c r="M105" s="31">
        <f>J105-D105</f>
        <v>5</v>
      </c>
      <c r="N105" s="37">
        <f>L105-F105</f>
        <v>-15038.619999999995</v>
      </c>
      <c r="O105" s="38">
        <f>O97</f>
        <v>59</v>
      </c>
      <c r="P105" s="36">
        <f>IF(O105&lt;=0,0,Q105/O105)</f>
        <v>1590.7993220338981</v>
      </c>
      <c r="Q105" s="37">
        <f>Q102+Q103+Q104</f>
        <v>93857.159999999989</v>
      </c>
      <c r="R105" s="56"/>
      <c r="S105" s="39">
        <f>L105-Q105</f>
        <v>4.2200000000157161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7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-0.13809568411386589</v>
      </c>
      <c r="O106" s="41"/>
      <c r="P106" s="13"/>
      <c r="Q106" s="59"/>
      <c r="R106" s="60"/>
      <c r="S106" s="44">
        <f>IF(Q105=0,0,(S105/Q105))</f>
        <v>4.4961940037560446E-5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7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7"/>
        <v>Véhicules usagésTotal Dépt. Usagés</v>
      </c>
      <c r="B108" s="11" t="s">
        <v>70</v>
      </c>
      <c r="C108" s="62" t="s">
        <v>76</v>
      </c>
      <c r="D108" s="63">
        <f>D97+D100</f>
        <v>137</v>
      </c>
      <c r="E108" s="67">
        <f>IF(D108&lt;=0,0,F108/D108)</f>
        <v>2106.0218978102189</v>
      </c>
      <c r="F108" s="65">
        <f>F97+F105+F100</f>
        <v>288525</v>
      </c>
      <c r="G108" s="66">
        <f>G97+G100</f>
        <v>0</v>
      </c>
      <c r="H108" s="67">
        <f>IF(G108&lt;=0,0,I108/G108)</f>
        <v>0</v>
      </c>
      <c r="I108" s="65">
        <f>I97+I105+I100</f>
        <v>0</v>
      </c>
      <c r="J108" s="66">
        <f>J97+J100+J99</f>
        <v>135</v>
      </c>
      <c r="K108" s="67">
        <f>IF(J108&lt;=0,0,L108/J108)</f>
        <v>1620.2111851851853</v>
      </c>
      <c r="L108" s="65">
        <f>L97+L105+L100+L99</f>
        <v>218728.51</v>
      </c>
      <c r="M108" s="66">
        <f>J108-D108</f>
        <v>-2</v>
      </c>
      <c r="N108" s="65">
        <f>L108-F108</f>
        <v>-69796.489999999991</v>
      </c>
      <c r="O108" s="66">
        <f>O97+O100+O99</f>
        <v>129</v>
      </c>
      <c r="P108" s="67">
        <f>IF(O108&lt;=0,0,Q108/O108)</f>
        <v>2273.7098449612372</v>
      </c>
      <c r="Q108" s="65">
        <f>Q97+Q105+Q100+Q99</f>
        <v>293308.5699999996</v>
      </c>
      <c r="R108" s="66">
        <f>J108-O108</f>
        <v>6</v>
      </c>
      <c r="S108" s="68">
        <f>L108-Q108</f>
        <v>-74580.05999999959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7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-1.4598540145985401E-2</v>
      </c>
      <c r="N109" s="74">
        <f>N108/F108</f>
        <v>-0.24190794558530454</v>
      </c>
      <c r="O109" s="72"/>
      <c r="P109" s="70"/>
      <c r="Q109" s="71"/>
      <c r="R109" s="73">
        <f>O108/R108</f>
        <v>21.5</v>
      </c>
      <c r="S109" s="145">
        <f>IF(Q108=0,0,(S108/Q108))</f>
        <v>-0.25427167027543618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7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7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7"/>
        <v>Véhicules usagésComm. vendeurs</v>
      </c>
      <c r="B112" s="11" t="s">
        <v>70</v>
      </c>
      <c r="C112" s="29" t="s">
        <v>30</v>
      </c>
      <c r="D112" s="148">
        <f>F112/(F97+F105)</f>
        <v>0.1924981564550306</v>
      </c>
      <c r="E112" s="82">
        <f>F112/D$97</f>
        <v>763.86768447837142</v>
      </c>
      <c r="F112" s="30">
        <f>+SUM(START:END!F112)</f>
        <v>50415.267175572517</v>
      </c>
      <c r="G112" s="157" t="e">
        <f>I112/I97</f>
        <v>#DIV/0!</v>
      </c>
      <c r="H112" s="82" t="e">
        <f>I112/G$97</f>
        <v>#DIV/0!</v>
      </c>
      <c r="I112" s="30">
        <f>+SUM(START:END!I112)</f>
        <v>0</v>
      </c>
      <c r="J112" s="157">
        <f>L112/L97</f>
        <v>0.39505235811660788</v>
      </c>
      <c r="K112" s="82">
        <f>IF($J$97=0,0,L112/(J$94+J$95))</f>
        <v>925.5263265306121</v>
      </c>
      <c r="L112" s="33">
        <f>+SUM(START:END!L112)</f>
        <v>45350.789999999994</v>
      </c>
      <c r="M112" s="41"/>
      <c r="N112" s="59">
        <f t="shared" ref="N112:N153" si="51">L112-F112</f>
        <v>-5064.4771755725233</v>
      </c>
      <c r="O112" s="157">
        <f>Q112/Q97</f>
        <v>0.28923869536788777</v>
      </c>
      <c r="P112" s="82">
        <f>IF($J$97=0,0,Q112/(O$94+O$95))</f>
        <v>782.96949152542368</v>
      </c>
      <c r="Q112" s="33">
        <f>+SUM(START:END!Q112)</f>
        <v>46195.199999999997</v>
      </c>
      <c r="R112" s="41"/>
      <c r="S112" s="85">
        <f t="shared" ref="S112:S148" si="52">L112-Q112</f>
        <v>-844.41000000000349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7"/>
        <v>Véhicules usagésComm. F&amp;I</v>
      </c>
      <c r="B113" s="11" t="s">
        <v>70</v>
      </c>
      <c r="C113" s="86" t="s">
        <v>31</v>
      </c>
      <c r="D113" s="218">
        <f>F113/(F105+F19)</f>
        <v>0.2194434240197661</v>
      </c>
      <c r="E113" s="88">
        <f>F113/D$97</f>
        <v>412.5</v>
      </c>
      <c r="F113" s="22">
        <f>+SUM(START:END!F113)</f>
        <v>27225</v>
      </c>
      <c r="G113" s="162" t="e">
        <f>I113/I98</f>
        <v>#DIV/0!</v>
      </c>
      <c r="H113" s="88" t="e">
        <f>I113/G$97</f>
        <v>#DIV/0!</v>
      </c>
      <c r="I113" s="22">
        <f>+SUM(START:END!I113)</f>
        <v>0</v>
      </c>
      <c r="J113" s="162">
        <f>L113/L105</f>
        <v>0.33040095937221464</v>
      </c>
      <c r="K113" s="88">
        <f>IF($J$97=0,0,L113/(J$94+J$95))</f>
        <v>632.89571428571423</v>
      </c>
      <c r="L113" s="33">
        <f>+SUM(START:END!L113)</f>
        <v>31011.89</v>
      </c>
      <c r="M113" s="23"/>
      <c r="N113" s="91">
        <f t="shared" si="51"/>
        <v>3786.8899999999994</v>
      </c>
      <c r="O113" s="162">
        <f>Q113/(Q105+Q19)</f>
        <v>0.18716977133151841</v>
      </c>
      <c r="P113" s="88">
        <f>IF($J$97=0,0,Q113/(O$94+O$95))</f>
        <v>384.97779661016949</v>
      </c>
      <c r="Q113" s="33">
        <f>+SUM(START:END!Q113)</f>
        <v>22713.69</v>
      </c>
      <c r="R113" s="23"/>
      <c r="S113" s="92">
        <f t="shared" si="52"/>
        <v>8298.2000000000007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7"/>
        <v>Véhicules usagésFrais de livraison</v>
      </c>
      <c r="B114" s="11" t="s">
        <v>70</v>
      </c>
      <c r="C114" s="29" t="s">
        <v>32</v>
      </c>
      <c r="D114" s="81"/>
      <c r="E114" s="82">
        <f>F114/D$97</f>
        <v>110</v>
      </c>
      <c r="F114" s="30">
        <f>+SUM(START:END!F114)</f>
        <v>7260</v>
      </c>
      <c r="G114" s="83"/>
      <c r="H114" s="82" t="e">
        <f>I114/G$97</f>
        <v>#DIV/0!</v>
      </c>
      <c r="I114" s="30">
        <f>+SUM(START:END!I114)</f>
        <v>0</v>
      </c>
      <c r="J114" s="41"/>
      <c r="K114" s="82">
        <f>IF($J$97=0,0,L114/(J$94+J$95))</f>
        <v>132.90591836734691</v>
      </c>
      <c r="L114" s="108">
        <f>+SUM(START:END!L114)</f>
        <v>6512.3899999999994</v>
      </c>
      <c r="M114" s="41"/>
      <c r="N114" s="59">
        <f t="shared" si="51"/>
        <v>-747.61000000000058</v>
      </c>
      <c r="O114" s="41"/>
      <c r="P114" s="82">
        <f>IF($J$97=0,0,Q114/(O$94+O$95))</f>
        <v>100.17694915254238</v>
      </c>
      <c r="Q114" s="108">
        <f>+SUM(START:END!Q114)</f>
        <v>5910.4400000000005</v>
      </c>
      <c r="R114" s="41"/>
      <c r="S114" s="85">
        <f t="shared" si="52"/>
        <v>601.94999999999891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7"/>
        <v>Véhicules usagésService gratuit 1</v>
      </c>
      <c r="B115" s="11" t="s">
        <v>70</v>
      </c>
      <c r="C115" s="29" t="s">
        <v>33</v>
      </c>
      <c r="D115" s="81"/>
      <c r="E115" s="82">
        <f t="shared" ref="E115:E121" si="53">F115/D$97</f>
        <v>90</v>
      </c>
      <c r="F115" s="30">
        <f>+SUM(START:END!F115)</f>
        <v>5940</v>
      </c>
      <c r="G115" s="83"/>
      <c r="H115" s="82" t="e">
        <f t="shared" ref="H115:H121" si="54">I115/G$97</f>
        <v>#DIV/0!</v>
      </c>
      <c r="I115" s="30">
        <f>+SUM(START:END!I115)</f>
        <v>0</v>
      </c>
      <c r="J115" s="41"/>
      <c r="K115" s="82">
        <f t="shared" ref="K115:K121" si="55">IF($J$97=0,0,L115/(J$94+J$95))</f>
        <v>115.17673469387755</v>
      </c>
      <c r="L115" s="33">
        <f>+SUM(START:END!L115)</f>
        <v>5643.66</v>
      </c>
      <c r="M115" s="41"/>
      <c r="N115" s="59">
        <f t="shared" si="51"/>
        <v>-296.34000000000015</v>
      </c>
      <c r="O115" s="41"/>
      <c r="P115" s="82">
        <f t="shared" ref="P115:P121" si="56">IF($J$97=0,0,Q115/(O$94+O$95))</f>
        <v>103.34796610169491</v>
      </c>
      <c r="Q115" s="33">
        <f>+SUM(START:END!Q115)</f>
        <v>6097.53</v>
      </c>
      <c r="R115" s="41"/>
      <c r="S115" s="85">
        <f t="shared" si="52"/>
        <v>-453.86999999999989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7"/>
        <v>Véhicules usagésEntretien stock</v>
      </c>
      <c r="B116" s="11" t="s">
        <v>70</v>
      </c>
      <c r="C116" s="86" t="s">
        <v>34</v>
      </c>
      <c r="D116" s="87"/>
      <c r="E116" s="88">
        <f t="shared" si="53"/>
        <v>97.727272727272734</v>
      </c>
      <c r="F116" s="22">
        <f>+SUM(START:END!F116)</f>
        <v>6450</v>
      </c>
      <c r="G116" s="89"/>
      <c r="H116" s="88" t="e">
        <f t="shared" si="54"/>
        <v>#DIV/0!</v>
      </c>
      <c r="I116" s="22">
        <f>+SUM(START:END!I116)</f>
        <v>0</v>
      </c>
      <c r="J116" s="23"/>
      <c r="K116" s="88">
        <f t="shared" si="55"/>
        <v>114.98795918367347</v>
      </c>
      <c r="L116" s="48">
        <f>+SUM(START:END!L116)</f>
        <v>5634.41</v>
      </c>
      <c r="M116" s="23"/>
      <c r="N116" s="91">
        <f t="shared" si="51"/>
        <v>-815.59000000000015</v>
      </c>
      <c r="O116" s="23"/>
      <c r="P116" s="88">
        <f t="shared" si="56"/>
        <v>100.17813559322035</v>
      </c>
      <c r="Q116" s="48">
        <f>+SUM(START:END!Q116)</f>
        <v>5910.51</v>
      </c>
      <c r="R116" s="23"/>
      <c r="S116" s="92">
        <f t="shared" si="52"/>
        <v>-276.10000000000036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7"/>
        <v>Véhicules usagésPublicité 1</v>
      </c>
      <c r="B117" s="11" t="s">
        <v>70</v>
      </c>
      <c r="C117" s="29" t="s">
        <v>35</v>
      </c>
      <c r="D117" s="81"/>
      <c r="E117" s="82">
        <f t="shared" si="53"/>
        <v>283.45833333333331</v>
      </c>
      <c r="F117" s="30">
        <f>+SUM(START:END!F117)</f>
        <v>18708.25</v>
      </c>
      <c r="G117" s="83"/>
      <c r="H117" s="82" t="e">
        <f t="shared" si="54"/>
        <v>#DIV/0!</v>
      </c>
      <c r="I117" s="30">
        <f>+SUM(START:END!I117)</f>
        <v>0</v>
      </c>
      <c r="J117" s="41"/>
      <c r="K117" s="82">
        <f t="shared" si="55"/>
        <v>322.15877551020412</v>
      </c>
      <c r="L117" s="33">
        <f>+SUM(START:END!L117)</f>
        <v>15785.78</v>
      </c>
      <c r="M117" s="41"/>
      <c r="N117" s="59">
        <f t="shared" si="51"/>
        <v>-2922.4699999999993</v>
      </c>
      <c r="O117" s="41"/>
      <c r="P117" s="82">
        <f t="shared" si="56"/>
        <v>307.0091525423727</v>
      </c>
      <c r="Q117" s="33">
        <f>+SUM(START:END!Q117)</f>
        <v>18113.53999999999</v>
      </c>
      <c r="R117" s="41"/>
      <c r="S117" s="85">
        <f t="shared" si="52"/>
        <v>-2327.7599999999893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27"/>
        <v>Véhicules usagésIntérêt de gros</v>
      </c>
      <c r="B118" s="11" t="s">
        <v>70</v>
      </c>
      <c r="C118" s="29" t="s">
        <v>36</v>
      </c>
      <c r="D118" s="81"/>
      <c r="E118" s="82">
        <f t="shared" si="53"/>
        <v>395.01008513088129</v>
      </c>
      <c r="F118" s="30">
        <f>+SUM(START:END!F118)</f>
        <v>26070.665618638166</v>
      </c>
      <c r="G118" s="83"/>
      <c r="H118" s="82" t="e">
        <f t="shared" si="54"/>
        <v>#DIV/0!</v>
      </c>
      <c r="I118" s="30">
        <f>+SUM(START:END!I118)</f>
        <v>0</v>
      </c>
      <c r="J118" s="41"/>
      <c r="K118" s="82">
        <f t="shared" si="55"/>
        <v>536.22326530612247</v>
      </c>
      <c r="L118" s="33">
        <f>+SUM(START:END!L118)</f>
        <v>26274.94</v>
      </c>
      <c r="M118" s="41"/>
      <c r="N118" s="59">
        <f t="shared" si="51"/>
        <v>204.27438136183264</v>
      </c>
      <c r="O118" s="41"/>
      <c r="P118" s="82">
        <f t="shared" si="56"/>
        <v>288.68067796610171</v>
      </c>
      <c r="Q118" s="33">
        <f>+SUM(START:END!Q118)</f>
        <v>17032.16</v>
      </c>
      <c r="R118" s="41"/>
      <c r="S118" s="85">
        <f>L118-Q118</f>
        <v>9242.7799999999988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 t="shared" si="27"/>
        <v>Véhicules usagés[...]</v>
      </c>
      <c r="B119" s="11" t="s">
        <v>70</v>
      </c>
      <c r="C119" s="29" t="s">
        <v>19</v>
      </c>
      <c r="D119" s="81"/>
      <c r="E119" s="82">
        <f t="shared" si="53"/>
        <v>0</v>
      </c>
      <c r="F119" s="30">
        <f>+SUM(START:END!F119)</f>
        <v>0</v>
      </c>
      <c r="G119" s="83"/>
      <c r="H119" s="82" t="e">
        <f t="shared" si="54"/>
        <v>#DIV/0!</v>
      </c>
      <c r="I119" s="30">
        <f>+SUM(START:END!I119)</f>
        <v>0</v>
      </c>
      <c r="J119" s="41"/>
      <c r="K119" s="82">
        <f t="shared" si="55"/>
        <v>0</v>
      </c>
      <c r="L119" s="33">
        <f>+SUM(START:END!L119)</f>
        <v>0</v>
      </c>
      <c r="M119" s="41"/>
      <c r="N119" s="59">
        <f t="shared" si="51"/>
        <v>0</v>
      </c>
      <c r="O119" s="41"/>
      <c r="P119" s="82">
        <f t="shared" si="56"/>
        <v>0</v>
      </c>
      <c r="Q119" s="33">
        <f>+SUM(START:END!Q119)</f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 t="shared" si="27"/>
        <v>Véhicules usagés[...]</v>
      </c>
      <c r="B120" s="11" t="s">
        <v>70</v>
      </c>
      <c r="C120" s="29" t="s">
        <v>19</v>
      </c>
      <c r="D120" s="81"/>
      <c r="E120" s="82">
        <f t="shared" si="53"/>
        <v>0</v>
      </c>
      <c r="F120" s="30">
        <f>+SUM(START:END!F120)</f>
        <v>0</v>
      </c>
      <c r="G120" s="83"/>
      <c r="H120" s="82" t="e">
        <f t="shared" si="54"/>
        <v>#DIV/0!</v>
      </c>
      <c r="I120" s="30">
        <f>+SUM(START:END!I120)</f>
        <v>0</v>
      </c>
      <c r="J120" s="41"/>
      <c r="K120" s="82">
        <f t="shared" si="55"/>
        <v>0</v>
      </c>
      <c r="L120" s="33">
        <f>+SUM(START:END!L120)</f>
        <v>0</v>
      </c>
      <c r="M120" s="41"/>
      <c r="N120" s="59">
        <f t="shared" si="51"/>
        <v>0</v>
      </c>
      <c r="O120" s="41"/>
      <c r="P120" s="82">
        <f t="shared" si="56"/>
        <v>0</v>
      </c>
      <c r="Q120" s="33">
        <f>+SUM(START:END!Q120)</f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 t="shared" si="27"/>
        <v>Véhicules usagés[...]</v>
      </c>
      <c r="B121" s="11" t="s">
        <v>70</v>
      </c>
      <c r="C121" s="29" t="s">
        <v>19</v>
      </c>
      <c r="D121" s="81"/>
      <c r="E121" s="82">
        <f t="shared" si="53"/>
        <v>0</v>
      </c>
      <c r="F121" s="30">
        <f>+SUM(START:END!F121)</f>
        <v>0</v>
      </c>
      <c r="G121" s="83"/>
      <c r="H121" s="82" t="e">
        <f t="shared" si="54"/>
        <v>#DIV/0!</v>
      </c>
      <c r="I121" s="30">
        <f>+SUM(START:END!I121)</f>
        <v>0</v>
      </c>
      <c r="J121" s="41"/>
      <c r="K121" s="82">
        <f t="shared" si="55"/>
        <v>0</v>
      </c>
      <c r="L121" s="33">
        <f>+SUM(START:END!L121)</f>
        <v>0</v>
      </c>
      <c r="M121" s="41"/>
      <c r="N121" s="59">
        <f t="shared" si="51"/>
        <v>0</v>
      </c>
      <c r="O121" s="41"/>
      <c r="P121" s="82">
        <f t="shared" si="56"/>
        <v>0</v>
      </c>
      <c r="Q121" s="33">
        <f>+SUM(START:END!Q121)</f>
        <v>0</v>
      </c>
      <c r="R121" s="41"/>
      <c r="S121" s="85">
        <f t="shared" si="52"/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si="27"/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0.49239817275525755</v>
      </c>
      <c r="F122" s="96">
        <f>SUM(F112:F121)</f>
        <v>142069.18279421068</v>
      </c>
      <c r="G122" s="97" t="s">
        <v>38</v>
      </c>
      <c r="H122" s="95" t="e">
        <f>I122/I$108</f>
        <v>#DIV/0!</v>
      </c>
      <c r="I122" s="96">
        <f>SUM(I112:I121)</f>
        <v>0</v>
      </c>
      <c r="J122" s="97" t="s">
        <v>38</v>
      </c>
      <c r="K122" s="95">
        <f>L122/L$108</f>
        <v>0.62275311069416595</v>
      </c>
      <c r="L122" s="96">
        <f>SUM(L112:L121)</f>
        <v>136213.85999999999</v>
      </c>
      <c r="M122" s="100"/>
      <c r="N122" s="96">
        <f t="shared" si="51"/>
        <v>-5855.3227942106896</v>
      </c>
      <c r="O122" s="97" t="s">
        <v>38</v>
      </c>
      <c r="P122" s="95">
        <f>Q122/Q$108</f>
        <v>0.41585239053874273</v>
      </c>
      <c r="Q122" s="96">
        <f>SUM(Q112:Q121)</f>
        <v>121973.06999999999</v>
      </c>
      <c r="R122" s="100"/>
      <c r="S122" s="101">
        <f t="shared" si="52"/>
        <v>14240.789999999994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27"/>
        <v>Véhicules usagésSalaires cadres</v>
      </c>
      <c r="B123" s="11" t="s">
        <v>70</v>
      </c>
      <c r="C123" s="102" t="s">
        <v>40</v>
      </c>
      <c r="D123" s="13"/>
      <c r="E123" s="13"/>
      <c r="F123" s="30">
        <f>+SUM(START:END!F123)</f>
        <v>14972.864885496183</v>
      </c>
      <c r="G123" s="41"/>
      <c r="H123" s="13"/>
      <c r="I123" s="30">
        <f>+SUM(START:END!I123)</f>
        <v>0</v>
      </c>
      <c r="J123" s="41"/>
      <c r="K123" s="13"/>
      <c r="L123" s="33">
        <f>+SUM(START:END!L123)</f>
        <v>11503.81</v>
      </c>
      <c r="M123" s="41"/>
      <c r="N123" s="59">
        <f t="shared" si="51"/>
        <v>-3469.0548854961835</v>
      </c>
      <c r="O123" s="41"/>
      <c r="P123" s="13"/>
      <c r="Q123" s="33">
        <f>+SUM(START:END!Q123)</f>
        <v>4751.2999999999993</v>
      </c>
      <c r="R123" s="41"/>
      <c r="S123" s="85">
        <f t="shared" si="52"/>
        <v>6752.51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27"/>
        <v>Véhicules usagésSalaires commis</v>
      </c>
      <c r="B124" s="11" t="s">
        <v>70</v>
      </c>
      <c r="C124" s="103" t="s">
        <v>41</v>
      </c>
      <c r="D124" s="81"/>
      <c r="E124" s="13"/>
      <c r="F124" s="22">
        <f>+SUM(START:END!F124)</f>
        <v>8075.45572519084</v>
      </c>
      <c r="G124" s="83"/>
      <c r="H124" s="13"/>
      <c r="I124" s="22">
        <f>+SUM(START:END!I124)</f>
        <v>0</v>
      </c>
      <c r="J124" s="41"/>
      <c r="K124" s="13"/>
      <c r="L124" s="22">
        <f>+SUM(START:END!L124)</f>
        <v>8431.7400000000016</v>
      </c>
      <c r="M124" s="41"/>
      <c r="N124" s="59">
        <f t="shared" si="51"/>
        <v>356.28427480916162</v>
      </c>
      <c r="O124" s="41"/>
      <c r="P124" s="13"/>
      <c r="Q124" s="22">
        <f>+SUM(START:END!Q124)</f>
        <v>16726.989999999998</v>
      </c>
      <c r="R124" s="41"/>
      <c r="S124" s="85">
        <f t="shared" si="52"/>
        <v>-8295.2499999999964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27"/>
        <v>Véhicules usagésSalaires autres</v>
      </c>
      <c r="B125" s="11" t="s">
        <v>70</v>
      </c>
      <c r="C125" s="102" t="s">
        <v>42</v>
      </c>
      <c r="D125" s="104"/>
      <c r="E125" s="105"/>
      <c r="F125" s="30">
        <f>+SUM(START:END!F125)</f>
        <v>8427</v>
      </c>
      <c r="G125" s="106"/>
      <c r="H125" s="105"/>
      <c r="I125" s="30">
        <f>+SUM(START:END!I125)</f>
        <v>0</v>
      </c>
      <c r="J125" s="107"/>
      <c r="K125" s="105"/>
      <c r="L125" s="33">
        <f>+SUM(START:END!L125)</f>
        <v>8427</v>
      </c>
      <c r="M125" s="107"/>
      <c r="N125" s="109">
        <f t="shared" si="51"/>
        <v>0</v>
      </c>
      <c r="O125" s="107"/>
      <c r="P125" s="105"/>
      <c r="Q125" s="33">
        <f>+SUM(START:END!Q125)</f>
        <v>8427</v>
      </c>
      <c r="R125" s="107"/>
      <c r="S125" s="110">
        <f t="shared" si="52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27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f>+SUM(START:END!F126)</f>
        <v>0</v>
      </c>
      <c r="G126" s="83"/>
      <c r="H126" s="13"/>
      <c r="I126" s="30">
        <f>+SUM(START:END!I126)</f>
        <v>0</v>
      </c>
      <c r="J126" s="41"/>
      <c r="K126" s="13"/>
      <c r="L126" s="33">
        <f>+SUM(START:END!L126)</f>
        <v>0</v>
      </c>
      <c r="M126" s="41"/>
      <c r="N126" s="59">
        <f t="shared" si="51"/>
        <v>0</v>
      </c>
      <c r="O126" s="41"/>
      <c r="P126" s="13"/>
      <c r="Q126" s="33">
        <f>+SUM(START:END!Q126)</f>
        <v>0</v>
      </c>
      <c r="R126" s="41"/>
      <c r="S126" s="85">
        <f t="shared" si="52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27"/>
        <v>Véhicules usagés[...]</v>
      </c>
      <c r="B127" s="11" t="s">
        <v>70</v>
      </c>
      <c r="C127" s="102" t="s">
        <v>19</v>
      </c>
      <c r="D127" s="81"/>
      <c r="E127" s="13"/>
      <c r="F127" s="30">
        <f>+SUM(START:END!F127)</f>
        <v>0</v>
      </c>
      <c r="G127" s="83"/>
      <c r="H127" s="13"/>
      <c r="I127" s="30">
        <f>+SUM(START:END!I127)</f>
        <v>0</v>
      </c>
      <c r="J127" s="41"/>
      <c r="K127" s="13"/>
      <c r="L127" s="33">
        <f>+SUM(START:END!L127)</f>
        <v>0</v>
      </c>
      <c r="M127" s="41"/>
      <c r="N127" s="59">
        <f t="shared" si="51"/>
        <v>0</v>
      </c>
      <c r="O127" s="41"/>
      <c r="P127" s="13"/>
      <c r="Q127" s="33">
        <f>+SUM(START:END!Q127)</f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 t="shared" si="27"/>
        <v>Véhicules usagés[...]</v>
      </c>
      <c r="B128" s="11" t="s">
        <v>70</v>
      </c>
      <c r="C128" s="102" t="s">
        <v>19</v>
      </c>
      <c r="D128" s="81"/>
      <c r="E128" s="13"/>
      <c r="F128" s="30">
        <f>+SUM(START:END!F128)</f>
        <v>0</v>
      </c>
      <c r="G128" s="83"/>
      <c r="H128" s="13"/>
      <c r="I128" s="30">
        <f>+SUM(START:END!I128)</f>
        <v>0</v>
      </c>
      <c r="J128" s="41"/>
      <c r="K128" s="13"/>
      <c r="L128" s="33">
        <f>+SUM(START:END!L128)</f>
        <v>0</v>
      </c>
      <c r="M128" s="41"/>
      <c r="N128" s="59">
        <f t="shared" si="51"/>
        <v>0</v>
      </c>
      <c r="O128" s="41"/>
      <c r="P128" s="13"/>
      <c r="Q128" s="33">
        <f>+SUM(START:END!Q128)</f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 t="shared" si="27"/>
        <v>Véhicules usagés[...]</v>
      </c>
      <c r="B129" s="11" t="s">
        <v>70</v>
      </c>
      <c r="C129" s="102" t="s">
        <v>19</v>
      </c>
      <c r="D129" s="81"/>
      <c r="E129" s="13"/>
      <c r="F129" s="30">
        <f>+SUM(START:END!F129)</f>
        <v>0</v>
      </c>
      <c r="G129" s="83"/>
      <c r="H129" s="13"/>
      <c r="I129" s="30">
        <f>+SUM(START:END!I129)</f>
        <v>0</v>
      </c>
      <c r="J129" s="41"/>
      <c r="K129" s="13"/>
      <c r="L129" s="33">
        <f>+SUM(START:END!L129)</f>
        <v>0</v>
      </c>
      <c r="M129" s="41"/>
      <c r="N129" s="59">
        <f t="shared" si="51"/>
        <v>0</v>
      </c>
      <c r="O129" s="41"/>
      <c r="P129" s="13"/>
      <c r="Q129" s="33">
        <f>+SUM(START:END!Q129)</f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si="27"/>
        <v>Véhicules usagésSalaires en absences</v>
      </c>
      <c r="B130" s="11" t="s">
        <v>70</v>
      </c>
      <c r="C130" s="103" t="s">
        <v>44</v>
      </c>
      <c r="D130" s="81"/>
      <c r="E130" s="13"/>
      <c r="F130" s="30">
        <f>+SUM(START:END!F130)</f>
        <v>11713.131079969175</v>
      </c>
      <c r="G130" s="83"/>
      <c r="H130" s="13"/>
      <c r="I130" s="30">
        <f>+SUM(START:END!I130)</f>
        <v>0</v>
      </c>
      <c r="J130" s="41"/>
      <c r="K130" s="13"/>
      <c r="L130" s="33">
        <f>+SUM(START:END!L130)</f>
        <v>11958.82</v>
      </c>
      <c r="M130" s="41"/>
      <c r="N130" s="59">
        <f t="shared" si="51"/>
        <v>245.6889200308251</v>
      </c>
      <c r="O130" s="41"/>
      <c r="P130" s="13"/>
      <c r="Q130" s="33">
        <f>+SUM(START:END!Q130)</f>
        <v>16152.84</v>
      </c>
      <c r="R130" s="41"/>
      <c r="S130" s="85">
        <f>L130-Q130</f>
        <v>-4194.0200000000004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27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f>+SUM(START:END!F131)</f>
        <v>15371.838376208651</v>
      </c>
      <c r="G131" s="106"/>
      <c r="H131" s="105"/>
      <c r="I131" s="54">
        <f>+SUM(START:END!I131)</f>
        <v>0</v>
      </c>
      <c r="J131" s="107"/>
      <c r="K131" s="105"/>
      <c r="L131" s="55">
        <f>+SUM(START:END!L131)</f>
        <v>14068.09</v>
      </c>
      <c r="M131" s="107"/>
      <c r="N131" s="109">
        <f t="shared" si="51"/>
        <v>-1303.7483762086504</v>
      </c>
      <c r="O131" s="107"/>
      <c r="P131" s="105"/>
      <c r="Q131" s="55">
        <f>+SUM(START:END!Q131)</f>
        <v>17765.46</v>
      </c>
      <c r="R131" s="107"/>
      <c r="S131" s="110">
        <f t="shared" si="52"/>
        <v>-3697.369999999999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27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f>+SUM(START:END!F132)</f>
        <v>7042.733047709924</v>
      </c>
      <c r="G132" s="83"/>
      <c r="H132" s="13"/>
      <c r="I132" s="30">
        <f>+SUM(START:END!I132)</f>
        <v>0</v>
      </c>
      <c r="J132" s="41"/>
      <c r="K132" s="13"/>
      <c r="L132" s="33">
        <f>+SUM(START:END!L132)</f>
        <v>6743.23</v>
      </c>
      <c r="M132" s="41"/>
      <c r="N132" s="59">
        <f t="shared" si="51"/>
        <v>-299.50304770992443</v>
      </c>
      <c r="O132" s="41"/>
      <c r="P132" s="13"/>
      <c r="Q132" s="33">
        <f>+SUM(START:END!Q132)</f>
        <v>6882.6099999999988</v>
      </c>
      <c r="R132" s="41"/>
      <c r="S132" s="85">
        <f t="shared" si="52"/>
        <v>-139.3799999999992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27"/>
        <v>Véhicules usagésCsst</v>
      </c>
      <c r="B133" s="11" t="s">
        <v>70</v>
      </c>
      <c r="C133" s="102" t="s">
        <v>47</v>
      </c>
      <c r="D133" s="81"/>
      <c r="E133" s="13"/>
      <c r="F133" s="30">
        <f>+SUM(START:END!F133)</f>
        <v>1590.2945591603054</v>
      </c>
      <c r="G133" s="83"/>
      <c r="H133" s="13"/>
      <c r="I133" s="30">
        <f>+SUM(START:END!I133)</f>
        <v>0</v>
      </c>
      <c r="J133" s="41"/>
      <c r="K133" s="13"/>
      <c r="L133" s="33">
        <f>+SUM(START:END!L133)</f>
        <v>2099.7400000000002</v>
      </c>
      <c r="M133" s="41"/>
      <c r="N133" s="59">
        <f t="shared" si="51"/>
        <v>509.44544083969481</v>
      </c>
      <c r="O133" s="41"/>
      <c r="P133" s="13"/>
      <c r="Q133" s="33">
        <f>+SUM(START:END!Q133)</f>
        <v>2364.38</v>
      </c>
      <c r="R133" s="41"/>
      <c r="S133" s="85">
        <f t="shared" si="52"/>
        <v>-264.63999999999987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27"/>
        <v>Véhicules usagés[...]</v>
      </c>
      <c r="B134" s="11" t="s">
        <v>70</v>
      </c>
      <c r="C134" s="29" t="s">
        <v>19</v>
      </c>
      <c r="D134" s="87"/>
      <c r="E134" s="111"/>
      <c r="F134" s="30">
        <f>+SUM(START:END!F134)</f>
        <v>0</v>
      </c>
      <c r="G134" s="89"/>
      <c r="H134" s="111"/>
      <c r="I134" s="30">
        <f>+SUM(START:END!I134)</f>
        <v>0</v>
      </c>
      <c r="J134" s="23"/>
      <c r="K134" s="111"/>
      <c r="L134" s="33">
        <f>+SUM(START:END!L134)</f>
        <v>0</v>
      </c>
      <c r="M134" s="41"/>
      <c r="N134" s="59">
        <f t="shared" si="51"/>
        <v>0</v>
      </c>
      <c r="O134" s="23"/>
      <c r="P134" s="111"/>
      <c r="Q134" s="33">
        <f>+SUM(START:END!Q134)</f>
        <v>0</v>
      </c>
      <c r="R134" s="23"/>
      <c r="S134" s="92">
        <f t="shared" si="52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27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0.23288559977033216</v>
      </c>
      <c r="F135" s="96">
        <f>+SUM(F123:F134)</f>
        <v>67193.317673735088</v>
      </c>
      <c r="G135" s="97" t="s">
        <v>38</v>
      </c>
      <c r="H135" s="95" t="e">
        <f>I135/I$108</f>
        <v>#DIV/0!</v>
      </c>
      <c r="I135" s="96">
        <f>+SUM(I123:I134)</f>
        <v>0</v>
      </c>
      <c r="J135" s="97" t="s">
        <v>38</v>
      </c>
      <c r="K135" s="95">
        <f>L135/L$108</f>
        <v>0.2890909374365509</v>
      </c>
      <c r="L135" s="96">
        <f>SUM(L123:L134)</f>
        <v>63232.43</v>
      </c>
      <c r="M135" s="479"/>
      <c r="N135" s="480">
        <f t="shared" si="51"/>
        <v>-3960.8876737350874</v>
      </c>
      <c r="O135" s="97" t="s">
        <v>38</v>
      </c>
      <c r="P135" s="95">
        <f>Q135/Q$108</f>
        <v>0.24912528126948388</v>
      </c>
      <c r="Q135" s="96">
        <f>SUM(Q123:Q134)</f>
        <v>73070.58</v>
      </c>
      <c r="R135" s="147"/>
      <c r="S135" s="114">
        <f t="shared" si="52"/>
        <v>-9838.1500000000015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27"/>
        <v>Véhicules usagésPublicité 2</v>
      </c>
      <c r="B136" s="11" t="s">
        <v>70</v>
      </c>
      <c r="C136" s="29" t="s">
        <v>49</v>
      </c>
      <c r="D136" s="81"/>
      <c r="E136" s="13"/>
      <c r="F136" s="30">
        <f>+SUM(START:END!F136)</f>
        <v>0</v>
      </c>
      <c r="G136" s="83"/>
      <c r="H136" s="13"/>
      <c r="I136" s="30">
        <f>+SUM(START:END!I136)</f>
        <v>0</v>
      </c>
      <c r="J136" s="41"/>
      <c r="K136" s="13"/>
      <c r="L136" s="33">
        <f>+SUM(START:END!L136)</f>
        <v>0</v>
      </c>
      <c r="M136" s="41"/>
      <c r="N136" s="59">
        <f t="shared" si="51"/>
        <v>0</v>
      </c>
      <c r="O136" s="41"/>
      <c r="P136" s="13"/>
      <c r="Q136" s="33">
        <f>+SUM(START:END!Q136)</f>
        <v>0</v>
      </c>
      <c r="R136" s="41"/>
      <c r="S136" s="85">
        <f t="shared" si="52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27"/>
        <v>Véhicules usagésService gratuit 2</v>
      </c>
      <c r="B137" s="11" t="s">
        <v>70</v>
      </c>
      <c r="C137" s="29" t="s">
        <v>50</v>
      </c>
      <c r="D137" s="81"/>
      <c r="E137" s="13"/>
      <c r="F137" s="30">
        <f>+SUM(START:END!F137)</f>
        <v>0</v>
      </c>
      <c r="G137" s="83"/>
      <c r="H137" s="13"/>
      <c r="I137" s="30">
        <f>+SUM(START:END!I137)</f>
        <v>0</v>
      </c>
      <c r="J137" s="41"/>
      <c r="K137" s="13"/>
      <c r="L137" s="33">
        <f>+SUM(START:END!L137)</f>
        <v>0</v>
      </c>
      <c r="M137" s="41"/>
      <c r="N137" s="59">
        <f t="shared" si="51"/>
        <v>0</v>
      </c>
      <c r="O137" s="41"/>
      <c r="P137" s="13"/>
      <c r="Q137" s="33">
        <f>+SUM(START:END!Q137)</f>
        <v>0</v>
      </c>
      <c r="R137" s="41"/>
      <c r="S137" s="85">
        <f t="shared" si="52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27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f>+SUM(START:END!F138)</f>
        <v>2573.5</v>
      </c>
      <c r="G138" s="89"/>
      <c r="H138" s="111"/>
      <c r="I138" s="22">
        <f>+SUM(START:END!I138)</f>
        <v>0</v>
      </c>
      <c r="J138" s="23"/>
      <c r="K138" s="111"/>
      <c r="L138" s="22">
        <f>+SUM(START:END!L138)</f>
        <v>3433.66</v>
      </c>
      <c r="M138" s="23"/>
      <c r="N138" s="91">
        <f t="shared" si="51"/>
        <v>860.15999999999985</v>
      </c>
      <c r="O138" s="23"/>
      <c r="P138" s="111"/>
      <c r="Q138" s="22">
        <f>+SUM(START:END!Q138)</f>
        <v>2409.1799999999998</v>
      </c>
      <c r="R138" s="23"/>
      <c r="S138" s="92">
        <f t="shared" si="52"/>
        <v>1024.48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27"/>
        <v>Véhicules usagésInformatique</v>
      </c>
      <c r="B139" s="11" t="s">
        <v>70</v>
      </c>
      <c r="C139" s="29" t="s">
        <v>52</v>
      </c>
      <c r="D139" s="81"/>
      <c r="E139" s="13"/>
      <c r="F139" s="30">
        <f>+SUM(START:END!F139)</f>
        <v>4259.7000000000007</v>
      </c>
      <c r="G139" s="83"/>
      <c r="H139" s="13"/>
      <c r="I139" s="30">
        <f>+SUM(START:END!I139)</f>
        <v>0</v>
      </c>
      <c r="J139" s="41"/>
      <c r="K139" s="13"/>
      <c r="L139" s="33">
        <f>+SUM(START:END!L139)</f>
        <v>4732.82</v>
      </c>
      <c r="M139" s="41"/>
      <c r="N139" s="59">
        <f t="shared" si="51"/>
        <v>473.11999999999898</v>
      </c>
      <c r="O139" s="41"/>
      <c r="P139" s="13"/>
      <c r="Q139" s="33">
        <f>+SUM(START:END!Q139)</f>
        <v>4417.25</v>
      </c>
      <c r="R139" s="41"/>
      <c r="S139" s="85">
        <f t="shared" si="52"/>
        <v>315.56999999999971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27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f>+SUM(START:END!F140)</f>
        <v>548.40000000000009</v>
      </c>
      <c r="G140" s="83"/>
      <c r="H140" s="13"/>
      <c r="I140" s="30">
        <f>+SUM(START:END!I140)</f>
        <v>0</v>
      </c>
      <c r="J140" s="41"/>
      <c r="K140" s="13"/>
      <c r="L140" s="33">
        <f>+SUM(START:END!L140)</f>
        <v>658.35</v>
      </c>
      <c r="M140" s="41"/>
      <c r="N140" s="59">
        <f t="shared" si="51"/>
        <v>109.94999999999993</v>
      </c>
      <c r="O140" s="41"/>
      <c r="P140" s="13"/>
      <c r="Q140" s="33">
        <f>+SUM(START:END!Q140)</f>
        <v>1034.01</v>
      </c>
      <c r="R140" s="41"/>
      <c r="S140" s="85">
        <f t="shared" si="52"/>
        <v>-375.65999999999997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27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f>+SUM(START:END!F141)</f>
        <v>1836.3000000000002</v>
      </c>
      <c r="G141" s="89"/>
      <c r="H141" s="111"/>
      <c r="I141" s="22">
        <f>+SUM(START:END!I141)</f>
        <v>0</v>
      </c>
      <c r="J141" s="23"/>
      <c r="K141" s="111"/>
      <c r="L141" s="22">
        <f>+SUM(START:END!L141)</f>
        <v>2661.83</v>
      </c>
      <c r="M141" s="23"/>
      <c r="N141" s="91">
        <f t="shared" si="51"/>
        <v>825.52999999999975</v>
      </c>
      <c r="O141" s="23"/>
      <c r="P141" s="111"/>
      <c r="Q141" s="22">
        <f>+SUM(START:END!Q141)</f>
        <v>1986.6799999999998</v>
      </c>
      <c r="R141" s="23"/>
      <c r="S141" s="92">
        <f t="shared" si="52"/>
        <v>675.15000000000009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27"/>
        <v>Véhicules usagésFournitures autres</v>
      </c>
      <c r="B142" s="11" t="s">
        <v>70</v>
      </c>
      <c r="C142" s="29" t="s">
        <v>55</v>
      </c>
      <c r="D142" s="81"/>
      <c r="E142" s="13"/>
      <c r="F142" s="30">
        <f>+SUM(START:END!F142)</f>
        <v>145.58823529411768</v>
      </c>
      <c r="G142" s="83"/>
      <c r="H142" s="13"/>
      <c r="I142" s="30">
        <f>+SUM(START:END!I142)</f>
        <v>0</v>
      </c>
      <c r="J142" s="41"/>
      <c r="K142" s="13"/>
      <c r="L142" s="33">
        <f>+SUM(START:END!L142)</f>
        <v>0</v>
      </c>
      <c r="M142" s="41"/>
      <c r="N142" s="59">
        <f t="shared" si="51"/>
        <v>-145.58823529411768</v>
      </c>
      <c r="O142" s="41"/>
      <c r="P142" s="13"/>
      <c r="Q142" s="33">
        <f>+SUM(START:END!Q142)</f>
        <v>205.72</v>
      </c>
      <c r="R142" s="41"/>
      <c r="S142" s="85">
        <f t="shared" si="52"/>
        <v>-205.72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27"/>
        <v>Véhicules usagésUniformes</v>
      </c>
      <c r="B143" s="11" t="s">
        <v>70</v>
      </c>
      <c r="C143" s="29" t="s">
        <v>56</v>
      </c>
      <c r="D143" s="81"/>
      <c r="E143" s="13"/>
      <c r="F143" s="30">
        <f>+SUM(START:END!F143)</f>
        <v>15</v>
      </c>
      <c r="G143" s="83"/>
      <c r="H143" s="13"/>
      <c r="I143" s="30">
        <f>+SUM(START:END!I143)</f>
        <v>0</v>
      </c>
      <c r="J143" s="41"/>
      <c r="K143" s="13"/>
      <c r="L143" s="33">
        <f>+SUM(START:END!L143)</f>
        <v>17.350000000000001</v>
      </c>
      <c r="M143" s="41"/>
      <c r="N143" s="59">
        <f t="shared" si="51"/>
        <v>2.3500000000000014</v>
      </c>
      <c r="O143" s="41"/>
      <c r="P143" s="13"/>
      <c r="Q143" s="33">
        <f>+SUM(START:END!Q143)</f>
        <v>18.48</v>
      </c>
      <c r="R143" s="41"/>
      <c r="S143" s="85">
        <f t="shared" si="52"/>
        <v>-1.129999999999999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27"/>
        <v>Véhicules usagésPapeterie</v>
      </c>
      <c r="B144" s="11" t="s">
        <v>70</v>
      </c>
      <c r="C144" s="29" t="s">
        <v>57</v>
      </c>
      <c r="D144" s="81"/>
      <c r="E144" s="13"/>
      <c r="F144" s="30">
        <f>+SUM(START:END!F144)</f>
        <v>525</v>
      </c>
      <c r="G144" s="83"/>
      <c r="H144" s="13"/>
      <c r="I144" s="30">
        <f>+SUM(START:END!I144)</f>
        <v>0</v>
      </c>
      <c r="J144" s="41"/>
      <c r="K144" s="13"/>
      <c r="L144" s="32">
        <f>+SUM(START:END!L144)</f>
        <v>510.02</v>
      </c>
      <c r="M144" s="41"/>
      <c r="N144" s="59">
        <f t="shared" si="51"/>
        <v>-14.980000000000018</v>
      </c>
      <c r="O144" s="41"/>
      <c r="P144" s="13"/>
      <c r="Q144" s="32">
        <f>+SUM(START:END!Q144)</f>
        <v>1220.95</v>
      </c>
      <c r="R144" s="41"/>
      <c r="S144" s="85">
        <f t="shared" si="52"/>
        <v>-710.93000000000006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27"/>
        <v>Véhicules usagésTéléphone</v>
      </c>
      <c r="B145" s="11" t="s">
        <v>70</v>
      </c>
      <c r="C145" s="29" t="s">
        <v>58</v>
      </c>
      <c r="D145" s="81"/>
      <c r="E145" s="13"/>
      <c r="F145" s="30">
        <f>+SUM(START:END!F145)</f>
        <v>189.60000000000002</v>
      </c>
      <c r="G145" s="83"/>
      <c r="H145" s="13"/>
      <c r="I145" s="30">
        <f>+SUM(START:END!I145)</f>
        <v>0</v>
      </c>
      <c r="J145" s="41"/>
      <c r="K145" s="13"/>
      <c r="L145" s="33">
        <f>+SUM(START:END!L145)</f>
        <v>273.39</v>
      </c>
      <c r="M145" s="41"/>
      <c r="N145" s="59">
        <f t="shared" si="51"/>
        <v>83.789999999999964</v>
      </c>
      <c r="O145" s="41"/>
      <c r="P145" s="13"/>
      <c r="Q145" s="33">
        <f>+SUM(START:END!Q145)</f>
        <v>101.18</v>
      </c>
      <c r="R145" s="41"/>
      <c r="S145" s="85">
        <f t="shared" si="52"/>
        <v>172.20999999999998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27"/>
        <v>Véhicules usagésFrais postaux</v>
      </c>
      <c r="B146" s="11" t="s">
        <v>70</v>
      </c>
      <c r="C146" s="29" t="s">
        <v>59</v>
      </c>
      <c r="D146" s="81"/>
      <c r="E146" s="13"/>
      <c r="F146" s="30">
        <f>+SUM(START:END!F146)</f>
        <v>150</v>
      </c>
      <c r="G146" s="83"/>
      <c r="H146" s="13"/>
      <c r="I146" s="30">
        <f>+SUM(START:END!I146)</f>
        <v>0</v>
      </c>
      <c r="J146" s="41"/>
      <c r="K146" s="13"/>
      <c r="L146" s="33">
        <f>+SUM(START:END!L146)</f>
        <v>716.81999999999994</v>
      </c>
      <c r="M146" s="41"/>
      <c r="N146" s="59">
        <f t="shared" si="51"/>
        <v>566.81999999999994</v>
      </c>
      <c r="O146" s="41"/>
      <c r="P146" s="13"/>
      <c r="Q146" s="33">
        <f>+SUM(START:END!Q146)</f>
        <v>313.45000000000005</v>
      </c>
      <c r="R146" s="41"/>
      <c r="S146" s="85">
        <f t="shared" si="52"/>
        <v>403.36999999999989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27"/>
        <v>Véhicules usagésDivers</v>
      </c>
      <c r="B147" s="11" t="s">
        <v>70</v>
      </c>
      <c r="C147" s="29" t="s">
        <v>60</v>
      </c>
      <c r="D147" s="81"/>
      <c r="E147" s="13"/>
      <c r="F147" s="30">
        <f>+SUM(START:END!F147)</f>
        <v>557.40000000000009</v>
      </c>
      <c r="G147" s="83"/>
      <c r="H147" s="13"/>
      <c r="I147" s="30">
        <f>+SUM(START:END!I147)</f>
        <v>0</v>
      </c>
      <c r="J147" s="41"/>
      <c r="K147" s="13"/>
      <c r="L147" s="33">
        <f>+SUM(START:END!L147)</f>
        <v>474.29999999999995</v>
      </c>
      <c r="M147" s="41"/>
      <c r="N147" s="59">
        <f t="shared" si="51"/>
        <v>-83.100000000000136</v>
      </c>
      <c r="O147" s="41"/>
      <c r="P147" s="13"/>
      <c r="Q147" s="33">
        <f>+SUM(START:END!Q147)</f>
        <v>1290.07</v>
      </c>
      <c r="R147" s="41"/>
      <c r="S147" s="85">
        <f t="shared" si="52"/>
        <v>-815.77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27"/>
        <v>Véhicules usagésFormation</v>
      </c>
      <c r="B148" s="11" t="s">
        <v>70</v>
      </c>
      <c r="C148" s="29" t="s">
        <v>61</v>
      </c>
      <c r="D148" s="81"/>
      <c r="E148" s="13"/>
      <c r="F148" s="30">
        <f>+SUM(START:END!F148)</f>
        <v>411.7203199999999</v>
      </c>
      <c r="G148" s="83"/>
      <c r="H148" s="13"/>
      <c r="I148" s="30">
        <f>+SUM(START:END!I148)</f>
        <v>0</v>
      </c>
      <c r="J148" s="41"/>
      <c r="K148" s="13"/>
      <c r="L148" s="59">
        <f>+SUM(START:END!L148)</f>
        <v>-144.14000000000001</v>
      </c>
      <c r="M148" s="41"/>
      <c r="N148" s="59">
        <f t="shared" si="51"/>
        <v>-555.86031999999989</v>
      </c>
      <c r="O148" s="41"/>
      <c r="P148" s="13"/>
      <c r="Q148" s="33">
        <f>+SUM(START:END!Q148)</f>
        <v>559.23</v>
      </c>
      <c r="R148" s="41"/>
      <c r="S148" s="85">
        <f t="shared" si="52"/>
        <v>-703.37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27"/>
        <v>Véhicules usagésFrais bancaires</v>
      </c>
      <c r="B149" s="11" t="s">
        <v>70</v>
      </c>
      <c r="C149" s="29" t="s">
        <v>62</v>
      </c>
      <c r="D149" s="81"/>
      <c r="E149" s="13"/>
      <c r="F149" s="30">
        <f>+SUM(START:END!F149)</f>
        <v>2198.8849580614083</v>
      </c>
      <c r="G149" s="83"/>
      <c r="H149" s="13"/>
      <c r="I149" s="30">
        <f>+SUM(START:END!I149)</f>
        <v>0</v>
      </c>
      <c r="J149" s="41"/>
      <c r="K149" s="13"/>
      <c r="L149" s="33">
        <f>+SUM(START:END!L149)</f>
        <v>2435.3000000000002</v>
      </c>
      <c r="M149" s="41"/>
      <c r="N149" s="59">
        <f t="shared" si="51"/>
        <v>236.41504193859191</v>
      </c>
      <c r="O149" s="41"/>
      <c r="P149" s="13"/>
      <c r="Q149" s="33">
        <f>+SUM(START:END!Q149)</f>
        <v>2138.1099999999997</v>
      </c>
      <c r="R149" s="41"/>
      <c r="S149" s="85">
        <f>L149-Q149</f>
        <v>297.19000000000051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 t="shared" si="27"/>
        <v>Véhicules usagés[...]</v>
      </c>
      <c r="B150" s="11" t="s">
        <v>70</v>
      </c>
      <c r="C150" s="29" t="s">
        <v>19</v>
      </c>
      <c r="D150" s="81"/>
      <c r="E150" s="13"/>
      <c r="F150" s="30">
        <f>+SUM(START:END!F150)</f>
        <v>0</v>
      </c>
      <c r="G150" s="83"/>
      <c r="H150" s="13"/>
      <c r="I150" s="30">
        <f>+SUM(START:END!I150)</f>
        <v>0</v>
      </c>
      <c r="J150" s="41"/>
      <c r="K150" s="13"/>
      <c r="L150" s="33">
        <f>+SUM(START:END!L150)</f>
        <v>0</v>
      </c>
      <c r="M150" s="41"/>
      <c r="N150" s="59">
        <f t="shared" si="51"/>
        <v>0</v>
      </c>
      <c r="O150" s="41"/>
      <c r="P150" s="13"/>
      <c r="Q150" s="33">
        <f>+SUM(START:END!Q150)</f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 t="shared" si="27"/>
        <v>Véhicules usagés[...]</v>
      </c>
      <c r="B151" s="11" t="s">
        <v>70</v>
      </c>
      <c r="C151" s="29" t="s">
        <v>19</v>
      </c>
      <c r="D151" s="81"/>
      <c r="E151" s="13"/>
      <c r="F151" s="30">
        <f>+SUM(START:END!F151)</f>
        <v>0</v>
      </c>
      <c r="G151" s="83"/>
      <c r="H151" s="13"/>
      <c r="I151" s="30">
        <f>+SUM(START:END!I151)</f>
        <v>0</v>
      </c>
      <c r="J151" s="41"/>
      <c r="K151" s="13"/>
      <c r="L151" s="33">
        <f>+SUM(START:END!L151)</f>
        <v>0</v>
      </c>
      <c r="M151" s="41"/>
      <c r="N151" s="59">
        <f t="shared" si="51"/>
        <v>0</v>
      </c>
      <c r="O151" s="41"/>
      <c r="P151" s="13"/>
      <c r="Q151" s="33">
        <f>+SUM(START:END!Q151)</f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 t="shared" si="27"/>
        <v>Véhicules usagés[...]</v>
      </c>
      <c r="B152" s="11" t="s">
        <v>70</v>
      </c>
      <c r="C152" s="29" t="s">
        <v>19</v>
      </c>
      <c r="D152" s="81"/>
      <c r="E152" s="13"/>
      <c r="F152" s="30">
        <f>+SUM(START:END!F152)</f>
        <v>0</v>
      </c>
      <c r="G152" s="83"/>
      <c r="H152" s="13"/>
      <c r="I152" s="30">
        <f>+SUM(START:END!I152)</f>
        <v>0</v>
      </c>
      <c r="J152" s="41"/>
      <c r="K152" s="13"/>
      <c r="L152" s="33">
        <f>+SUM(START:END!L152)</f>
        <v>0</v>
      </c>
      <c r="M152" s="41"/>
      <c r="N152" s="59">
        <f t="shared" si="51"/>
        <v>0</v>
      </c>
      <c r="O152" s="41"/>
      <c r="P152" s="13"/>
      <c r="Q152" s="33">
        <f>+SUM(START:END!Q152)</f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si="27"/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4.6481564902020718E-2</v>
      </c>
      <c r="F153" s="96">
        <f>+SUM(F136:F152)</f>
        <v>13411.093513355527</v>
      </c>
      <c r="G153" s="97" t="s">
        <v>38</v>
      </c>
      <c r="H153" s="95" t="e">
        <f>I153/I$108</f>
        <v>#DIV/0!</v>
      </c>
      <c r="I153" s="96">
        <f>+SUM(I136:I152)</f>
        <v>0</v>
      </c>
      <c r="J153" s="97" t="s">
        <v>38</v>
      </c>
      <c r="K153" s="95">
        <f>L153/L$108</f>
        <v>7.2097139965887388E-2</v>
      </c>
      <c r="L153" s="96">
        <f>+SUM(L136:L152)</f>
        <v>15769.7</v>
      </c>
      <c r="M153" s="100"/>
      <c r="N153" s="96">
        <f t="shared" si="51"/>
        <v>2358.606486644474</v>
      </c>
      <c r="O153" s="97" t="s">
        <v>38</v>
      </c>
      <c r="P153" s="95">
        <f>Q153/Q$108</f>
        <v>5.3507846702194974E-2</v>
      </c>
      <c r="Q153" s="96">
        <f>+SUM(Q136:Q152)</f>
        <v>15694.310000000001</v>
      </c>
      <c r="R153" s="100"/>
      <c r="S153" s="101">
        <f>L153-Q153</f>
        <v>75.389999999999418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27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27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0.77176533742761044</v>
      </c>
      <c r="F155" s="96">
        <f>F122+F135+F153</f>
        <v>222673.5939813013</v>
      </c>
      <c r="G155" s="97" t="s">
        <v>38</v>
      </c>
      <c r="H155" s="95" t="e">
        <f>I155/I$108</f>
        <v>#DIV/0!</v>
      </c>
      <c r="I155" s="96">
        <f>I122+I135+I153</f>
        <v>0</v>
      </c>
      <c r="J155" s="97" t="s">
        <v>38</v>
      </c>
      <c r="K155" s="95">
        <f>L155/L$108</f>
        <v>0.98394118809660425</v>
      </c>
      <c r="L155" s="96">
        <f>L122+L135+L153</f>
        <v>215215.99</v>
      </c>
      <c r="M155" s="100"/>
      <c r="N155" s="113">
        <f t="shared" ref="N155:N162" si="57">L155-F155</f>
        <v>-7457.6039813013049</v>
      </c>
      <c r="O155" s="97" t="s">
        <v>38</v>
      </c>
      <c r="P155" s="95">
        <f>Q155/Q$108</f>
        <v>0.71848551851042153</v>
      </c>
      <c r="Q155" s="96">
        <f>Q122+Q135+Q153</f>
        <v>210737.96</v>
      </c>
      <c r="R155" s="100"/>
      <c r="S155" s="114">
        <f t="shared" ref="S155:S162" si="58">L155-Q155</f>
        <v>4478.0299999999988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27"/>
        <v>Véhicules usagésRBSC used</v>
      </c>
      <c r="B156" s="11" t="s">
        <v>70</v>
      </c>
      <c r="C156" s="29" t="s">
        <v>222</v>
      </c>
      <c r="D156" s="149"/>
      <c r="E156" s="150"/>
      <c r="F156" s="30">
        <f>+SUM(START:END!F156)</f>
        <v>8250</v>
      </c>
      <c r="G156" s="151"/>
      <c r="H156" s="150"/>
      <c r="I156" s="30">
        <f>+SUM(START:END!I156)</f>
        <v>0</v>
      </c>
      <c r="J156" s="151"/>
      <c r="K156" s="150"/>
      <c r="L156" s="32">
        <f>+SUM(START:END!L156)</f>
        <v>8250</v>
      </c>
      <c r="M156" s="41"/>
      <c r="N156" s="59">
        <f t="shared" si="57"/>
        <v>0</v>
      </c>
      <c r="O156" s="151"/>
      <c r="P156" s="150"/>
      <c r="Q156" s="33">
        <f>+SUM(START:END!Q156)</f>
        <v>6375</v>
      </c>
      <c r="R156" s="41"/>
      <c r="S156" s="85">
        <f t="shared" si="58"/>
        <v>1875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27"/>
        <v>Véhicules usagésProgramme 360</v>
      </c>
      <c r="B157" s="11" t="s">
        <v>70</v>
      </c>
      <c r="C157" s="29" t="s">
        <v>223</v>
      </c>
      <c r="D157" s="149"/>
      <c r="E157" s="150"/>
      <c r="F157" s="30">
        <f>+SUM(START:END!F157)</f>
        <v>5726.4705882352946</v>
      </c>
      <c r="G157" s="151"/>
      <c r="H157" s="150"/>
      <c r="I157" s="30">
        <f>+SUM(START:END!I157)</f>
        <v>0</v>
      </c>
      <c r="J157" s="151"/>
      <c r="K157" s="150"/>
      <c r="L157" s="33">
        <f>+SUM(START:END!L157)</f>
        <v>0</v>
      </c>
      <c r="M157" s="41"/>
      <c r="N157" s="59">
        <f t="shared" si="57"/>
        <v>-5726.4705882352946</v>
      </c>
      <c r="O157" s="151"/>
      <c r="P157" s="150"/>
      <c r="Q157" s="33">
        <f>+SUM(START:END!Q157)</f>
        <v>4750</v>
      </c>
      <c r="R157" s="41"/>
      <c r="S157" s="85">
        <f t="shared" si="58"/>
        <v>-4750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27"/>
        <v>Véhicules usagésProgramme used 3</v>
      </c>
      <c r="B158" s="11" t="s">
        <v>70</v>
      </c>
      <c r="C158" s="29" t="s">
        <v>77</v>
      </c>
      <c r="D158" s="81"/>
      <c r="E158" s="13"/>
      <c r="F158" s="30">
        <f>+SUM(START:END!F158)</f>
        <v>0</v>
      </c>
      <c r="G158" s="83"/>
      <c r="H158" s="13"/>
      <c r="I158" s="30">
        <f>+SUM(START:END!I158)</f>
        <v>0</v>
      </c>
      <c r="J158" s="41"/>
      <c r="K158" s="13"/>
      <c r="L158" s="33">
        <f>+SUM(START:END!L158)</f>
        <v>0</v>
      </c>
      <c r="M158" s="41"/>
      <c r="N158" s="59">
        <f t="shared" si="57"/>
        <v>0</v>
      </c>
      <c r="O158" s="41"/>
      <c r="P158" s="13"/>
      <c r="Q158" s="33">
        <f>+SUM(START:END!Q158)</f>
        <v>0</v>
      </c>
      <c r="R158" s="41"/>
      <c r="S158" s="85">
        <f t="shared" si="58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 t="shared" ref="A159:A162" si="59"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f>+SUM(START:END!F159)</f>
        <v>33379.5</v>
      </c>
      <c r="G159" s="83"/>
      <c r="H159" s="13"/>
      <c r="I159" s="30">
        <f>+SUM(START:END!I159)</f>
        <v>0</v>
      </c>
      <c r="J159" s="41"/>
      <c r="K159" s="13"/>
      <c r="L159" s="32">
        <f>+SUM(START:END!L159)</f>
        <v>33320</v>
      </c>
      <c r="M159" s="41"/>
      <c r="N159" s="59">
        <f t="shared" si="57"/>
        <v>-59.5</v>
      </c>
      <c r="O159" s="41"/>
      <c r="P159" s="13"/>
      <c r="Q159" s="33">
        <f>+SUM(START:END!Q159)</f>
        <v>30345</v>
      </c>
      <c r="R159" s="41"/>
      <c r="S159" s="85">
        <f t="shared" si="58"/>
        <v>2975</v>
      </c>
      <c r="T159" s="112"/>
      <c r="U159" s="13"/>
      <c r="V159" s="13"/>
      <c r="W159" s="454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 t="shared" si="59"/>
        <v>Véhicules usagés[...]</v>
      </c>
      <c r="B160" s="11" t="s">
        <v>70</v>
      </c>
      <c r="C160" s="29" t="s">
        <v>19</v>
      </c>
      <c r="D160" s="81"/>
      <c r="E160" s="13"/>
      <c r="F160" s="30">
        <f>+SUM(START:END!F160)</f>
        <v>0</v>
      </c>
      <c r="G160" s="83"/>
      <c r="H160" s="13"/>
      <c r="I160" s="30">
        <f>+SUM(START:END!I160)</f>
        <v>0</v>
      </c>
      <c r="J160" s="41"/>
      <c r="K160" s="13"/>
      <c r="L160" s="32">
        <f>+SUM(START:END!L160)</f>
        <v>0</v>
      </c>
      <c r="M160" s="41"/>
      <c r="N160" s="59">
        <f t="shared" si="57"/>
        <v>0</v>
      </c>
      <c r="O160" s="41"/>
      <c r="P160" s="13"/>
      <c r="Q160" s="33">
        <f>+SUM(START:END!Q160)</f>
        <v>0</v>
      </c>
      <c r="R160" s="41"/>
      <c r="S160" s="85">
        <f t="shared" si="58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 t="shared" si="59"/>
        <v>Véhicules usagés[...]</v>
      </c>
      <c r="B161" s="11" t="s">
        <v>70</v>
      </c>
      <c r="C161" s="29" t="s">
        <v>19</v>
      </c>
      <c r="D161" s="81"/>
      <c r="E161" s="13"/>
      <c r="F161" s="30">
        <f>+SUM(START:END!F161)</f>
        <v>0</v>
      </c>
      <c r="G161" s="83"/>
      <c r="H161" s="13"/>
      <c r="I161" s="30">
        <f>+SUM(START:END!I161)</f>
        <v>0</v>
      </c>
      <c r="J161" s="41"/>
      <c r="K161" s="13"/>
      <c r="L161" s="32">
        <f>+SUM(START:END!L161)</f>
        <v>0</v>
      </c>
      <c r="M161" s="41"/>
      <c r="N161" s="59">
        <f t="shared" si="57"/>
        <v>0</v>
      </c>
      <c r="O161" s="41"/>
      <c r="P161" s="13"/>
      <c r="Q161" s="33">
        <f>+SUM(START:END!Q161)</f>
        <v>0</v>
      </c>
      <c r="R161" s="41"/>
      <c r="S161" s="85">
        <f t="shared" si="58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 t="shared" si="59"/>
        <v>Véhicules usagés[...]</v>
      </c>
      <c r="B162" s="11" t="s">
        <v>70</v>
      </c>
      <c r="C162" s="86" t="s">
        <v>19</v>
      </c>
      <c r="D162" s="87"/>
      <c r="E162" s="111"/>
      <c r="F162" s="30">
        <f>+SUM(START:END!F162)</f>
        <v>0</v>
      </c>
      <c r="G162" s="83"/>
      <c r="H162" s="13"/>
      <c r="I162" s="30">
        <f>+SUM(START:END!I162)</f>
        <v>0</v>
      </c>
      <c r="J162" s="41"/>
      <c r="K162" s="13"/>
      <c r="L162" s="32">
        <f>+SUM(START:END!L162)</f>
        <v>0</v>
      </c>
      <c r="M162" s="41"/>
      <c r="N162" s="59">
        <f t="shared" si="57"/>
        <v>0</v>
      </c>
      <c r="O162" s="41"/>
      <c r="P162" s="13"/>
      <c r="Q162" s="33">
        <f>+SUM(START:END!Q162)</f>
        <v>0</v>
      </c>
      <c r="R162" s="41"/>
      <c r="S162" s="85">
        <f t="shared" si="58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47355.970588235294</v>
      </c>
      <c r="G163" s="97"/>
      <c r="H163" s="95"/>
      <c r="I163" s="96">
        <f>+SUM(I156:I162)</f>
        <v>0</v>
      </c>
      <c r="J163" s="97"/>
      <c r="K163" s="95"/>
      <c r="L163" s="96">
        <f>+SUM(L156:L162)</f>
        <v>41570</v>
      </c>
      <c r="M163" s="100"/>
      <c r="N163" s="96">
        <f>SUM(N156:N159)</f>
        <v>-5785.9705882352946</v>
      </c>
      <c r="O163" s="97"/>
      <c r="P163" s="95"/>
      <c r="Q163" s="96">
        <f>+SUM(Q156:Q162)</f>
        <v>41470</v>
      </c>
      <c r="R163" s="100"/>
      <c r="S163" s="101">
        <f>+SUM(S156:S162)</f>
        <v>100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113207.37660693401</v>
      </c>
      <c r="G165" s="153"/>
      <c r="H165" s="125"/>
      <c r="I165" s="127">
        <f>I108-I155+I163</f>
        <v>0</v>
      </c>
      <c r="J165" s="154"/>
      <c r="K165" s="126"/>
      <c r="L165" s="127">
        <f>L108-L155+L163</f>
        <v>45082.520000000019</v>
      </c>
      <c r="M165" s="154"/>
      <c r="N165" s="127">
        <f>L165-F165</f>
        <v>-68124.856606933987</v>
      </c>
      <c r="O165" s="154"/>
      <c r="P165" s="126"/>
      <c r="Q165" s="127">
        <f>Q108-Q155+Q163</f>
        <v>124040.60999999961</v>
      </c>
      <c r="R165" s="154"/>
      <c r="S165" s="129">
        <f>L165-Q165</f>
        <v>-78958.089999999589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  Q2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63" t="s">
        <v>5</v>
      </c>
      <c r="E170" s="464"/>
      <c r="F170" s="465"/>
      <c r="G170" s="466" t="s">
        <v>71</v>
      </c>
      <c r="H170" s="464"/>
      <c r="I170" s="465"/>
      <c r="J170" s="466" t="s">
        <v>7</v>
      </c>
      <c r="K170" s="464"/>
      <c r="L170" s="465"/>
      <c r="M170" s="466" t="s">
        <v>213</v>
      </c>
      <c r="N170" s="465"/>
      <c r="O170" s="463" t="s">
        <v>8</v>
      </c>
      <c r="P170" s="464"/>
      <c r="Q170" s="465"/>
      <c r="R170" s="470" t="s">
        <v>214</v>
      </c>
      <c r="S170" s="471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60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 t="s">
        <v>39</v>
      </c>
      <c r="H171" s="80" t="s">
        <v>79</v>
      </c>
      <c r="I171" s="134" t="s">
        <v>12</v>
      </c>
      <c r="J171" s="135" t="s">
        <v>39</v>
      </c>
      <c r="K171" s="80" t="s">
        <v>79</v>
      </c>
      <c r="L171" s="134" t="s">
        <v>12</v>
      </c>
      <c r="M171" s="135" t="s">
        <v>224</v>
      </c>
      <c r="N171" s="134" t="s">
        <v>219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60"/>
        <v>ServiceM/O Client</v>
      </c>
      <c r="B172" s="11" t="s">
        <v>78</v>
      </c>
      <c r="C172" s="29" t="s">
        <v>81</v>
      </c>
      <c r="D172" s="13">
        <f>+SUM(START:END!D172)</f>
        <v>0</v>
      </c>
      <c r="E172" s="82">
        <f>+SUM(START:END!E172)</f>
        <v>253092.81862872542</v>
      </c>
      <c r="F172" s="82">
        <f>+SUM(START:END!F172)</f>
        <v>201461.88362846541</v>
      </c>
      <c r="G172" s="156">
        <f>+SUM(START:END!G172)</f>
        <v>0</v>
      </c>
      <c r="H172" s="82">
        <f>+SUM(START:END!H172)</f>
        <v>0</v>
      </c>
      <c r="I172" s="82">
        <f>+SUM(START:END!I172)</f>
        <v>0</v>
      </c>
      <c r="J172" s="60">
        <f>+SUM(START:END!J172)</f>
        <v>732</v>
      </c>
      <c r="K172" s="30">
        <f>+SUM(START:END!K172)</f>
        <v>238899.06</v>
      </c>
      <c r="L172" s="33">
        <f>+SUM(START:END!L172)</f>
        <v>189283.03999999998</v>
      </c>
      <c r="M172" s="157">
        <f>(K172-E172)/E172</f>
        <v>-5.6081238122947144E-2</v>
      </c>
      <c r="N172" s="59">
        <f>L172-F172</f>
        <v>-12178.843628465431</v>
      </c>
      <c r="O172" s="60">
        <f>+SUM(START:END!O172)</f>
        <v>792</v>
      </c>
      <c r="P172" s="30">
        <f>+SUM(START:END!P172)</f>
        <v>237878.21</v>
      </c>
      <c r="Q172" s="33">
        <f>+SUM(START:END!Q172)</f>
        <v>190538.17999999988</v>
      </c>
      <c r="R172" s="157">
        <f>IF(O172=0,0,J172/O172)</f>
        <v>0.9242424242424242</v>
      </c>
      <c r="S172" s="85">
        <f>L172-Q172</f>
        <v>-1255.1399999998976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60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0.79599999999999993</v>
      </c>
      <c r="G173" s="41"/>
      <c r="H173" s="144"/>
      <c r="I173" s="158" t="e">
        <f>I172/H172</f>
        <v>#DIV/0!</v>
      </c>
      <c r="J173" s="60"/>
      <c r="K173" s="13"/>
      <c r="L173" s="158">
        <f>L172/K172</f>
        <v>0.79231387515714791</v>
      </c>
      <c r="M173" s="157"/>
      <c r="N173" s="59"/>
      <c r="O173" s="60"/>
      <c r="P173" s="13"/>
      <c r="Q173" s="158">
        <f>Q172/P172</f>
        <v>0.80099047323418093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60"/>
        <v>Service</v>
      </c>
      <c r="B174" s="11" t="s">
        <v>78</v>
      </c>
      <c r="C174" s="86"/>
      <c r="D174" s="111"/>
      <c r="E174" s="159">
        <f t="shared" ref="E174" si="61">IFERROR(E172/D172,0)</f>
        <v>0</v>
      </c>
      <c r="F174" s="160"/>
      <c r="G174" s="23"/>
      <c r="H174" s="159">
        <f t="shared" ref="H174" si="62">IFERROR(H172/G172,0)</f>
        <v>0</v>
      </c>
      <c r="I174" s="160"/>
      <c r="J174" s="161"/>
      <c r="K174" s="481">
        <f t="shared" ref="K174" si="63">IFERROR(K172/J172,0)</f>
        <v>326.36483606557374</v>
      </c>
      <c r="L174" s="160"/>
      <c r="M174" s="162"/>
      <c r="N174" s="91"/>
      <c r="O174" s="161"/>
      <c r="P174" s="481">
        <f t="shared" ref="P174" si="64">IFERROR(P172/O172,0)</f>
        <v>300.35127525252523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60"/>
        <v>ServiceM/O Garantie</v>
      </c>
      <c r="B175" s="11" t="s">
        <v>78</v>
      </c>
      <c r="C175" s="14" t="s">
        <v>83</v>
      </c>
      <c r="D175" s="163">
        <f>+SUM(START:END!D175)</f>
        <v>0</v>
      </c>
      <c r="E175" s="82">
        <f>+SUM(START:END!E175)</f>
        <v>95856.642509339887</v>
      </c>
      <c r="F175" s="82">
        <f>+SUM(START:END!F175)</f>
        <v>69112.639249234053</v>
      </c>
      <c r="G175" s="164">
        <f>+SUM(START:END!G175)</f>
        <v>0</v>
      </c>
      <c r="H175" s="82">
        <f>+SUM(START:END!H175)</f>
        <v>0</v>
      </c>
      <c r="I175" s="82">
        <f>+SUM(START:END!I175)</f>
        <v>0</v>
      </c>
      <c r="J175" s="164">
        <f>+SUM(START:END!J175)</f>
        <v>527</v>
      </c>
      <c r="K175" s="165">
        <f>+SUM(START:END!K175)</f>
        <v>73404.53</v>
      </c>
      <c r="L175" s="33">
        <f>+SUM(START:END!L175)</f>
        <v>48768.400000000009</v>
      </c>
      <c r="M175" s="157">
        <f>(K175-E175)/E175</f>
        <v>-0.23422594325846791</v>
      </c>
      <c r="N175" s="109">
        <f>L175-F175</f>
        <v>-20344.239249234044</v>
      </c>
      <c r="O175" s="164">
        <f>+SUM(START:END!O175)</f>
        <v>685</v>
      </c>
      <c r="P175" s="165">
        <f>+SUM(START:END!P175)</f>
        <v>97211.519999999902</v>
      </c>
      <c r="Q175" s="33">
        <f>+SUM(START:END!Q175)</f>
        <v>69039.240000000005</v>
      </c>
      <c r="R175" s="157">
        <f>IF(O175=0,0,J175/O175)</f>
        <v>0.76934306569343069</v>
      </c>
      <c r="S175" s="85">
        <f>L175-Q175</f>
        <v>-20270.839999999997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60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 t="e">
        <f>I175/H175</f>
        <v>#DIV/0!</v>
      </c>
      <c r="J176" s="41"/>
      <c r="K176" s="13"/>
      <c r="L176" s="158">
        <f>L175/K175</f>
        <v>0.66437861532523956</v>
      </c>
      <c r="M176" s="42"/>
      <c r="N176" s="43"/>
      <c r="O176" s="41"/>
      <c r="P176" s="13"/>
      <c r="Q176" s="158">
        <f>Q175/P175</f>
        <v>0.71019607552685193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60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/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60"/>
        <v>ServiceM/O Interne</v>
      </c>
      <c r="B178" s="11" t="s">
        <v>78</v>
      </c>
      <c r="C178" s="29" t="s">
        <v>84</v>
      </c>
      <c r="D178" s="13">
        <f>+SUM(START:END!D178)</f>
        <v>0</v>
      </c>
      <c r="E178" s="82">
        <f>+SUM(START:END!E178)</f>
        <v>143423.01468803186</v>
      </c>
      <c r="F178" s="82">
        <f>+SUM(START:END!F178)</f>
        <v>88635.423077203683</v>
      </c>
      <c r="G178" s="41">
        <f>+SUM(START:END!G178)</f>
        <v>0</v>
      </c>
      <c r="H178" s="82">
        <f>+SUM(START:END!H178)</f>
        <v>0</v>
      </c>
      <c r="I178" s="82">
        <f>+SUM(START:END!I178)</f>
        <v>0</v>
      </c>
      <c r="J178" s="60">
        <f>+SUM(START:END!J178)</f>
        <v>583</v>
      </c>
      <c r="K178" s="165">
        <f>+SUM(START:END!K178)</f>
        <v>136913.10999999999</v>
      </c>
      <c r="L178" s="33">
        <f>+SUM(START:END!L178)</f>
        <v>82414.33</v>
      </c>
      <c r="M178" s="157">
        <f>(K178-E178)/E178</f>
        <v>-4.5389540180785969E-2</v>
      </c>
      <c r="N178" s="59">
        <f>L178-F178</f>
        <v>-6221.0930772036809</v>
      </c>
      <c r="O178" s="60">
        <f>+SUM(START:END!O178)</f>
        <v>572</v>
      </c>
      <c r="P178" s="165">
        <f>+SUM(START:END!P178)</f>
        <v>109587.75999999981</v>
      </c>
      <c r="Q178" s="33">
        <f>+SUM(START:END!Q178)</f>
        <v>65345.789999999899</v>
      </c>
      <c r="R178" s="157">
        <f>IF(O178=0,0,J178/O178)</f>
        <v>1.0192307692307692</v>
      </c>
      <c r="S178" s="85">
        <f>L178-Q178</f>
        <v>17068.540000000103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60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0.61799999999999988</v>
      </c>
      <c r="G179" s="41"/>
      <c r="H179" s="144"/>
      <c r="I179" s="158" t="e">
        <f>I178/H178</f>
        <v>#DIV/0!</v>
      </c>
      <c r="J179" s="60"/>
      <c r="K179" s="144"/>
      <c r="L179" s="158">
        <f>L178/K178</f>
        <v>0.60194622706328127</v>
      </c>
      <c r="M179" s="157"/>
      <c r="N179" s="59">
        <f>L179-F179</f>
        <v>-1.6053772936718613E-2</v>
      </c>
      <c r="O179" s="60"/>
      <c r="P179" s="144"/>
      <c r="Q179" s="158">
        <f>Q178/P178</f>
        <v>0.59628730434858801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60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/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60"/>
        <v>ServiceM/O Esthétique</v>
      </c>
      <c r="B181" s="11" t="s">
        <v>78</v>
      </c>
      <c r="C181" s="14" t="s">
        <v>85</v>
      </c>
      <c r="D181" s="105">
        <f>+SUM(START:END!D181)</f>
        <v>0</v>
      </c>
      <c r="E181" s="82">
        <f>+SUM(START:END!E181)</f>
        <v>47110.367780633838</v>
      </c>
      <c r="F181" s="82">
        <f>+SUM(START:END!F181)</f>
        <v>18844.147112253537</v>
      </c>
      <c r="G181" s="107">
        <f>+SUM(START:END!G181)</f>
        <v>0</v>
      </c>
      <c r="H181" s="82">
        <f>+SUM(START:END!H181)</f>
        <v>0</v>
      </c>
      <c r="I181" s="82">
        <f>+SUM(START:END!I181)</f>
        <v>0</v>
      </c>
      <c r="J181" s="164">
        <f>+SUM(START:END!J181)</f>
        <v>262</v>
      </c>
      <c r="K181" s="165">
        <f>+SUM(START:END!K181)</f>
        <v>54138.57</v>
      </c>
      <c r="L181" s="108">
        <f>+SUM(START:END!L181)</f>
        <v>21633.91</v>
      </c>
      <c r="M181" s="173">
        <f>IF(E181=0,0,(K181-E181)/E181)</f>
        <v>0.14918589156621528</v>
      </c>
      <c r="N181" s="109">
        <f>L181-F181</f>
        <v>2789.7628877464631</v>
      </c>
      <c r="O181" s="164">
        <f>+SUM(START:END!O181)</f>
        <v>244</v>
      </c>
      <c r="P181" s="165">
        <f>+SUM(START:END!P181)</f>
        <v>47863.61</v>
      </c>
      <c r="Q181" s="108">
        <f>+SUM(START:END!Q181)</f>
        <v>19817.96</v>
      </c>
      <c r="R181" s="157">
        <f>IF(O181=0,0,J181/O181)</f>
        <v>1.0737704918032787</v>
      </c>
      <c r="S181" s="110">
        <f>L181-Q181</f>
        <v>1815.9500000000007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60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>
        <f>IFERROR(I181/H181,0)</f>
        <v>0</v>
      </c>
      <c r="J182" s="175"/>
      <c r="K182" s="174"/>
      <c r="L182" s="158">
        <f>IFERROR(L181/K181,0)</f>
        <v>0.39960253844902072</v>
      </c>
      <c r="M182" s="60">
        <f>J182-D182</f>
        <v>0</v>
      </c>
      <c r="N182" s="176"/>
      <c r="O182" s="175"/>
      <c r="P182" s="174"/>
      <c r="Q182" s="158">
        <f>IFERROR(Q181/P181,0)</f>
        <v>0.4140506744058795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60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/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60"/>
        <v>ServiceAjustement M/O</v>
      </c>
      <c r="B184" s="11" t="s">
        <v>78</v>
      </c>
      <c r="C184" s="29" t="s">
        <v>86</v>
      </c>
      <c r="D184" s="13"/>
      <c r="E184" s="13"/>
      <c r="F184" s="59">
        <f>+SUM(START:END!F184)</f>
        <v>-8071.4375269787097</v>
      </c>
      <c r="G184" s="41"/>
      <c r="H184" s="82"/>
      <c r="I184" s="82">
        <f>+SUM(START:END!I184)</f>
        <v>0</v>
      </c>
      <c r="J184" s="60"/>
      <c r="K184" s="82"/>
      <c r="L184" s="82">
        <f>+SUM(START:END!L184)</f>
        <v>-9587.08</v>
      </c>
      <c r="M184" s="175"/>
      <c r="N184" s="59">
        <f>L184-F184</f>
        <v>-1515.6424730212902</v>
      </c>
      <c r="O184" s="60"/>
      <c r="P184" s="82"/>
      <c r="Q184" s="82">
        <f>+SUM(START:END!Q184)</f>
        <v>-8617.0299999999988</v>
      </c>
      <c r="R184" s="184"/>
      <c r="S184" s="85">
        <f>L184-Q184</f>
        <v>-970.05000000000109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60"/>
        <v>ServiceSous-total M/O</v>
      </c>
      <c r="B185" s="11" t="s">
        <v>78</v>
      </c>
      <c r="C185" s="185" t="s">
        <v>87</v>
      </c>
      <c r="D185" s="186"/>
      <c r="E185" s="186">
        <f t="shared" ref="E185" si="65">E172+E175+E178+E181+E184</f>
        <v>539482.84360673104</v>
      </c>
      <c r="F185" s="187">
        <f>F172+F175+F178+F181+F184</f>
        <v>369982.65554017795</v>
      </c>
      <c r="G185" s="188"/>
      <c r="H185" s="186">
        <f t="shared" ref="H185:I185" si="66">H172+H175+H178+H181+H184</f>
        <v>0</v>
      </c>
      <c r="I185" s="187">
        <f t="shared" si="66"/>
        <v>0</v>
      </c>
      <c r="J185" s="188"/>
      <c r="K185" s="186">
        <f t="shared" ref="K185:L185" si="67">K172+K175+K178+K181+K184</f>
        <v>503355.26999999996</v>
      </c>
      <c r="L185" s="187">
        <f t="shared" si="67"/>
        <v>332512.59999999998</v>
      </c>
      <c r="M185" s="189">
        <f>(K185-E185)/E185</f>
        <v>-6.6967048229372689E-2</v>
      </c>
      <c r="N185" s="187">
        <f>L185-F185</f>
        <v>-37470.055540177971</v>
      </c>
      <c r="O185" s="188"/>
      <c r="P185" s="186">
        <f t="shared" ref="P185:Q185" si="68">P172+P175+P178+P181+P184</f>
        <v>492541.09999999963</v>
      </c>
      <c r="Q185" s="187">
        <f t="shared" si="68"/>
        <v>336124.13999999978</v>
      </c>
      <c r="R185" s="42">
        <f>IF(O185=0,0,J185/O185)</f>
        <v>0</v>
      </c>
      <c r="S185" s="190">
        <f>L185-Q185</f>
        <v>-3611.5399999998044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60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0.68580986388120557</v>
      </c>
      <c r="G186" s="194"/>
      <c r="H186" s="192"/>
      <c r="I186" s="43" t="e">
        <f>I185/H185</f>
        <v>#DIV/0!</v>
      </c>
      <c r="J186" s="194"/>
      <c r="K186" s="443"/>
      <c r="L186" s="43">
        <f>L185/K185</f>
        <v>0.66059226915415037</v>
      </c>
      <c r="M186" s="194"/>
      <c r="N186" s="193">
        <f>N185/F185</f>
        <v>-0.10127516784664232</v>
      </c>
      <c r="O186" s="194"/>
      <c r="P186" s="443"/>
      <c r="Q186" s="43">
        <f>Q185/P185</f>
        <v>0.6824286135715375</v>
      </c>
      <c r="R186" s="194"/>
      <c r="S186" s="44">
        <f>IF(R185=0,0,S185/R185)</f>
        <v>0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60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60"/>
        <v>ServiceSous-traitement</v>
      </c>
      <c r="B188" s="11" t="s">
        <v>78</v>
      </c>
      <c r="C188" s="29" t="s">
        <v>89</v>
      </c>
      <c r="D188" s="82"/>
      <c r="E188" s="82">
        <f>+SUM(START:END!E188)</f>
        <v>14564.441958720148</v>
      </c>
      <c r="F188" s="82">
        <f>+SUM(START:END!F188)</f>
        <v>2490.5195749411459</v>
      </c>
      <c r="G188" s="60"/>
      <c r="H188" s="82">
        <f>+SUM(START:END!H188)</f>
        <v>0</v>
      </c>
      <c r="I188" s="82">
        <f>+SUM(START:END!I188)</f>
        <v>0</v>
      </c>
      <c r="J188" s="60"/>
      <c r="K188" s="30">
        <f>+SUM(START:END!K188)</f>
        <v>9283.2100000000009</v>
      </c>
      <c r="L188" s="33">
        <f>+SUM(START:END!L188)</f>
        <v>1298.6900000000003</v>
      </c>
      <c r="M188" s="84">
        <f>IF(E188=0,0,(K188-E188)/E188)</f>
        <v>-0.36261134986762211</v>
      </c>
      <c r="N188" s="59">
        <f>L188-F188</f>
        <v>-1191.8295749411457</v>
      </c>
      <c r="O188" s="60"/>
      <c r="P188" s="30">
        <f>+SUM(START:END!P188)</f>
        <v>12110.24</v>
      </c>
      <c r="Q188" s="33">
        <f>+SUM(START:END!Q188)</f>
        <v>1166.1699999999989</v>
      </c>
      <c r="R188" s="157">
        <f>IF(O188=0,0,J188/O188)</f>
        <v>0</v>
      </c>
      <c r="S188" s="85">
        <f>L188-Q188</f>
        <v>132.52000000000135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60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0.17100000000000004</v>
      </c>
      <c r="G189" s="41"/>
      <c r="H189" s="144"/>
      <c r="I189" s="158">
        <f>IFERROR(I188/H188,0)</f>
        <v>0</v>
      </c>
      <c r="J189" s="175"/>
      <c r="K189" s="174"/>
      <c r="L189" s="158">
        <f>IFERROR(L188/K188,0)</f>
        <v>0.13989665212787389</v>
      </c>
      <c r="M189" s="175"/>
      <c r="N189" s="176"/>
      <c r="O189" s="175"/>
      <c r="P189" s="174"/>
      <c r="Q189" s="158">
        <f>IFERROR(Q188/P188,0)</f>
        <v>9.6296192313281903E-2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60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60"/>
        <v>ServiceM.O. Recond. MCPA</v>
      </c>
      <c r="B191" s="11" t="s">
        <v>78</v>
      </c>
      <c r="C191" s="29" t="s">
        <v>90</v>
      </c>
      <c r="D191" s="13"/>
      <c r="E191" s="82">
        <f>+SUM(START:END!E191)</f>
        <v>0</v>
      </c>
      <c r="F191" s="82">
        <f>+SUM(START:END!F191)</f>
        <v>0</v>
      </c>
      <c r="G191" s="41"/>
      <c r="H191" s="82">
        <f>+SUM(START:END!H191)</f>
        <v>0</v>
      </c>
      <c r="I191" s="82">
        <f>+SUM(START:END!I191)</f>
        <v>0</v>
      </c>
      <c r="J191" s="175"/>
      <c r="K191" s="30">
        <f>+SUM(START:END!K191)</f>
        <v>0</v>
      </c>
      <c r="L191" s="158">
        <f>+SUM(START:END!L191)</f>
        <v>0</v>
      </c>
      <c r="M191" s="175"/>
      <c r="N191" s="176"/>
      <c r="O191" s="175"/>
      <c r="P191" s="30">
        <f>+SUM(START:END!P191)</f>
        <v>0</v>
      </c>
      <c r="Q191" s="158">
        <f>+SUM(START:END!Q191)</f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60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>
        <f>IF(I191=0,0,I191/H191)</f>
        <v>0</v>
      </c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60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60"/>
        <v>ServiceTotal Mécanique</v>
      </c>
      <c r="B194" s="11" t="s">
        <v>78</v>
      </c>
      <c r="C194" s="62" t="s">
        <v>91</v>
      </c>
      <c r="D194" s="63"/>
      <c r="E194" s="63">
        <f t="shared" ref="E194:F194" si="69">E185+E188+E191</f>
        <v>554047.28556545114</v>
      </c>
      <c r="F194" s="65">
        <f t="shared" si="69"/>
        <v>372473.17511511908</v>
      </c>
      <c r="G194" s="66"/>
      <c r="H194" s="63">
        <f t="shared" ref="H194:I194" si="70">H185+H188+H191</f>
        <v>0</v>
      </c>
      <c r="I194" s="65">
        <f t="shared" si="70"/>
        <v>0</v>
      </c>
      <c r="J194" s="66"/>
      <c r="K194" s="63">
        <f t="shared" ref="K194:L194" si="71">K185+K188+K191</f>
        <v>512638.48</v>
      </c>
      <c r="L194" s="65">
        <f t="shared" si="71"/>
        <v>333811.28999999998</v>
      </c>
      <c r="M194" s="206">
        <f>L195-F195</f>
        <v>-2.1113715280284495E-2</v>
      </c>
      <c r="N194" s="65">
        <f>L194-F194</f>
        <v>-38661.885115119105</v>
      </c>
      <c r="O194" s="66"/>
      <c r="P194" s="63">
        <f t="shared" ref="P194:Q194" si="72">P185+P188+P191</f>
        <v>504651.33999999962</v>
      </c>
      <c r="Q194" s="65">
        <f t="shared" si="72"/>
        <v>337290.30999999976</v>
      </c>
      <c r="R194" s="206">
        <f>L195-Q195</f>
        <v>-1.7199897421558696E-2</v>
      </c>
      <c r="S194" s="68">
        <f>L194-Q194</f>
        <v>-3479.0199999997858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60"/>
        <v>Service</v>
      </c>
      <c r="B195" s="11" t="s">
        <v>78</v>
      </c>
      <c r="C195" s="69"/>
      <c r="D195" s="70"/>
      <c r="E195" s="70"/>
      <c r="F195" s="74">
        <f>F194/E194</f>
        <v>0.67227687025842819</v>
      </c>
      <c r="G195" s="72"/>
      <c r="H195" s="70"/>
      <c r="I195" s="74" t="e">
        <f>I194/H194</f>
        <v>#DIV/0!</v>
      </c>
      <c r="J195" s="72"/>
      <c r="K195" s="70"/>
      <c r="L195" s="74">
        <f>L194/K194</f>
        <v>0.6511631549781437</v>
      </c>
      <c r="M195" s="73"/>
      <c r="N195" s="74">
        <f>N194/F194</f>
        <v>-0.10379777041170818</v>
      </c>
      <c r="O195" s="72"/>
      <c r="P195" s="70"/>
      <c r="Q195" s="74">
        <f>Q194/P194</f>
        <v>0.6683630523997024</v>
      </c>
      <c r="R195" s="73"/>
      <c r="S195" s="75">
        <f>L194/S194</f>
        <v>-95.949804830101726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60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82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60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60"/>
        <v>ServiceSalaires cadres</v>
      </c>
      <c r="B198" s="11" t="s">
        <v>78</v>
      </c>
      <c r="C198" s="102" t="s">
        <v>40</v>
      </c>
      <c r="D198" s="13"/>
      <c r="E198" s="13"/>
      <c r="F198" s="30">
        <f>+SUM(START:END!F198)</f>
        <v>28920.157824427479</v>
      </c>
      <c r="G198" s="41"/>
      <c r="H198" s="13"/>
      <c r="I198" s="30">
        <f>+SUM(START:END!I198)</f>
        <v>0</v>
      </c>
      <c r="J198" s="41"/>
      <c r="K198" s="13"/>
      <c r="L198" s="33">
        <f>+SUM(START:END!L198)</f>
        <v>24459.699999999997</v>
      </c>
      <c r="M198" s="41"/>
      <c r="N198" s="59">
        <f t="shared" ref="N198:N229" si="73">L198-F198</f>
        <v>-4460.4578244274817</v>
      </c>
      <c r="O198" s="41"/>
      <c r="P198" s="13"/>
      <c r="Q198" s="33">
        <f>+SUM(START:END!Q198)</f>
        <v>20930.36</v>
      </c>
      <c r="R198" s="41"/>
      <c r="S198" s="85">
        <f t="shared" ref="S198:S228" si="74">L198-Q198</f>
        <v>3529.3399999999965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60"/>
        <v>ServiceSalaires commis</v>
      </c>
      <c r="B199" s="11" t="s">
        <v>78</v>
      </c>
      <c r="C199" s="103" t="s">
        <v>41</v>
      </c>
      <c r="D199" s="81"/>
      <c r="E199" s="13"/>
      <c r="F199" s="22">
        <f>+SUM(START:END!F199)</f>
        <v>15121.996755725191</v>
      </c>
      <c r="G199" s="83"/>
      <c r="H199" s="13"/>
      <c r="I199" s="22">
        <f>+SUM(START:END!I199)</f>
        <v>0</v>
      </c>
      <c r="J199" s="41"/>
      <c r="K199" s="13"/>
      <c r="L199" s="33">
        <f>+SUM(START:END!L199)</f>
        <v>15312.380000000001</v>
      </c>
      <c r="M199" s="41"/>
      <c r="N199" s="59">
        <f t="shared" si="73"/>
        <v>190.38324427480984</v>
      </c>
      <c r="O199" s="41"/>
      <c r="P199" s="13"/>
      <c r="Q199" s="33">
        <f>+SUM(START:END!Q199)</f>
        <v>14843.99</v>
      </c>
      <c r="R199" s="41"/>
      <c r="S199" s="85">
        <f t="shared" si="74"/>
        <v>468.39000000000124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60"/>
        <v>ServiceSalaires autres</v>
      </c>
      <c r="B200" s="11" t="s">
        <v>78</v>
      </c>
      <c r="C200" s="102" t="s">
        <v>42</v>
      </c>
      <c r="D200" s="104"/>
      <c r="E200" s="105"/>
      <c r="F200" s="30">
        <f>+SUM(START:END!F200)</f>
        <v>13266.47328244275</v>
      </c>
      <c r="G200" s="106"/>
      <c r="H200" s="105"/>
      <c r="I200" s="30">
        <f>+SUM(START:END!I200)</f>
        <v>0</v>
      </c>
      <c r="J200" s="107"/>
      <c r="K200" s="105"/>
      <c r="L200" s="108">
        <f>+SUM(START:END!L200)</f>
        <v>20019.439999999999</v>
      </c>
      <c r="M200" s="107"/>
      <c r="N200" s="109">
        <f t="shared" si="73"/>
        <v>6752.9667175572486</v>
      </c>
      <c r="O200" s="107"/>
      <c r="P200" s="105"/>
      <c r="Q200" s="108">
        <f>+SUM(START:END!Q200)</f>
        <v>15775.300000000001</v>
      </c>
      <c r="R200" s="107"/>
      <c r="S200" s="110">
        <f t="shared" si="74"/>
        <v>4244.1399999999976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60"/>
        <v>ServiceSalaires spécialistes</v>
      </c>
      <c r="B201" s="11" t="s">
        <v>78</v>
      </c>
      <c r="C201" s="102" t="s">
        <v>43</v>
      </c>
      <c r="D201" s="81"/>
      <c r="E201" s="13"/>
      <c r="F201" s="30">
        <f>+SUM(START:END!F201)</f>
        <v>40411.288492496235</v>
      </c>
      <c r="G201" s="83"/>
      <c r="H201" s="13"/>
      <c r="I201" s="30">
        <f>+SUM(START:END!I201)</f>
        <v>0</v>
      </c>
      <c r="J201" s="41"/>
      <c r="K201" s="13"/>
      <c r="L201" s="33">
        <f>+SUM(START:END!L201)</f>
        <v>44000.47</v>
      </c>
      <c r="M201" s="41"/>
      <c r="N201" s="59">
        <f t="shared" si="73"/>
        <v>3589.1815075037666</v>
      </c>
      <c r="O201" s="41"/>
      <c r="P201" s="13"/>
      <c r="Q201" s="33">
        <f>+SUM(START:END!Q201)</f>
        <v>37625.360000000001</v>
      </c>
      <c r="R201" s="41"/>
      <c r="S201" s="85">
        <f t="shared" si="74"/>
        <v>6375.1100000000006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60"/>
        <v>Service[...]</v>
      </c>
      <c r="B202" s="11" t="s">
        <v>78</v>
      </c>
      <c r="C202" s="29" t="s">
        <v>19</v>
      </c>
      <c r="D202" s="81"/>
      <c r="E202" s="13"/>
      <c r="F202" s="30">
        <f>+SUM(START:END!F202)</f>
        <v>0</v>
      </c>
      <c r="G202" s="83"/>
      <c r="H202" s="13"/>
      <c r="I202" s="30">
        <f>+SUM(START:END!I202)</f>
        <v>0</v>
      </c>
      <c r="J202" s="41"/>
      <c r="K202" s="13"/>
      <c r="L202" s="33">
        <f>+SUM(START:END!L202)</f>
        <v>0</v>
      </c>
      <c r="M202" s="41"/>
      <c r="N202" s="59">
        <f t="shared" si="73"/>
        <v>0</v>
      </c>
      <c r="O202" s="41"/>
      <c r="P202" s="13"/>
      <c r="Q202" s="33">
        <f>+SUM(START:END!Q202)</f>
        <v>0</v>
      </c>
      <c r="R202" s="41"/>
      <c r="S202" s="85">
        <f t="shared" si="74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60"/>
        <v>Service[...]</v>
      </c>
      <c r="B203" s="11" t="s">
        <v>78</v>
      </c>
      <c r="C203" s="29" t="s">
        <v>19</v>
      </c>
      <c r="D203" s="81"/>
      <c r="E203" s="13"/>
      <c r="F203" s="30">
        <f>+SUM(START:END!F203)</f>
        <v>0</v>
      </c>
      <c r="G203" s="83"/>
      <c r="H203" s="13"/>
      <c r="I203" s="30">
        <f>+SUM(START:END!I203)</f>
        <v>0</v>
      </c>
      <c r="J203" s="41"/>
      <c r="K203" s="13"/>
      <c r="L203" s="33">
        <f>+SUM(START:END!L203)</f>
        <v>0</v>
      </c>
      <c r="M203" s="41"/>
      <c r="N203" s="59">
        <f t="shared" si="73"/>
        <v>0</v>
      </c>
      <c r="O203" s="41"/>
      <c r="P203" s="13"/>
      <c r="Q203" s="33">
        <f>+SUM(START:END!Q203)</f>
        <v>0</v>
      </c>
      <c r="R203" s="41"/>
      <c r="S203" s="85">
        <f t="shared" si="74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60"/>
        <v>Service[...]</v>
      </c>
      <c r="B204" s="11" t="s">
        <v>78</v>
      </c>
      <c r="C204" s="29" t="s">
        <v>19</v>
      </c>
      <c r="D204" s="81"/>
      <c r="E204" s="13"/>
      <c r="F204" s="30">
        <f>+SUM(START:END!F204)</f>
        <v>0</v>
      </c>
      <c r="G204" s="83"/>
      <c r="H204" s="13"/>
      <c r="I204" s="30">
        <f>+SUM(START:END!I204)</f>
        <v>0</v>
      </c>
      <c r="J204" s="41"/>
      <c r="K204" s="13"/>
      <c r="L204" s="33">
        <f>+SUM(START:END!L204)</f>
        <v>0</v>
      </c>
      <c r="M204" s="41"/>
      <c r="N204" s="59">
        <f t="shared" si="73"/>
        <v>0</v>
      </c>
      <c r="O204" s="41"/>
      <c r="P204" s="13"/>
      <c r="Q204" s="33">
        <f>+SUM(START:END!Q204)</f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60"/>
        <v>ServiceSalaires en absences</v>
      </c>
      <c r="B205" s="11" t="s">
        <v>78</v>
      </c>
      <c r="C205" s="103" t="s">
        <v>44</v>
      </c>
      <c r="D205" s="81"/>
      <c r="E205" s="13"/>
      <c r="F205" s="30">
        <f>+SUM(START:END!F205)</f>
        <v>23041.601123512817</v>
      </c>
      <c r="G205" s="83"/>
      <c r="H205" s="13"/>
      <c r="I205" s="30">
        <f>+SUM(START:END!I205)</f>
        <v>0</v>
      </c>
      <c r="J205" s="41"/>
      <c r="K205" s="13"/>
      <c r="L205" s="33">
        <f>+SUM(START:END!L205)</f>
        <v>18492.150000000001</v>
      </c>
      <c r="M205" s="41"/>
      <c r="N205" s="59">
        <f t="shared" si="73"/>
        <v>-4549.4511235128157</v>
      </c>
      <c r="O205" s="41"/>
      <c r="P205" s="13"/>
      <c r="Q205" s="33">
        <f>+SUM(START:END!Q205)</f>
        <v>22735.09</v>
      </c>
      <c r="R205" s="41"/>
      <c r="S205" s="85">
        <f>L205-Q205</f>
        <v>-4242.9399999999987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60"/>
        <v>ServiceDéduction à la source</v>
      </c>
      <c r="B206" s="11" t="s">
        <v>78</v>
      </c>
      <c r="C206" s="102" t="s">
        <v>45</v>
      </c>
      <c r="D206" s="104"/>
      <c r="E206" s="105"/>
      <c r="F206" s="55">
        <f>+SUM(START:END!F206)</f>
        <v>30241.742982613367</v>
      </c>
      <c r="G206" s="106"/>
      <c r="H206" s="105"/>
      <c r="I206" s="55">
        <f>+SUM(START:END!I206)</f>
        <v>0</v>
      </c>
      <c r="J206" s="107"/>
      <c r="K206" s="105"/>
      <c r="L206" s="108">
        <f>+SUM(START:END!L206)</f>
        <v>31278.23</v>
      </c>
      <c r="M206" s="107"/>
      <c r="N206" s="109">
        <f t="shared" si="73"/>
        <v>1036.4870173866329</v>
      </c>
      <c r="O206" s="107"/>
      <c r="P206" s="105"/>
      <c r="Q206" s="108">
        <f>+SUM(START:END!Q206)</f>
        <v>30001.74</v>
      </c>
      <c r="R206" s="107"/>
      <c r="S206" s="110">
        <f t="shared" si="74"/>
        <v>1276.489999999998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60"/>
        <v>ServiceBénéfices marginaux</v>
      </c>
      <c r="B207" s="11" t="s">
        <v>78</v>
      </c>
      <c r="C207" s="102" t="s">
        <v>46</v>
      </c>
      <c r="D207" s="81"/>
      <c r="E207" s="13"/>
      <c r="F207" s="30">
        <f>+SUM(START:END!F207)</f>
        <v>13854.181652779804</v>
      </c>
      <c r="G207" s="83"/>
      <c r="H207" s="13"/>
      <c r="I207" s="30">
        <f>+SUM(START:END!I207)</f>
        <v>0</v>
      </c>
      <c r="J207" s="41"/>
      <c r="K207" s="13"/>
      <c r="L207" s="33">
        <f>+SUM(START:END!L207)</f>
        <v>12203.650000000001</v>
      </c>
      <c r="M207" s="41"/>
      <c r="N207" s="59">
        <f t="shared" si="73"/>
        <v>-1650.5316527798022</v>
      </c>
      <c r="O207" s="41"/>
      <c r="P207" s="13"/>
      <c r="Q207" s="33">
        <f>+SUM(START:END!Q207)</f>
        <v>13607.79</v>
      </c>
      <c r="R207" s="41"/>
      <c r="S207" s="85">
        <f t="shared" si="74"/>
        <v>-1404.1399999999994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60"/>
        <v>ServiceCsst</v>
      </c>
      <c r="B208" s="11" t="s">
        <v>78</v>
      </c>
      <c r="C208" s="102" t="s">
        <v>47</v>
      </c>
      <c r="D208" s="81"/>
      <c r="E208" s="13"/>
      <c r="F208" s="30">
        <f>+SUM(START:END!F208)</f>
        <v>3128.363599014795</v>
      </c>
      <c r="G208" s="83"/>
      <c r="H208" s="13"/>
      <c r="I208" s="30">
        <f>+SUM(START:END!I208)</f>
        <v>0</v>
      </c>
      <c r="J208" s="41"/>
      <c r="K208" s="13"/>
      <c r="L208" s="33">
        <f>+SUM(START:END!L208)</f>
        <v>3827.13</v>
      </c>
      <c r="M208" s="483"/>
      <c r="N208" s="146">
        <f t="shared" si="73"/>
        <v>698.76640098520511</v>
      </c>
      <c r="O208" s="483"/>
      <c r="P208" s="484"/>
      <c r="Q208" s="22">
        <f>+SUM(START:END!Q208)</f>
        <v>3188.69</v>
      </c>
      <c r="R208" s="483"/>
      <c r="S208" s="485">
        <f t="shared" si="74"/>
        <v>638.44000000000005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60"/>
        <v>Service[...]</v>
      </c>
      <c r="B209" s="11" t="s">
        <v>78</v>
      </c>
      <c r="C209" s="29" t="s">
        <v>19</v>
      </c>
      <c r="D209" s="87"/>
      <c r="E209" s="111"/>
      <c r="F209" s="30">
        <f>+SUM(START:END!F209)</f>
        <v>0</v>
      </c>
      <c r="G209" s="89"/>
      <c r="H209" s="111"/>
      <c r="I209" s="30">
        <f>+SUM(START:END!I209)</f>
        <v>0</v>
      </c>
      <c r="J209" s="23"/>
      <c r="K209" s="111"/>
      <c r="L209" s="33">
        <f>+SUM(START:END!L209)</f>
        <v>0</v>
      </c>
      <c r="M209" s="23"/>
      <c r="N209" s="91">
        <f t="shared" si="73"/>
        <v>0</v>
      </c>
      <c r="O209" s="23"/>
      <c r="P209" s="111"/>
      <c r="Q209" s="33">
        <f>+SUM(START:END!Q209)</f>
        <v>0</v>
      </c>
      <c r="R209" s="23"/>
      <c r="S209" s="92">
        <f t="shared" si="74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60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0.45100108393334254</v>
      </c>
      <c r="F210" s="96">
        <f>+SUM(F198:F209)</f>
        <v>167985.80571301241</v>
      </c>
      <c r="G210" s="97" t="s">
        <v>92</v>
      </c>
      <c r="H210" s="95" t="e">
        <f>I210/I$194</f>
        <v>#DIV/0!</v>
      </c>
      <c r="I210" s="96">
        <f>+SUM(I198:I209)</f>
        <v>0</v>
      </c>
      <c r="J210" s="97" t="s">
        <v>92</v>
      </c>
      <c r="K210" s="95">
        <f>L210/L$194</f>
        <v>0.50805097095427787</v>
      </c>
      <c r="L210" s="96">
        <f>+SUM(L198:L209)</f>
        <v>169593.15000000002</v>
      </c>
      <c r="M210" s="147"/>
      <c r="N210" s="113">
        <f t="shared" si="73"/>
        <v>1607.3442869876162</v>
      </c>
      <c r="O210" s="97" t="s">
        <v>92</v>
      </c>
      <c r="P210" s="95">
        <f>Q210/Q$194</f>
        <v>0.47053922183533858</v>
      </c>
      <c r="Q210" s="96">
        <f>+SUM(Q198:Q209)</f>
        <v>158708.32</v>
      </c>
      <c r="R210" s="147"/>
      <c r="S210" s="114">
        <f t="shared" si="74"/>
        <v>10884.830000000016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60"/>
        <v>ServicePublicité 2</v>
      </c>
      <c r="B211" s="11" t="s">
        <v>78</v>
      </c>
      <c r="C211" s="29" t="s">
        <v>49</v>
      </c>
      <c r="D211" s="81"/>
      <c r="E211" s="13"/>
      <c r="F211" s="30">
        <f>+SUM(START:END!F211)</f>
        <v>14426.326904368525</v>
      </c>
      <c r="G211" s="83"/>
      <c r="H211" s="13"/>
      <c r="I211" s="30">
        <f>+SUM(START:END!I211)</f>
        <v>0</v>
      </c>
      <c r="J211" s="41"/>
      <c r="K211" s="13"/>
      <c r="L211" s="33">
        <f>+SUM(START:END!L211)</f>
        <v>18609.41</v>
      </c>
      <c r="M211" s="41"/>
      <c r="N211" s="59">
        <f t="shared" si="73"/>
        <v>4183.0830956314749</v>
      </c>
      <c r="O211" s="41"/>
      <c r="P211" s="13"/>
      <c r="Q211" s="33">
        <f>+SUM(START:END!Q211)</f>
        <v>18074.830000000002</v>
      </c>
      <c r="R211" s="41"/>
      <c r="S211" s="85">
        <f t="shared" si="74"/>
        <v>534.57999999999811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60"/>
        <v>ServiceService gratuit 2</v>
      </c>
      <c r="B212" s="11" t="s">
        <v>78</v>
      </c>
      <c r="C212" s="29" t="s">
        <v>50</v>
      </c>
      <c r="D212" s="81"/>
      <c r="E212" s="13"/>
      <c r="F212" s="30">
        <f>+SUM(START:END!F212)</f>
        <v>11100</v>
      </c>
      <c r="G212" s="83"/>
      <c r="H212" s="13"/>
      <c r="I212" s="30">
        <f>+SUM(START:END!I212)</f>
        <v>0</v>
      </c>
      <c r="J212" s="41"/>
      <c r="K212" s="13"/>
      <c r="L212" s="33">
        <f>+SUM(START:END!L212)</f>
        <v>9217.4399999999987</v>
      </c>
      <c r="M212" s="41"/>
      <c r="N212" s="59">
        <f t="shared" si="73"/>
        <v>-1882.5600000000013</v>
      </c>
      <c r="O212" s="41"/>
      <c r="P212" s="13"/>
      <c r="Q212" s="33">
        <f>+SUM(START:END!Q212)</f>
        <v>13963.069999999989</v>
      </c>
      <c r="R212" s="41"/>
      <c r="S212" s="85">
        <f t="shared" si="74"/>
        <v>-4745.6299999999901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60"/>
        <v>ServiceFrais véhicules de cie</v>
      </c>
      <c r="B213" s="11" t="s">
        <v>78</v>
      </c>
      <c r="C213" s="86" t="s">
        <v>51</v>
      </c>
      <c r="D213" s="87"/>
      <c r="E213" s="111"/>
      <c r="F213" s="22">
        <f>+SUM(START:END!F213)</f>
        <v>14468.125000000002</v>
      </c>
      <c r="G213" s="89"/>
      <c r="H213" s="111"/>
      <c r="I213" s="22">
        <f>+SUM(START:END!I213)</f>
        <v>0</v>
      </c>
      <c r="J213" s="23"/>
      <c r="K213" s="111"/>
      <c r="L213" s="33">
        <f>+SUM(START:END!L213)</f>
        <v>15570.48</v>
      </c>
      <c r="M213" s="23"/>
      <c r="N213" s="91">
        <f t="shared" si="73"/>
        <v>1102.3549999999977</v>
      </c>
      <c r="O213" s="23"/>
      <c r="P213" s="111"/>
      <c r="Q213" s="33">
        <f>+SUM(START:END!Q213)</f>
        <v>15700.04</v>
      </c>
      <c r="R213" s="23"/>
      <c r="S213" s="92">
        <f t="shared" si="74"/>
        <v>-129.56000000000131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60"/>
        <v>ServiceInformatique</v>
      </c>
      <c r="B214" s="11" t="s">
        <v>78</v>
      </c>
      <c r="C214" s="29" t="s">
        <v>52</v>
      </c>
      <c r="D214" s="81"/>
      <c r="E214" s="13"/>
      <c r="F214" s="30">
        <f>+SUM(START:END!F214)</f>
        <v>16581.074999999997</v>
      </c>
      <c r="G214" s="83"/>
      <c r="H214" s="13"/>
      <c r="I214" s="30">
        <f>+SUM(START:END!I214)</f>
        <v>0</v>
      </c>
      <c r="J214" s="41"/>
      <c r="K214" s="13"/>
      <c r="L214" s="108">
        <f>+SUM(START:END!L214)</f>
        <v>16539.650000000001</v>
      </c>
      <c r="M214" s="41"/>
      <c r="N214" s="59">
        <f t="shared" si="73"/>
        <v>-41.424999999995634</v>
      </c>
      <c r="O214" s="41"/>
      <c r="P214" s="13"/>
      <c r="Q214" s="108">
        <f>+SUM(START:END!Q214)</f>
        <v>14781.509999999998</v>
      </c>
      <c r="R214" s="41"/>
      <c r="S214" s="85">
        <f t="shared" si="74"/>
        <v>1758.1400000000031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60"/>
        <v>ServiceFrais de déplacement</v>
      </c>
      <c r="B215" s="11" t="s">
        <v>78</v>
      </c>
      <c r="C215" s="29" t="s">
        <v>53</v>
      </c>
      <c r="D215" s="81"/>
      <c r="E215" s="13"/>
      <c r="F215" s="30">
        <f>+SUM(START:END!F215)</f>
        <v>1233.9000000000001</v>
      </c>
      <c r="G215" s="83"/>
      <c r="H215" s="13"/>
      <c r="I215" s="30">
        <f>+SUM(START:END!I215)</f>
        <v>0</v>
      </c>
      <c r="J215" s="41"/>
      <c r="K215" s="13"/>
      <c r="L215" s="33">
        <f>+SUM(START:END!L215)</f>
        <v>1544.78</v>
      </c>
      <c r="M215" s="41"/>
      <c r="N215" s="59">
        <f t="shared" si="73"/>
        <v>310.87999999999988</v>
      </c>
      <c r="O215" s="41"/>
      <c r="P215" s="13"/>
      <c r="Q215" s="33">
        <f>+SUM(START:END!Q215)</f>
        <v>951.41</v>
      </c>
      <c r="R215" s="41"/>
      <c r="S215" s="85">
        <f t="shared" si="74"/>
        <v>593.37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60"/>
        <v>ServiceServices extérieurs</v>
      </c>
      <c r="B216" s="11" t="s">
        <v>78</v>
      </c>
      <c r="C216" s="86" t="s">
        <v>54</v>
      </c>
      <c r="D216" s="87"/>
      <c r="E216" s="111"/>
      <c r="F216" s="22">
        <f>+SUM(START:END!F216)</f>
        <v>16356.675000000001</v>
      </c>
      <c r="G216" s="89"/>
      <c r="H216" s="111"/>
      <c r="I216" s="22">
        <f>+SUM(START:END!I216)</f>
        <v>0</v>
      </c>
      <c r="J216" s="23"/>
      <c r="K216" s="111"/>
      <c r="L216" s="33">
        <f>+SUM(START:END!L216)</f>
        <v>19094.2</v>
      </c>
      <c r="M216" s="23"/>
      <c r="N216" s="91">
        <f t="shared" si="73"/>
        <v>2737.5249999999996</v>
      </c>
      <c r="O216" s="23"/>
      <c r="P216" s="111"/>
      <c r="Q216" s="33">
        <f>+SUM(START:END!Q216)</f>
        <v>18414.579999999998</v>
      </c>
      <c r="R216" s="23"/>
      <c r="S216" s="92">
        <f t="shared" si="74"/>
        <v>679.62000000000262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si="60"/>
        <v>ServiceFournitures d'atelier</v>
      </c>
      <c r="B217" s="11" t="s">
        <v>78</v>
      </c>
      <c r="C217" s="29" t="s">
        <v>93</v>
      </c>
      <c r="D217" s="81"/>
      <c r="E217" s="13"/>
      <c r="F217" s="30">
        <f>+SUM(START:END!F217)</f>
        <v>0</v>
      </c>
      <c r="G217" s="83"/>
      <c r="H217" s="13"/>
      <c r="I217" s="30">
        <f>+SUM(START:END!I217)</f>
        <v>0</v>
      </c>
      <c r="J217" s="41"/>
      <c r="K217" s="13"/>
      <c r="L217" s="108">
        <f>+SUM(START:END!L217)</f>
        <v>0</v>
      </c>
      <c r="M217" s="41"/>
      <c r="N217" s="59">
        <f t="shared" si="73"/>
        <v>0</v>
      </c>
      <c r="O217" s="41"/>
      <c r="P217" s="13"/>
      <c r="Q217" s="108">
        <f>+SUM(START:END!Q217)</f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si="60"/>
        <v>ServiceFournitures autres</v>
      </c>
      <c r="B218" s="11" t="s">
        <v>78</v>
      </c>
      <c r="C218" s="29" t="s">
        <v>55</v>
      </c>
      <c r="D218" s="81"/>
      <c r="E218" s="13"/>
      <c r="F218" s="30">
        <f>+SUM(START:END!F218)</f>
        <v>3635.3413654618471</v>
      </c>
      <c r="G218" s="83"/>
      <c r="H218" s="13"/>
      <c r="I218" s="30">
        <f>+SUM(START:END!I218)</f>
        <v>0</v>
      </c>
      <c r="J218" s="41"/>
      <c r="K218" s="13"/>
      <c r="L218" s="33">
        <f>+SUM(START:END!L218)</f>
        <v>1400.65</v>
      </c>
      <c r="M218" s="41"/>
      <c r="N218" s="59">
        <f t="shared" si="73"/>
        <v>-2234.691365461847</v>
      </c>
      <c r="O218" s="41"/>
      <c r="P218" s="13"/>
      <c r="Q218" s="33">
        <f>+SUM(START:END!Q218)</f>
        <v>3954.58</v>
      </c>
      <c r="R218" s="41"/>
      <c r="S218" s="85">
        <f t="shared" si="74"/>
        <v>-2553.9299999999998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60"/>
        <v>ServiceUniformes</v>
      </c>
      <c r="B219" s="11" t="s">
        <v>78</v>
      </c>
      <c r="C219" s="29" t="s">
        <v>56</v>
      </c>
      <c r="D219" s="81"/>
      <c r="E219" s="13"/>
      <c r="F219" s="30">
        <f>+SUM(START:END!F219)</f>
        <v>2850</v>
      </c>
      <c r="G219" s="83"/>
      <c r="H219" s="13"/>
      <c r="I219" s="30">
        <f>+SUM(START:END!I219)</f>
        <v>0</v>
      </c>
      <c r="J219" s="41"/>
      <c r="K219" s="13"/>
      <c r="L219" s="33">
        <f>+SUM(START:END!L219)</f>
        <v>2938.06</v>
      </c>
      <c r="M219" s="41"/>
      <c r="N219" s="59">
        <f t="shared" si="73"/>
        <v>88.059999999999945</v>
      </c>
      <c r="O219" s="41"/>
      <c r="P219" s="13"/>
      <c r="Q219" s="33">
        <f>+SUM(START:END!Q219)</f>
        <v>3138.5099999999998</v>
      </c>
      <c r="R219" s="41"/>
      <c r="S219" s="85">
        <f t="shared" si="74"/>
        <v>-200.44999999999982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60"/>
        <v>ServicePapeterie</v>
      </c>
      <c r="B220" s="11" t="s">
        <v>78</v>
      </c>
      <c r="C220" s="29" t="s">
        <v>57</v>
      </c>
      <c r="D220" s="81"/>
      <c r="E220" s="13"/>
      <c r="F220" s="30">
        <f>+SUM(START:END!F220)</f>
        <v>1181.25</v>
      </c>
      <c r="G220" s="83"/>
      <c r="H220" s="13"/>
      <c r="I220" s="30">
        <f>+SUM(START:END!I220)</f>
        <v>0</v>
      </c>
      <c r="J220" s="41"/>
      <c r="K220" s="13"/>
      <c r="L220" s="32">
        <f>+SUM(START:END!L220)</f>
        <v>1059.6100000000001</v>
      </c>
      <c r="M220" s="41"/>
      <c r="N220" s="59">
        <f t="shared" si="73"/>
        <v>-121.63999999999987</v>
      </c>
      <c r="O220" s="41"/>
      <c r="P220" s="13"/>
      <c r="Q220" s="32">
        <f>+SUM(START:END!Q220)</f>
        <v>1221.78</v>
      </c>
      <c r="R220" s="41"/>
      <c r="S220" s="85">
        <f t="shared" si="74"/>
        <v>-162.16999999999985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60"/>
        <v>ServiceTéléphone</v>
      </c>
      <c r="B221" s="11" t="s">
        <v>78</v>
      </c>
      <c r="C221" s="29" t="s">
        <v>58</v>
      </c>
      <c r="D221" s="81"/>
      <c r="E221" s="13"/>
      <c r="F221" s="30">
        <f>+SUM(START:END!F221)</f>
        <v>333.6</v>
      </c>
      <c r="G221" s="83"/>
      <c r="H221" s="13"/>
      <c r="I221" s="30">
        <f>+SUM(START:END!I221)</f>
        <v>0</v>
      </c>
      <c r="J221" s="41"/>
      <c r="K221" s="13"/>
      <c r="L221" s="33">
        <f>+SUM(START:END!L221)</f>
        <v>387.01</v>
      </c>
      <c r="M221" s="41"/>
      <c r="N221" s="59">
        <f t="shared" si="73"/>
        <v>53.409999999999968</v>
      </c>
      <c r="O221" s="41"/>
      <c r="P221" s="13"/>
      <c r="Q221" s="33">
        <f>+SUM(START:END!Q221)</f>
        <v>307.65999999999997</v>
      </c>
      <c r="R221" s="41"/>
      <c r="S221" s="85">
        <f t="shared" si="74"/>
        <v>79.350000000000023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60"/>
        <v>ServiceFrais postaux</v>
      </c>
      <c r="B222" s="11" t="s">
        <v>78</v>
      </c>
      <c r="C222" s="29" t="s">
        <v>59</v>
      </c>
      <c r="D222" s="81"/>
      <c r="E222" s="13"/>
      <c r="F222" s="30">
        <f>+SUM(START:END!F222)</f>
        <v>337.5</v>
      </c>
      <c r="G222" s="83"/>
      <c r="H222" s="13"/>
      <c r="I222" s="30">
        <f>+SUM(START:END!I222)</f>
        <v>0</v>
      </c>
      <c r="J222" s="41"/>
      <c r="K222" s="13"/>
      <c r="L222" s="33">
        <f>+SUM(START:END!L222)</f>
        <v>486.49</v>
      </c>
      <c r="M222" s="41"/>
      <c r="N222" s="59">
        <f t="shared" si="73"/>
        <v>148.99</v>
      </c>
      <c r="O222" s="41"/>
      <c r="P222" s="13"/>
      <c r="Q222" s="33">
        <f>+SUM(START:END!Q222)</f>
        <v>370.05</v>
      </c>
      <c r="R222" s="41"/>
      <c r="S222" s="85">
        <f t="shared" si="74"/>
        <v>116.44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60"/>
        <v>ServiceDivers</v>
      </c>
      <c r="B223" s="11" t="s">
        <v>78</v>
      </c>
      <c r="C223" s="29" t="s">
        <v>60</v>
      </c>
      <c r="D223" s="81"/>
      <c r="E223" s="13"/>
      <c r="F223" s="30">
        <f>+SUM(START:END!F223)</f>
        <v>1254.1500000000001</v>
      </c>
      <c r="G223" s="83"/>
      <c r="H223" s="13"/>
      <c r="I223" s="30">
        <f>+SUM(START:END!I223)</f>
        <v>0</v>
      </c>
      <c r="J223" s="41"/>
      <c r="K223" s="13"/>
      <c r="L223" s="33">
        <f>+SUM(START:END!L223)</f>
        <v>1067.21</v>
      </c>
      <c r="M223" s="41"/>
      <c r="N223" s="59">
        <f t="shared" si="73"/>
        <v>-186.94000000000005</v>
      </c>
      <c r="O223" s="41"/>
      <c r="P223" s="13"/>
      <c r="Q223" s="33">
        <f>+SUM(START:END!Q223)</f>
        <v>1219.71</v>
      </c>
      <c r="R223" s="41"/>
      <c r="S223" s="85">
        <f t="shared" si="74"/>
        <v>-152.5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60"/>
        <v>ServiceFormation</v>
      </c>
      <c r="B224" s="11" t="s">
        <v>78</v>
      </c>
      <c r="C224" s="29" t="s">
        <v>61</v>
      </c>
      <c r="D224" s="81"/>
      <c r="E224" s="13"/>
      <c r="F224" s="30">
        <f>+SUM(START:END!F224)</f>
        <v>5185.7457200000008</v>
      </c>
      <c r="G224" s="83"/>
      <c r="H224" s="13"/>
      <c r="I224" s="30">
        <f>+SUM(START:END!I224)</f>
        <v>0</v>
      </c>
      <c r="J224" s="41"/>
      <c r="K224" s="13"/>
      <c r="L224" s="33">
        <f>+SUM(START:END!L224)</f>
        <v>4763.41</v>
      </c>
      <c r="M224" s="41"/>
      <c r="N224" s="59">
        <f t="shared" si="73"/>
        <v>-422.33572000000095</v>
      </c>
      <c r="O224" s="41"/>
      <c r="P224" s="13"/>
      <c r="Q224" s="33">
        <f>+SUM(START:END!Q224)</f>
        <v>5932.99</v>
      </c>
      <c r="R224" s="41"/>
      <c r="S224" s="85">
        <f t="shared" si="74"/>
        <v>-1169.58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60"/>
        <v>ServiceFrais bancaires</v>
      </c>
      <c r="B225" s="11" t="s">
        <v>78</v>
      </c>
      <c r="C225" s="29" t="s">
        <v>62</v>
      </c>
      <c r="D225" s="81"/>
      <c r="E225" s="13"/>
      <c r="F225" s="30">
        <f>+SUM(START:END!F225)</f>
        <v>4947.4911556381694</v>
      </c>
      <c r="G225" s="83"/>
      <c r="H225" s="13"/>
      <c r="I225" s="30">
        <f>+SUM(START:END!I225)</f>
        <v>0</v>
      </c>
      <c r="J225" s="41"/>
      <c r="K225" s="13"/>
      <c r="L225" s="33">
        <f>+SUM(START:END!L225)</f>
        <v>5479.3899999999994</v>
      </c>
      <c r="M225" s="41"/>
      <c r="N225" s="59">
        <f t="shared" si="73"/>
        <v>531.89884436183002</v>
      </c>
      <c r="O225" s="41"/>
      <c r="P225" s="13"/>
      <c r="Q225" s="33">
        <f>+SUM(START:END!Q225)</f>
        <v>4810.7300000000005</v>
      </c>
      <c r="R225" s="41"/>
      <c r="S225" s="85">
        <f t="shared" si="74"/>
        <v>668.65999999999894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60"/>
        <v>Service[...]</v>
      </c>
      <c r="B226" s="11" t="s">
        <v>78</v>
      </c>
      <c r="C226" s="29" t="s">
        <v>19</v>
      </c>
      <c r="D226" s="81"/>
      <c r="E226" s="13"/>
      <c r="F226" s="30">
        <f>+SUM(START:END!F226)</f>
        <v>0</v>
      </c>
      <c r="G226" s="83"/>
      <c r="H226" s="13"/>
      <c r="I226" s="30">
        <f>+SUM(START:END!I226)</f>
        <v>0</v>
      </c>
      <c r="J226" s="41"/>
      <c r="K226" s="13"/>
      <c r="L226" s="33">
        <f>+SUM(START:END!L226)</f>
        <v>0</v>
      </c>
      <c r="M226" s="41"/>
      <c r="N226" s="59">
        <f t="shared" si="73"/>
        <v>0</v>
      </c>
      <c r="O226" s="41"/>
      <c r="P226" s="13"/>
      <c r="Q226" s="33">
        <f>+SUM(START:END!Q226)</f>
        <v>0</v>
      </c>
      <c r="R226" s="41"/>
      <c r="S226" s="85">
        <f t="shared" si="74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B227" s="11" t="s">
        <v>78</v>
      </c>
      <c r="C227" s="29" t="s">
        <v>19</v>
      </c>
      <c r="D227" s="81"/>
      <c r="E227" s="13"/>
      <c r="F227" s="30">
        <f>+SUM(START:END!F227)</f>
        <v>0</v>
      </c>
      <c r="G227" s="83"/>
      <c r="H227" s="13"/>
      <c r="I227" s="30">
        <f>+SUM(START:END!I227)</f>
        <v>0</v>
      </c>
      <c r="J227" s="41"/>
      <c r="K227" s="13"/>
      <c r="L227" s="33">
        <f>+SUM(START:END!L227)</f>
        <v>0</v>
      </c>
      <c r="M227" s="41"/>
      <c r="N227" s="59">
        <f t="shared" si="73"/>
        <v>0</v>
      </c>
      <c r="O227" s="41"/>
      <c r="P227" s="13"/>
      <c r="Q227" s="33">
        <f>+SUM(START:END!Q227)</f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si="60"/>
        <v>Service[...]</v>
      </c>
      <c r="B228" s="11" t="s">
        <v>78</v>
      </c>
      <c r="C228" s="29" t="s">
        <v>19</v>
      </c>
      <c r="D228" s="81"/>
      <c r="E228" s="13"/>
      <c r="F228" s="30">
        <f>+SUM(START:END!F228)</f>
        <v>0</v>
      </c>
      <c r="G228" s="83"/>
      <c r="H228" s="13"/>
      <c r="I228" s="30">
        <f>+SUM(START:END!I228)</f>
        <v>0</v>
      </c>
      <c r="J228" s="41"/>
      <c r="K228" s="13"/>
      <c r="L228" s="33">
        <f>+SUM(START:END!L228)</f>
        <v>0</v>
      </c>
      <c r="M228" s="41"/>
      <c r="N228" s="59">
        <f t="shared" si="73"/>
        <v>0</v>
      </c>
      <c r="O228" s="41"/>
      <c r="P228" s="13"/>
      <c r="Q228" s="33">
        <f>+SUM(START:END!Q228)</f>
        <v>0</v>
      </c>
      <c r="R228" s="41"/>
      <c r="S228" s="85">
        <f t="shared" si="74"/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0.25207501215745243</v>
      </c>
      <c r="F229" s="96">
        <f>+SUM(F211:F228)</f>
        <v>93891.180145468548</v>
      </c>
      <c r="G229" s="97" t="s">
        <v>92</v>
      </c>
      <c r="H229" s="95" t="e">
        <f>I229/I$194</f>
        <v>#DIV/0!</v>
      </c>
      <c r="I229" s="96">
        <f>+SUM(I211:I228)</f>
        <v>0</v>
      </c>
      <c r="J229" s="97" t="s">
        <v>92</v>
      </c>
      <c r="K229" s="95">
        <f>L229/L$194</f>
        <v>0.29405173803438467</v>
      </c>
      <c r="L229" s="96">
        <f>+SUM(L211:L228)</f>
        <v>98157.790000000008</v>
      </c>
      <c r="M229" s="100"/>
      <c r="N229" s="96">
        <f t="shared" si="73"/>
        <v>4266.6098545314599</v>
      </c>
      <c r="O229" s="97" t="s">
        <v>92</v>
      </c>
      <c r="P229" s="95">
        <f>Q229/Q$194</f>
        <v>0.30490484591745332</v>
      </c>
      <c r="Q229" s="96">
        <f>+SUM(Q211:Q228)</f>
        <v>102841.45</v>
      </c>
      <c r="R229" s="100"/>
      <c r="S229" s="101">
        <f>L229-Q229</f>
        <v>-4683.6599999999889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0.70307609609079502</v>
      </c>
      <c r="F231" s="96">
        <f>F210+F229</f>
        <v>261876.98585848097</v>
      </c>
      <c r="G231" s="97" t="s">
        <v>38</v>
      </c>
      <c r="H231" s="95" t="e">
        <f>I231/I$194</f>
        <v>#DIV/0!</v>
      </c>
      <c r="I231" s="96">
        <f>I210+I229</f>
        <v>0</v>
      </c>
      <c r="J231" s="97" t="s">
        <v>38</v>
      </c>
      <c r="K231" s="95">
        <f>L231/L$194</f>
        <v>0.80210270898866265</v>
      </c>
      <c r="L231" s="96">
        <f>L210+L229</f>
        <v>267750.94000000006</v>
      </c>
      <c r="M231" s="100"/>
      <c r="N231" s="113">
        <f>L231-F231</f>
        <v>5873.9541415190906</v>
      </c>
      <c r="O231" s="97" t="s">
        <v>38</v>
      </c>
      <c r="P231" s="95">
        <f>Q231/Q$194</f>
        <v>0.77544406775279195</v>
      </c>
      <c r="Q231" s="96">
        <f>Q210+Q229</f>
        <v>261549.77000000002</v>
      </c>
      <c r="R231" s="100"/>
      <c r="S231" s="114">
        <f>L231-Q231</f>
        <v>6201.1700000000419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110596.18925663811</v>
      </c>
      <c r="G233" s="153"/>
      <c r="H233" s="125"/>
      <c r="I233" s="127">
        <f>I194-I231</f>
        <v>0</v>
      </c>
      <c r="J233" s="154"/>
      <c r="K233" s="126"/>
      <c r="L233" s="127">
        <f>L194-L231</f>
        <v>66060.349999999919</v>
      </c>
      <c r="M233" s="154"/>
      <c r="N233" s="127">
        <f>L233-F233</f>
        <v>-44535.839256638195</v>
      </c>
      <c r="O233" s="154"/>
      <c r="P233" s="126"/>
      <c r="Q233" s="127">
        <f>Q194-Q231</f>
        <v>75740.539999999746</v>
      </c>
      <c r="R233" s="154"/>
      <c r="S233" s="129">
        <f>L233-Q233</f>
        <v>-9680.1899999998277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  Q2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63" t="s">
        <v>5</v>
      </c>
      <c r="E238" s="464"/>
      <c r="F238" s="465"/>
      <c r="G238" s="466" t="s">
        <v>71</v>
      </c>
      <c r="H238" s="464"/>
      <c r="I238" s="465"/>
      <c r="J238" s="466" t="s">
        <v>7</v>
      </c>
      <c r="K238" s="464"/>
      <c r="L238" s="465"/>
      <c r="M238" s="466" t="s">
        <v>213</v>
      </c>
      <c r="N238" s="465"/>
      <c r="O238" s="463" t="s">
        <v>8</v>
      </c>
      <c r="P238" s="464"/>
      <c r="Q238" s="465"/>
      <c r="R238" s="470" t="s">
        <v>214</v>
      </c>
      <c r="S238" s="471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75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 t="s">
        <v>39</v>
      </c>
      <c r="H239" s="80" t="s">
        <v>79</v>
      </c>
      <c r="I239" s="134" t="s">
        <v>12</v>
      </c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219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75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75"/>
        <v>CarrosserieM/O Sous-traitement</v>
      </c>
      <c r="B241" s="11" t="s">
        <v>94</v>
      </c>
      <c r="C241" s="29" t="s">
        <v>95</v>
      </c>
      <c r="D241" s="80">
        <f>+SUM(START:END!D241)</f>
        <v>0</v>
      </c>
      <c r="E241" s="82">
        <f>+SUM(START:END!E241)</f>
        <v>9675.3569242085523</v>
      </c>
      <c r="F241" s="82">
        <f>+SUM(START:END!F241)</f>
        <v>1741.5642463575393</v>
      </c>
      <c r="G241" s="156">
        <f>+SUM(START:END!G241)</f>
        <v>0</v>
      </c>
      <c r="H241" s="82">
        <f>+SUM(START:END!H241)</f>
        <v>0</v>
      </c>
      <c r="I241" s="82">
        <f>+SUM(START:END!I241)</f>
        <v>0</v>
      </c>
      <c r="J241" s="60">
        <f>+SUM(START:END!J241)</f>
        <v>22</v>
      </c>
      <c r="K241" s="30">
        <f>+SUM(START:END!K241)</f>
        <v>8453.15</v>
      </c>
      <c r="L241" s="33">
        <f>+SUM(START:END!L241)</f>
        <v>1029.5299999999993</v>
      </c>
      <c r="M241" s="157">
        <f>IFERROR((K241-E241)/E241,0)</f>
        <v>-0.12632163689491277</v>
      </c>
      <c r="N241" s="59">
        <f>L241-F241</f>
        <v>-712.03424635754004</v>
      </c>
      <c r="O241" s="60">
        <f>+SUM(START:END!O241)</f>
        <v>30</v>
      </c>
      <c r="P241" s="30">
        <f>+SUM(START:END!P241)</f>
        <v>4892.05</v>
      </c>
      <c r="Q241" s="33">
        <f>+SUM(START:END!Q241)</f>
        <v>633.15999999999804</v>
      </c>
      <c r="R241" s="157">
        <f>IF(O241=0,0,J241/O241)</f>
        <v>0.73333333333333328</v>
      </c>
      <c r="S241" s="85">
        <f>L241-Q241</f>
        <v>396.37000000000126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75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>
        <f>IFERROR(I241/H241,0)</f>
        <v>0</v>
      </c>
      <c r="J242" s="60"/>
      <c r="K242" s="13"/>
      <c r="L242" s="158">
        <f>IFERROR(L241/K241,0)</f>
        <v>0.12179246789658285</v>
      </c>
      <c r="M242" s="157"/>
      <c r="N242" s="486">
        <f>IFERROR(N241/M241,0)</f>
        <v>5636.6768501415381</v>
      </c>
      <c r="O242" s="60"/>
      <c r="P242" s="13"/>
      <c r="Q242" s="158">
        <f>IFERROR(Q241/P241,0)</f>
        <v>0.12942631412189123</v>
      </c>
      <c r="R242" s="60"/>
      <c r="S242" s="85">
        <f>IFERROR(S241/R241,0)</f>
        <v>540.50454545454716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75"/>
        <v>Carrosserie</v>
      </c>
      <c r="B243" s="11" t="s">
        <v>94</v>
      </c>
      <c r="C243" s="29"/>
      <c r="D243" s="80"/>
      <c r="E243" s="207"/>
      <c r="F243" s="487"/>
      <c r="G243" s="135"/>
      <c r="H243" s="207"/>
      <c r="I243" s="487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75"/>
        <v>CarrosserieM/O Carrosserie</v>
      </c>
      <c r="B244" s="11" t="s">
        <v>94</v>
      </c>
      <c r="C244" s="14" t="s">
        <v>96</v>
      </c>
      <c r="D244" s="105">
        <f>+SUM(START:END!D244)</f>
        <v>0</v>
      </c>
      <c r="E244" s="82">
        <f>+SUM(START:END!E244)</f>
        <v>0</v>
      </c>
      <c r="F244" s="82">
        <f>+SUM(START:END!F244)</f>
        <v>0</v>
      </c>
      <c r="G244" s="209">
        <f>+SUM(START:END!G244)</f>
        <v>0</v>
      </c>
      <c r="H244" s="82">
        <f>+SUM(START:END!H244)</f>
        <v>0</v>
      </c>
      <c r="I244" s="82">
        <f>+SUM(START:END!I244)</f>
        <v>0</v>
      </c>
      <c r="J244" s="164">
        <f>+SUM(START:END!J244)</f>
        <v>0</v>
      </c>
      <c r="K244" s="165">
        <f>+SUM(START:END!K244)</f>
        <v>0</v>
      </c>
      <c r="L244" s="108">
        <f>+SUM(START:END!L244)</f>
        <v>0</v>
      </c>
      <c r="M244" s="173">
        <f>IFERROR((K244-E244)/E244,0)</f>
        <v>0</v>
      </c>
      <c r="N244" s="109">
        <f>L244-F244</f>
        <v>0</v>
      </c>
      <c r="O244" s="164">
        <f>+SUM(START:END!O244)</f>
        <v>0</v>
      </c>
      <c r="P244" s="165">
        <f>+SUM(START:END!P244)</f>
        <v>0</v>
      </c>
      <c r="Q244" s="108">
        <f>+SUM(START:END!Q244)</f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75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 t="e">
        <f>I244/H244</f>
        <v>#DIV/0!</v>
      </c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75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75"/>
        <v>CarrosserieM/O Esthétique Carr.</v>
      </c>
      <c r="B247" s="11" t="s">
        <v>94</v>
      </c>
      <c r="C247" s="14" t="s">
        <v>97</v>
      </c>
      <c r="D247" s="163">
        <f>+SUM(START:END!D247)</f>
        <v>0</v>
      </c>
      <c r="E247" s="82">
        <f>+SUM(START:END!E247)</f>
        <v>0</v>
      </c>
      <c r="F247" s="82">
        <f>+SUM(START:END!F247)</f>
        <v>0</v>
      </c>
      <c r="G247" s="164">
        <f>+SUM(START:END!G247)</f>
        <v>0</v>
      </c>
      <c r="H247" s="82">
        <f>+SUM(START:END!H247)</f>
        <v>0</v>
      </c>
      <c r="I247" s="82">
        <f>+SUM(START:END!I247)</f>
        <v>0</v>
      </c>
      <c r="J247" s="164">
        <f>+SUM(START:END!J247)</f>
        <v>0</v>
      </c>
      <c r="K247" s="30">
        <f>+SUM(START:END!K247)</f>
        <v>0</v>
      </c>
      <c r="L247" s="33">
        <f>+SUM(START:END!L247)</f>
        <v>0</v>
      </c>
      <c r="M247" s="157">
        <f>IFERROR((K247-E247)/E247,0)</f>
        <v>0</v>
      </c>
      <c r="N247" s="109">
        <f>L247-F247</f>
        <v>0</v>
      </c>
      <c r="O247" s="164">
        <f>+SUM(START:END!O247)</f>
        <v>0</v>
      </c>
      <c r="P247" s="30">
        <f>+SUM(START:END!P247)</f>
        <v>0</v>
      </c>
      <c r="Q247" s="33">
        <f>+SUM(START:END!Q247)</f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75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 t="e">
        <f>I247/H247</f>
        <v>#DIV/0!</v>
      </c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75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75"/>
        <v>CarrosserieTotal Mécanique</v>
      </c>
      <c r="B250" s="11" t="s">
        <v>94</v>
      </c>
      <c r="C250" s="62" t="s">
        <v>91</v>
      </c>
      <c r="D250" s="63"/>
      <c r="E250" s="63">
        <f t="shared" ref="E250:F250" si="76">E244+E247+E241</f>
        <v>9675.3569242085523</v>
      </c>
      <c r="F250" s="65">
        <f t="shared" si="76"/>
        <v>1741.5642463575393</v>
      </c>
      <c r="G250" s="66"/>
      <c r="H250" s="63">
        <f t="shared" ref="H250:I250" si="77">H244+H247+H241</f>
        <v>0</v>
      </c>
      <c r="I250" s="65">
        <f t="shared" si="77"/>
        <v>0</v>
      </c>
      <c r="J250" s="66"/>
      <c r="K250" s="63">
        <f t="shared" ref="K250:L250" si="78">K244+K247+K241</f>
        <v>8453.15</v>
      </c>
      <c r="L250" s="65">
        <f t="shared" si="78"/>
        <v>1029.5299999999993</v>
      </c>
      <c r="M250" s="206">
        <f>L251-F251</f>
        <v>-5.8207532103417142E-2</v>
      </c>
      <c r="N250" s="65">
        <f>L250-F250</f>
        <v>-712.03424635754004</v>
      </c>
      <c r="O250" s="66"/>
      <c r="P250" s="63">
        <f t="shared" ref="P250:Q250" si="79">P244+P247+P241</f>
        <v>4892.05</v>
      </c>
      <c r="Q250" s="65">
        <f t="shared" si="79"/>
        <v>633.15999999999804</v>
      </c>
      <c r="R250" s="206">
        <f>L251-Q251</f>
        <v>-7.6338462253083827E-3</v>
      </c>
      <c r="S250" s="68">
        <f>L250-Q250</f>
        <v>396.37000000000126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75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 t="e">
        <f>I250/H250</f>
        <v>#DIV/0!</v>
      </c>
      <c r="J251" s="72"/>
      <c r="K251" s="70"/>
      <c r="L251" s="74">
        <f>IF(K250=0,0,L250/K250)</f>
        <v>0.12179246789658285</v>
      </c>
      <c r="M251" s="73"/>
      <c r="N251" s="74">
        <f>N250/F250</f>
        <v>-0.40884753338658114</v>
      </c>
      <c r="O251" s="72"/>
      <c r="P251" s="70"/>
      <c r="Q251" s="74">
        <f>IF(P250=0,0,Q250/P250)</f>
        <v>0.12942631412189123</v>
      </c>
      <c r="R251" s="73"/>
      <c r="S251" s="75">
        <f>IF(R250=0,0,S250/R250)</f>
        <v>-51922.712129820138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75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75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75"/>
        <v>CarrosserieSalaires cadres</v>
      </c>
      <c r="B254" s="11" t="s">
        <v>94</v>
      </c>
      <c r="C254" s="102" t="s">
        <v>40</v>
      </c>
      <c r="D254" s="13"/>
      <c r="E254" s="13"/>
      <c r="F254" s="30">
        <f>+SUM(START:END!F254)</f>
        <v>912.82500000000005</v>
      </c>
      <c r="G254" s="41"/>
      <c r="H254" s="13"/>
      <c r="I254" s="30">
        <f>+SUM(START:END!I254)</f>
        <v>0</v>
      </c>
      <c r="J254" s="41"/>
      <c r="K254" s="13"/>
      <c r="L254" s="33">
        <f>+SUM(START:END!L254)</f>
        <v>912.81</v>
      </c>
      <c r="M254" s="41"/>
      <c r="N254" s="59">
        <f t="shared" ref="N254:N284" si="80">L254-F254</f>
        <v>-1.5000000000100044E-2</v>
      </c>
      <c r="O254" s="41"/>
      <c r="P254" s="13"/>
      <c r="Q254" s="33">
        <f>+SUM(START:END!Q254)</f>
        <v>912.81</v>
      </c>
      <c r="R254" s="41"/>
      <c r="S254" s="85">
        <f t="shared" ref="S254:S284" si="81"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75"/>
        <v>CarrosserieSalaires commis</v>
      </c>
      <c r="B255" s="11" t="s">
        <v>94</v>
      </c>
      <c r="C255" s="103" t="s">
        <v>41</v>
      </c>
      <c r="D255" s="81"/>
      <c r="E255" s="13"/>
      <c r="F255" s="22">
        <f>+SUM(START:END!F255)</f>
        <v>1030.1940839694657</v>
      </c>
      <c r="G255" s="83"/>
      <c r="H255" s="13"/>
      <c r="I255" s="22">
        <f>+SUM(START:END!I255)</f>
        <v>0</v>
      </c>
      <c r="J255" s="41"/>
      <c r="K255" s="13"/>
      <c r="L255" s="33">
        <f>+SUM(START:END!L255)</f>
        <v>1036.27</v>
      </c>
      <c r="M255" s="41"/>
      <c r="N255" s="59">
        <f t="shared" si="80"/>
        <v>6.0759160305342448</v>
      </c>
      <c r="O255" s="41"/>
      <c r="P255" s="13"/>
      <c r="Q255" s="33">
        <f>+SUM(START:END!Q255)</f>
        <v>1037.8600000000001</v>
      </c>
      <c r="R255" s="41"/>
      <c r="S255" s="85">
        <f>L255-Q255</f>
        <v>-1.5900000000001455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75"/>
        <v>CarrosserieSalaires autres</v>
      </c>
      <c r="B256" s="11" t="s">
        <v>94</v>
      </c>
      <c r="C256" s="102" t="s">
        <v>42</v>
      </c>
      <c r="D256" s="104"/>
      <c r="E256" s="105"/>
      <c r="F256" s="30">
        <f>+SUM(START:END!F256)</f>
        <v>57</v>
      </c>
      <c r="G256" s="106"/>
      <c r="H256" s="105"/>
      <c r="I256" s="30">
        <f>+SUM(START:END!I256)</f>
        <v>0</v>
      </c>
      <c r="J256" s="107"/>
      <c r="K256" s="105"/>
      <c r="L256" s="108">
        <f>+SUM(START:END!L256)</f>
        <v>57</v>
      </c>
      <c r="M256" s="107"/>
      <c r="N256" s="109">
        <f t="shared" si="80"/>
        <v>0</v>
      </c>
      <c r="O256" s="107"/>
      <c r="P256" s="105"/>
      <c r="Q256" s="108">
        <f>+SUM(START:END!Q256)</f>
        <v>57</v>
      </c>
      <c r="R256" s="107"/>
      <c r="S256" s="110">
        <f t="shared" si="81"/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75"/>
        <v>CarrosserieSalaires spécialistes</v>
      </c>
      <c r="B257" s="11" t="s">
        <v>94</v>
      </c>
      <c r="C257" s="102" t="s">
        <v>43</v>
      </c>
      <c r="D257" s="81"/>
      <c r="E257" s="13"/>
      <c r="F257" s="30">
        <f>+SUM(START:END!F257)</f>
        <v>0</v>
      </c>
      <c r="G257" s="83"/>
      <c r="H257" s="13"/>
      <c r="I257" s="30">
        <f>+SUM(START:END!I257)</f>
        <v>0</v>
      </c>
      <c r="J257" s="41"/>
      <c r="K257" s="13"/>
      <c r="L257" s="33">
        <f>+SUM(START:END!L257)</f>
        <v>0</v>
      </c>
      <c r="M257" s="41"/>
      <c r="N257" s="59">
        <f t="shared" si="80"/>
        <v>0</v>
      </c>
      <c r="O257" s="41"/>
      <c r="P257" s="13"/>
      <c r="Q257" s="33">
        <f>+SUM(START:END!Q257)</f>
        <v>0</v>
      </c>
      <c r="R257" s="41"/>
      <c r="S257" s="85">
        <f t="shared" si="81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75"/>
        <v>Carrosserie[...]</v>
      </c>
      <c r="B258" s="11" t="s">
        <v>94</v>
      </c>
      <c r="C258" s="29" t="s">
        <v>19</v>
      </c>
      <c r="D258" s="81"/>
      <c r="E258" s="13"/>
      <c r="F258" s="30">
        <f>+SUM(START:END!F258)</f>
        <v>0</v>
      </c>
      <c r="G258" s="83"/>
      <c r="H258" s="13"/>
      <c r="I258" s="30">
        <f>+SUM(START:END!I258)</f>
        <v>0</v>
      </c>
      <c r="J258" s="41"/>
      <c r="K258" s="13"/>
      <c r="L258" s="33">
        <f>+SUM(START:END!L258)</f>
        <v>0</v>
      </c>
      <c r="M258" s="41"/>
      <c r="N258" s="59">
        <f t="shared" si="80"/>
        <v>0</v>
      </c>
      <c r="O258" s="41"/>
      <c r="P258" s="13"/>
      <c r="Q258" s="33">
        <f>+SUM(START:END!Q258)</f>
        <v>0</v>
      </c>
      <c r="R258" s="41"/>
      <c r="S258" s="85">
        <f t="shared" si="81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75"/>
        <v>Carrosserie[...]</v>
      </c>
      <c r="B259" s="11" t="s">
        <v>94</v>
      </c>
      <c r="C259" s="29" t="s">
        <v>19</v>
      </c>
      <c r="D259" s="81"/>
      <c r="E259" s="13"/>
      <c r="F259" s="30">
        <f>+SUM(START:END!F259)</f>
        <v>0</v>
      </c>
      <c r="G259" s="83"/>
      <c r="H259" s="13"/>
      <c r="I259" s="30">
        <f>+SUM(START:END!I259)</f>
        <v>0</v>
      </c>
      <c r="J259" s="41"/>
      <c r="K259" s="13"/>
      <c r="L259" s="33">
        <f>+SUM(START:END!L259)</f>
        <v>0</v>
      </c>
      <c r="M259" s="41"/>
      <c r="N259" s="59">
        <f t="shared" si="80"/>
        <v>0</v>
      </c>
      <c r="O259" s="41"/>
      <c r="P259" s="13"/>
      <c r="Q259" s="33">
        <f>+SUM(START:END!Q259)</f>
        <v>0</v>
      </c>
      <c r="R259" s="41"/>
      <c r="S259" s="85">
        <f t="shared" si="81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75"/>
        <v>Carrosserie[...]</v>
      </c>
      <c r="B260" s="11" t="s">
        <v>94</v>
      </c>
      <c r="C260" s="29" t="s">
        <v>19</v>
      </c>
      <c r="D260" s="81"/>
      <c r="E260" s="13"/>
      <c r="F260" s="30">
        <f>+SUM(START:END!F260)</f>
        <v>0</v>
      </c>
      <c r="G260" s="83"/>
      <c r="H260" s="13"/>
      <c r="I260" s="30">
        <f>+SUM(START:END!I260)</f>
        <v>0</v>
      </c>
      <c r="J260" s="41"/>
      <c r="K260" s="13"/>
      <c r="L260" s="33">
        <f>+SUM(START:END!L260)</f>
        <v>0</v>
      </c>
      <c r="M260" s="41"/>
      <c r="N260" s="59">
        <f t="shared" si="80"/>
        <v>0</v>
      </c>
      <c r="O260" s="41"/>
      <c r="P260" s="13"/>
      <c r="Q260" s="33">
        <f>+SUM(START:END!Q260)</f>
        <v>0</v>
      </c>
      <c r="R260" s="41"/>
      <c r="S260" s="85">
        <f t="shared" si="81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75"/>
        <v>CarrosserieSalaires en absences</v>
      </c>
      <c r="B261" s="11" t="s">
        <v>94</v>
      </c>
      <c r="C261" s="103" t="s">
        <v>44</v>
      </c>
      <c r="D261" s="81"/>
      <c r="E261" s="13"/>
      <c r="F261" s="22">
        <f>+SUM(START:END!F261)</f>
        <v>321.64155654543458</v>
      </c>
      <c r="G261" s="83"/>
      <c r="H261" s="13"/>
      <c r="I261" s="22">
        <f>+SUM(START:END!I261)</f>
        <v>0</v>
      </c>
      <c r="J261" s="41"/>
      <c r="K261" s="13"/>
      <c r="L261" s="33">
        <f>+SUM(START:END!L261)</f>
        <v>228.62</v>
      </c>
      <c r="M261" s="41"/>
      <c r="N261" s="59">
        <f t="shared" si="80"/>
        <v>-93.021556545434578</v>
      </c>
      <c r="O261" s="41"/>
      <c r="P261" s="13"/>
      <c r="Q261" s="33">
        <f>+SUM(START:END!Q261)</f>
        <v>179.65</v>
      </c>
      <c r="R261" s="41"/>
      <c r="S261" s="85">
        <f t="shared" si="81"/>
        <v>48.97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75"/>
        <v>CarrosserieDéduction à la source</v>
      </c>
      <c r="B262" s="11" t="s">
        <v>94</v>
      </c>
      <c r="C262" s="102" t="s">
        <v>45</v>
      </c>
      <c r="D262" s="104"/>
      <c r="E262" s="105"/>
      <c r="F262" s="30">
        <f>+SUM(START:END!F262)</f>
        <v>422.14440022264637</v>
      </c>
      <c r="G262" s="106"/>
      <c r="H262" s="105"/>
      <c r="I262" s="30">
        <f>+SUM(START:END!I262)</f>
        <v>0</v>
      </c>
      <c r="J262" s="107"/>
      <c r="K262" s="105"/>
      <c r="L262" s="108">
        <f>+SUM(START:END!L262)</f>
        <v>653.80999999999995</v>
      </c>
      <c r="M262" s="107"/>
      <c r="N262" s="109">
        <f t="shared" si="80"/>
        <v>231.66559977735358</v>
      </c>
      <c r="O262" s="107"/>
      <c r="P262" s="105"/>
      <c r="Q262" s="108">
        <f>+SUM(START:END!Q262)</f>
        <v>647.25</v>
      </c>
      <c r="R262" s="107"/>
      <c r="S262" s="110">
        <f t="shared" si="81"/>
        <v>6.5599999999999454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75"/>
        <v>CarrosserieBénéfices marginaux</v>
      </c>
      <c r="B263" s="11" t="s">
        <v>94</v>
      </c>
      <c r="C263" s="102" t="s">
        <v>46</v>
      </c>
      <c r="D263" s="81"/>
      <c r="E263" s="13"/>
      <c r="F263" s="30">
        <f>+SUM(START:END!F263)</f>
        <v>193.3928344465649</v>
      </c>
      <c r="G263" s="83"/>
      <c r="H263" s="13"/>
      <c r="I263" s="30">
        <f>+SUM(START:END!I263)</f>
        <v>0</v>
      </c>
      <c r="J263" s="41"/>
      <c r="K263" s="13"/>
      <c r="L263" s="33">
        <f>+SUM(START:END!L263)</f>
        <v>100.3</v>
      </c>
      <c r="M263" s="41"/>
      <c r="N263" s="59">
        <f t="shared" si="80"/>
        <v>-93.092834446564908</v>
      </c>
      <c r="O263" s="41"/>
      <c r="P263" s="13"/>
      <c r="Q263" s="33">
        <f>+SUM(START:END!Q263)</f>
        <v>121.56</v>
      </c>
      <c r="R263" s="41"/>
      <c r="S263" s="85">
        <f t="shared" si="81"/>
        <v>-21.260000000000005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75"/>
        <v>CarrosserieCsst</v>
      </c>
      <c r="B264" s="11" t="s">
        <v>94</v>
      </c>
      <c r="C264" s="102" t="s">
        <v>47</v>
      </c>
      <c r="D264" s="81"/>
      <c r="E264" s="13"/>
      <c r="F264" s="30">
        <f>+SUM(START:END!F264)</f>
        <v>43.669349713740459</v>
      </c>
      <c r="G264" s="83"/>
      <c r="H264" s="13"/>
      <c r="I264" s="30">
        <f>+SUM(START:END!I264)</f>
        <v>0</v>
      </c>
      <c r="J264" s="41"/>
      <c r="K264" s="13"/>
      <c r="L264" s="33">
        <f>+SUM(START:END!L264)</f>
        <v>23.75</v>
      </c>
      <c r="M264" s="483"/>
      <c r="N264" s="146">
        <f t="shared" si="80"/>
        <v>-19.919349713740459</v>
      </c>
      <c r="O264" s="41"/>
      <c r="P264" s="13"/>
      <c r="Q264" s="33">
        <f>+SUM(START:END!Q264)</f>
        <v>11.99</v>
      </c>
      <c r="R264" s="41"/>
      <c r="S264" s="85">
        <f t="shared" si="81"/>
        <v>11.76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75"/>
        <v>Carrosserie[...]</v>
      </c>
      <c r="B265" s="11" t="s">
        <v>94</v>
      </c>
      <c r="C265" s="29" t="s">
        <v>19</v>
      </c>
      <c r="D265" s="81"/>
      <c r="E265" s="13"/>
      <c r="F265" s="30">
        <f>+SUM(START:END!F265)</f>
        <v>0</v>
      </c>
      <c r="G265" s="83"/>
      <c r="H265" s="13"/>
      <c r="I265" s="30">
        <f>+SUM(START:END!I265)</f>
        <v>0</v>
      </c>
      <c r="J265" s="41"/>
      <c r="K265" s="13"/>
      <c r="L265" s="33">
        <f>+SUM(START:END!L265)</f>
        <v>0</v>
      </c>
      <c r="M265" s="41"/>
      <c r="N265" s="59">
        <f t="shared" ref="N265" si="82">L265-F265</f>
        <v>0</v>
      </c>
      <c r="O265" s="41"/>
      <c r="P265" s="13"/>
      <c r="Q265" s="33">
        <f>+SUM(START:END!Q265)</f>
        <v>0</v>
      </c>
      <c r="R265" s="41"/>
      <c r="S265" s="85">
        <f t="shared" ref="S265" si="83">L265-Q265</f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75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2980.8672248978519</v>
      </c>
      <c r="G266" s="97" t="s">
        <v>38</v>
      </c>
      <c r="H266" s="95" t="e">
        <f>I266/I$244</f>
        <v>#DIV/0!</v>
      </c>
      <c r="I266" s="96">
        <f>+SUM(I254:I265)</f>
        <v>0</v>
      </c>
      <c r="J266" s="97" t="s">
        <v>38</v>
      </c>
      <c r="K266" s="95">
        <f>IF(L244=0,0,L266/L$244)</f>
        <v>0</v>
      </c>
      <c r="L266" s="96">
        <f>+SUM(L254:L265)</f>
        <v>3012.56</v>
      </c>
      <c r="M266" s="147"/>
      <c r="N266" s="113">
        <f>L266-F266</f>
        <v>31.692775102148062</v>
      </c>
      <c r="O266" s="97" t="s">
        <v>38</v>
      </c>
      <c r="P266" s="95">
        <f>IF(Q244=0,0,Q266/Q$244)</f>
        <v>0</v>
      </c>
      <c r="Q266" s="96">
        <f>+SUM(Q254:Q265)</f>
        <v>2968.12</v>
      </c>
      <c r="R266" s="147"/>
      <c r="S266" s="114">
        <f t="shared" si="81"/>
        <v>44.440000000000055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75"/>
        <v>CarrosseriePublicité 2</v>
      </c>
      <c r="B267" s="11" t="s">
        <v>94</v>
      </c>
      <c r="C267" s="211" t="s">
        <v>49</v>
      </c>
      <c r="D267" s="81"/>
      <c r="E267" s="13"/>
      <c r="F267" s="30">
        <f>+SUM(START:END!F267)</f>
        <v>0</v>
      </c>
      <c r="G267" s="83"/>
      <c r="H267" s="13"/>
      <c r="I267" s="30">
        <f>+SUM(START:END!I267)</f>
        <v>0</v>
      </c>
      <c r="J267" s="41"/>
      <c r="K267" s="13"/>
      <c r="L267" s="33">
        <f>+SUM(START:END!L267)</f>
        <v>50</v>
      </c>
      <c r="M267" s="41"/>
      <c r="N267" s="59">
        <f t="shared" si="80"/>
        <v>50</v>
      </c>
      <c r="O267" s="41"/>
      <c r="P267" s="13"/>
      <c r="Q267" s="33">
        <f>+SUM(START:END!Q267)</f>
        <v>12.97</v>
      </c>
      <c r="R267" s="41"/>
      <c r="S267" s="85">
        <f t="shared" si="81"/>
        <v>37.03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75"/>
        <v>CarrosserieService gratuit 2</v>
      </c>
      <c r="B268" s="11" t="s">
        <v>94</v>
      </c>
      <c r="C268" s="102" t="s">
        <v>50</v>
      </c>
      <c r="D268" s="81"/>
      <c r="E268" s="13"/>
      <c r="F268" s="30">
        <f>+SUM(START:END!F268)</f>
        <v>0</v>
      </c>
      <c r="G268" s="83"/>
      <c r="H268" s="13"/>
      <c r="I268" s="30">
        <f>+SUM(START:END!I268)</f>
        <v>0</v>
      </c>
      <c r="J268" s="41"/>
      <c r="K268" s="13"/>
      <c r="L268" s="33">
        <f>+SUM(START:END!L268)</f>
        <v>71.990000000000009</v>
      </c>
      <c r="M268" s="41"/>
      <c r="N268" s="59">
        <f t="shared" si="80"/>
        <v>71.990000000000009</v>
      </c>
      <c r="O268" s="41"/>
      <c r="P268" s="13"/>
      <c r="Q268" s="33">
        <f>+SUM(START:END!Q268)</f>
        <v>2.99</v>
      </c>
      <c r="R268" s="41"/>
      <c r="S268" s="85">
        <f t="shared" si="81"/>
        <v>69.000000000000014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75"/>
        <v>CarrosserieFrais véhicules de cie</v>
      </c>
      <c r="B269" s="11" t="s">
        <v>94</v>
      </c>
      <c r="C269" s="103" t="s">
        <v>51</v>
      </c>
      <c r="D269" s="87"/>
      <c r="E269" s="111"/>
      <c r="F269" s="22">
        <f>+SUM(START:END!F269)</f>
        <v>358.125</v>
      </c>
      <c r="G269" s="89"/>
      <c r="H269" s="111"/>
      <c r="I269" s="22">
        <f>+SUM(START:END!I269)</f>
        <v>0</v>
      </c>
      <c r="J269" s="23"/>
      <c r="K269" s="111"/>
      <c r="L269" s="33">
        <f>+SUM(START:END!L269)</f>
        <v>509.35</v>
      </c>
      <c r="M269" s="23"/>
      <c r="N269" s="91">
        <f t="shared" si="80"/>
        <v>151.22500000000002</v>
      </c>
      <c r="O269" s="23"/>
      <c r="P269" s="111"/>
      <c r="Q269" s="33">
        <f>+SUM(START:END!Q269)</f>
        <v>437.81</v>
      </c>
      <c r="R269" s="23"/>
      <c r="S269" s="92">
        <f t="shared" si="81"/>
        <v>71.54000000000002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75"/>
        <v>CarrosserieInformatique</v>
      </c>
      <c r="B270" s="11" t="s">
        <v>94</v>
      </c>
      <c r="C270" s="102" t="s">
        <v>52</v>
      </c>
      <c r="D270" s="81"/>
      <c r="E270" s="13"/>
      <c r="F270" s="30">
        <f>+SUM(START:END!F270)</f>
        <v>717.67500000000007</v>
      </c>
      <c r="G270" s="83"/>
      <c r="H270" s="13"/>
      <c r="I270" s="30">
        <f>+SUM(START:END!I270)</f>
        <v>0</v>
      </c>
      <c r="J270" s="41"/>
      <c r="K270" s="13"/>
      <c r="L270" s="108">
        <f>+SUM(START:END!L270)</f>
        <v>640.9</v>
      </c>
      <c r="M270" s="41"/>
      <c r="N270" s="59">
        <f t="shared" si="80"/>
        <v>-76.775000000000091</v>
      </c>
      <c r="O270" s="41"/>
      <c r="P270" s="13"/>
      <c r="Q270" s="108">
        <f>+SUM(START:END!Q270)</f>
        <v>653.01</v>
      </c>
      <c r="R270" s="41"/>
      <c r="S270" s="85">
        <f t="shared" si="81"/>
        <v>-12.110000000000014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75"/>
        <v>CarrosserieFrais de déplacement</v>
      </c>
      <c r="B271" s="11" t="s">
        <v>94</v>
      </c>
      <c r="C271" s="102" t="s">
        <v>53</v>
      </c>
      <c r="D271" s="81"/>
      <c r="E271" s="13"/>
      <c r="F271" s="30">
        <f>+SUM(START:END!F271)</f>
        <v>137.10000000000002</v>
      </c>
      <c r="G271" s="83"/>
      <c r="H271" s="13"/>
      <c r="I271" s="30">
        <f>+SUM(START:END!I271)</f>
        <v>0</v>
      </c>
      <c r="J271" s="41"/>
      <c r="K271" s="13"/>
      <c r="L271" s="33">
        <f>+SUM(START:END!L271)</f>
        <v>104.33999999999999</v>
      </c>
      <c r="M271" s="41"/>
      <c r="N271" s="59">
        <f t="shared" si="80"/>
        <v>-32.760000000000034</v>
      </c>
      <c r="O271" s="41"/>
      <c r="P271" s="13"/>
      <c r="Q271" s="33">
        <f>+SUM(START:END!Q271)</f>
        <v>84.67</v>
      </c>
      <c r="R271" s="41"/>
      <c r="S271" s="85">
        <f t="shared" si="81"/>
        <v>19.669999999999987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75"/>
        <v>CarrosserieServices extérieurs</v>
      </c>
      <c r="B272" s="11" t="s">
        <v>94</v>
      </c>
      <c r="C272" s="102" t="s">
        <v>54</v>
      </c>
      <c r="D272" s="87"/>
      <c r="E272" s="111"/>
      <c r="F272" s="22">
        <f>+SUM(START:END!F272)</f>
        <v>459.07500000000005</v>
      </c>
      <c r="G272" s="89"/>
      <c r="H272" s="111"/>
      <c r="I272" s="22">
        <f>+SUM(START:END!I272)</f>
        <v>0</v>
      </c>
      <c r="J272" s="23"/>
      <c r="K272" s="111"/>
      <c r="L272" s="33">
        <f>+SUM(START:END!L272)</f>
        <v>524.18000000000006</v>
      </c>
      <c r="M272" s="23"/>
      <c r="N272" s="91">
        <f t="shared" si="80"/>
        <v>65.105000000000018</v>
      </c>
      <c r="O272" s="23"/>
      <c r="P272" s="111"/>
      <c r="Q272" s="22">
        <f>+SUM(START:END!Q272)</f>
        <v>467.4</v>
      </c>
      <c r="R272" s="23"/>
      <c r="S272" s="92">
        <f t="shared" si="81"/>
        <v>56.780000000000086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 t="shared" si="75"/>
        <v>CarrosserieFournitures d'atelier</v>
      </c>
      <c r="B273" s="11" t="s">
        <v>94</v>
      </c>
      <c r="C273" s="212" t="s">
        <v>93</v>
      </c>
      <c r="D273" s="81"/>
      <c r="E273" s="13"/>
      <c r="F273" s="30">
        <f>+SUM(START:END!F273)</f>
        <v>0</v>
      </c>
      <c r="G273" s="83"/>
      <c r="H273" s="13"/>
      <c r="I273" s="30">
        <f>+SUM(START:END!I273)</f>
        <v>0</v>
      </c>
      <c r="J273" s="41"/>
      <c r="K273" s="13"/>
      <c r="L273" s="55">
        <f>+SUM(START:END!L273)</f>
        <v>0</v>
      </c>
      <c r="M273" s="41"/>
      <c r="N273" s="59">
        <f t="shared" si="80"/>
        <v>0</v>
      </c>
      <c r="O273" s="41"/>
      <c r="P273" s="13"/>
      <c r="Q273" s="33">
        <f>+SUM(START:END!Q273)</f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si="75"/>
        <v>CarrosserieFournitures autres</v>
      </c>
      <c r="B274" s="11" t="s">
        <v>94</v>
      </c>
      <c r="C274" s="102" t="s">
        <v>55</v>
      </c>
      <c r="D274" s="81"/>
      <c r="E274" s="13"/>
      <c r="F274" s="30">
        <f>+SUM(START:END!F274)</f>
        <v>7.4698795180722879</v>
      </c>
      <c r="G274" s="83"/>
      <c r="H274" s="13"/>
      <c r="I274" s="30">
        <f>+SUM(START:END!I274)</f>
        <v>0</v>
      </c>
      <c r="J274" s="41"/>
      <c r="K274" s="13"/>
      <c r="L274" s="33">
        <f>+SUM(START:END!L274)</f>
        <v>0</v>
      </c>
      <c r="M274" s="41"/>
      <c r="N274" s="59">
        <f t="shared" si="80"/>
        <v>-7.4698795180722879</v>
      </c>
      <c r="O274" s="41"/>
      <c r="P274" s="13"/>
      <c r="Q274" s="33">
        <f>+SUM(START:END!Q274)</f>
        <v>11.899999999999999</v>
      </c>
      <c r="R274" s="41"/>
      <c r="S274" s="85">
        <f t="shared" si="81"/>
        <v>-11.899999999999999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75"/>
        <v>CarrosserieUniformes</v>
      </c>
      <c r="B275" s="11" t="s">
        <v>94</v>
      </c>
      <c r="C275" s="102" t="s">
        <v>56</v>
      </c>
      <c r="D275" s="81"/>
      <c r="E275" s="13"/>
      <c r="F275" s="30">
        <f>+SUM(START:END!F275)</f>
        <v>0</v>
      </c>
      <c r="G275" s="83"/>
      <c r="H275" s="13"/>
      <c r="I275" s="30">
        <f>+SUM(START:END!I275)</f>
        <v>0</v>
      </c>
      <c r="J275" s="41"/>
      <c r="K275" s="13"/>
      <c r="L275" s="33">
        <f>+SUM(START:END!L275)</f>
        <v>4.33</v>
      </c>
      <c r="M275" s="41"/>
      <c r="N275" s="59">
        <f t="shared" si="80"/>
        <v>4.33</v>
      </c>
      <c r="O275" s="41"/>
      <c r="P275" s="13"/>
      <c r="Q275" s="33">
        <f>+SUM(START:END!Q275)</f>
        <v>4.6100000000000003</v>
      </c>
      <c r="R275" s="41"/>
      <c r="S275" s="85">
        <f t="shared" si="81"/>
        <v>-0.28000000000000025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75"/>
        <v>CarrosseriePapeterie</v>
      </c>
      <c r="B276" s="11" t="s">
        <v>94</v>
      </c>
      <c r="C276" s="102" t="s">
        <v>57</v>
      </c>
      <c r="D276" s="81"/>
      <c r="E276" s="13"/>
      <c r="F276" s="30">
        <f>+SUM(START:END!F276)</f>
        <v>131.25</v>
      </c>
      <c r="G276" s="83"/>
      <c r="H276" s="13"/>
      <c r="I276" s="30">
        <f>+SUM(START:END!I276)</f>
        <v>0</v>
      </c>
      <c r="J276" s="41"/>
      <c r="K276" s="13"/>
      <c r="L276" s="32">
        <f>+SUM(START:END!L276)</f>
        <v>89.1</v>
      </c>
      <c r="M276" s="41"/>
      <c r="N276" s="59">
        <f t="shared" si="80"/>
        <v>-42.150000000000006</v>
      </c>
      <c r="O276" s="41"/>
      <c r="P276" s="13"/>
      <c r="Q276" s="32">
        <f>+SUM(START:END!Q276)</f>
        <v>111.5</v>
      </c>
      <c r="R276" s="41"/>
      <c r="S276" s="85">
        <f t="shared" si="81"/>
        <v>-22.400000000000006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75"/>
        <v>CarrosserieTéléphone</v>
      </c>
      <c r="B277" s="11" t="s">
        <v>94</v>
      </c>
      <c r="C277" s="102" t="s">
        <v>58</v>
      </c>
      <c r="D277" s="81"/>
      <c r="E277" s="13"/>
      <c r="F277" s="30">
        <f>+SUM(START:END!F277)</f>
        <v>26.400000000000002</v>
      </c>
      <c r="G277" s="83"/>
      <c r="H277" s="13"/>
      <c r="I277" s="30">
        <f>+SUM(START:END!I277)</f>
        <v>0</v>
      </c>
      <c r="J277" s="41"/>
      <c r="K277" s="13"/>
      <c r="L277" s="33">
        <f>+SUM(START:END!L277)</f>
        <v>32.33</v>
      </c>
      <c r="M277" s="41"/>
      <c r="N277" s="59">
        <f t="shared" si="80"/>
        <v>5.9299999999999962</v>
      </c>
      <c r="O277" s="41"/>
      <c r="P277" s="13"/>
      <c r="Q277" s="33">
        <f>+SUM(START:END!Q277)</f>
        <v>25.25</v>
      </c>
      <c r="R277" s="41"/>
      <c r="S277" s="85">
        <f t="shared" si="81"/>
        <v>7.0799999999999983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75"/>
        <v>CarrosserieFrais postaux</v>
      </c>
      <c r="B278" s="11" t="s">
        <v>94</v>
      </c>
      <c r="C278" s="102" t="s">
        <v>59</v>
      </c>
      <c r="D278" s="81"/>
      <c r="E278" s="13"/>
      <c r="F278" s="30">
        <f>+SUM(START:END!F278)</f>
        <v>37.5</v>
      </c>
      <c r="G278" s="83"/>
      <c r="H278" s="13"/>
      <c r="I278" s="30">
        <f>+SUM(START:END!I278)</f>
        <v>0</v>
      </c>
      <c r="J278" s="41"/>
      <c r="K278" s="13"/>
      <c r="L278" s="33">
        <f>+SUM(START:END!L278)</f>
        <v>19.669999999999998</v>
      </c>
      <c r="M278" s="41"/>
      <c r="N278" s="59">
        <f t="shared" si="80"/>
        <v>-17.830000000000002</v>
      </c>
      <c r="O278" s="41"/>
      <c r="P278" s="13"/>
      <c r="Q278" s="33">
        <f>+SUM(START:END!Q278)</f>
        <v>24.12</v>
      </c>
      <c r="R278" s="41"/>
      <c r="S278" s="85">
        <f t="shared" si="81"/>
        <v>-4.4500000000000028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75"/>
        <v>CarrosserieDivers</v>
      </c>
      <c r="B279" s="11" t="s">
        <v>94</v>
      </c>
      <c r="C279" s="102" t="s">
        <v>60</v>
      </c>
      <c r="D279" s="81"/>
      <c r="E279" s="13"/>
      <c r="F279" s="30">
        <f>+SUM(START:END!F279)</f>
        <v>139.35000000000002</v>
      </c>
      <c r="G279" s="83"/>
      <c r="H279" s="13"/>
      <c r="I279" s="30">
        <f>+SUM(START:END!I279)</f>
        <v>0</v>
      </c>
      <c r="J279" s="41"/>
      <c r="K279" s="13"/>
      <c r="L279" s="33">
        <f>+SUM(START:END!L279)</f>
        <v>118.54</v>
      </c>
      <c r="M279" s="41"/>
      <c r="N279" s="59">
        <f t="shared" si="80"/>
        <v>-20.810000000000016</v>
      </c>
      <c r="O279" s="41"/>
      <c r="P279" s="13"/>
      <c r="Q279" s="33">
        <f>+SUM(START:END!Q279)</f>
        <v>135.46999999999991</v>
      </c>
      <c r="R279" s="41"/>
      <c r="S279" s="85">
        <f t="shared" si="81"/>
        <v>-16.929999999999907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75"/>
        <v>CarrosserieFormation</v>
      </c>
      <c r="B280" s="11" t="s">
        <v>94</v>
      </c>
      <c r="C280" s="102" t="s">
        <v>61</v>
      </c>
      <c r="D280" s="81"/>
      <c r="E280" s="13"/>
      <c r="F280" s="30">
        <f>+SUM(START:END!F280)</f>
        <v>62.305079999999982</v>
      </c>
      <c r="G280" s="83"/>
      <c r="H280" s="13"/>
      <c r="I280" s="30">
        <f>+SUM(START:END!I280)</f>
        <v>0</v>
      </c>
      <c r="J280" s="41"/>
      <c r="K280" s="13"/>
      <c r="L280" s="33">
        <f>+SUM(START:END!L280)</f>
        <v>-36.07</v>
      </c>
      <c r="M280" s="41"/>
      <c r="N280" s="59">
        <f t="shared" si="80"/>
        <v>-98.375079999999983</v>
      </c>
      <c r="O280" s="41"/>
      <c r="P280" s="13"/>
      <c r="Q280" s="33">
        <f>+SUM(START:END!Q280)</f>
        <v>58.32</v>
      </c>
      <c r="R280" s="41"/>
      <c r="S280" s="85">
        <f t="shared" si="81"/>
        <v>-94.39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75"/>
        <v>CarrosserieFrais bancaires</v>
      </c>
      <c r="B281" s="11" t="s">
        <v>94</v>
      </c>
      <c r="C281" s="102" t="s">
        <v>62</v>
      </c>
      <c r="D281" s="81"/>
      <c r="E281" s="13"/>
      <c r="F281" s="30">
        <f>+SUM(START:END!F281)</f>
        <v>549.72123951535207</v>
      </c>
      <c r="G281" s="83"/>
      <c r="H281" s="13"/>
      <c r="I281" s="30">
        <f>+SUM(START:END!I281)</f>
        <v>0</v>
      </c>
      <c r="J281" s="41"/>
      <c r="K281" s="13"/>
      <c r="L281" s="33">
        <f>+SUM(START:END!L281)</f>
        <v>608.76</v>
      </c>
      <c r="M281" s="41"/>
      <c r="N281" s="59">
        <f t="shared" si="80"/>
        <v>59.038760484647923</v>
      </c>
      <c r="O281" s="41"/>
      <c r="P281" s="13"/>
      <c r="Q281" s="33">
        <f>+SUM(START:END!Q281)</f>
        <v>534.51</v>
      </c>
      <c r="R281" s="41"/>
      <c r="S281" s="85">
        <f t="shared" si="81"/>
        <v>74.25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75"/>
        <v>Carrosserie[...]</v>
      </c>
      <c r="B282" s="11" t="s">
        <v>94</v>
      </c>
      <c r="C282" s="102" t="s">
        <v>19</v>
      </c>
      <c r="D282" s="81"/>
      <c r="E282" s="13"/>
      <c r="F282" s="30">
        <f>+SUM(START:END!F282)</f>
        <v>0</v>
      </c>
      <c r="G282" s="83"/>
      <c r="H282" s="13"/>
      <c r="I282" s="30">
        <f>+SUM(START:END!I282)</f>
        <v>0</v>
      </c>
      <c r="J282" s="41"/>
      <c r="K282" s="13"/>
      <c r="L282" s="33">
        <f>+SUM(START:END!L282)</f>
        <v>0</v>
      </c>
      <c r="M282" s="41"/>
      <c r="N282" s="59">
        <f t="shared" si="80"/>
        <v>0</v>
      </c>
      <c r="O282" s="41"/>
      <c r="P282" s="13"/>
      <c r="Q282" s="33">
        <f>+SUM(START:END!Q282)</f>
        <v>0</v>
      </c>
      <c r="R282" s="41"/>
      <c r="S282" s="85">
        <f t="shared" si="81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75"/>
        <v>Carrosserie[...]</v>
      </c>
      <c r="B283" s="11" t="s">
        <v>94</v>
      </c>
      <c r="C283" s="102" t="s">
        <v>19</v>
      </c>
      <c r="D283" s="81"/>
      <c r="E283" s="13"/>
      <c r="F283" s="30">
        <f>+SUM(START:END!F283)</f>
        <v>0</v>
      </c>
      <c r="G283" s="83"/>
      <c r="H283" s="13"/>
      <c r="I283" s="30">
        <f>+SUM(START:END!I283)</f>
        <v>0</v>
      </c>
      <c r="J283" s="41"/>
      <c r="K283" s="13"/>
      <c r="L283" s="33">
        <f>+SUM(START:END!L283)</f>
        <v>0</v>
      </c>
      <c r="M283" s="41"/>
      <c r="N283" s="59">
        <f t="shared" si="80"/>
        <v>0</v>
      </c>
      <c r="O283" s="41"/>
      <c r="P283" s="13"/>
      <c r="Q283" s="33">
        <f>+SUM(START:END!Q283)</f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si="75"/>
        <v>Carrosserie[...]</v>
      </c>
      <c r="B284" s="11" t="s">
        <v>94</v>
      </c>
      <c r="C284" s="102" t="s">
        <v>19</v>
      </c>
      <c r="D284" s="81"/>
      <c r="E284" s="13"/>
      <c r="F284" s="30">
        <f>+SUM(START:END!F284)</f>
        <v>0</v>
      </c>
      <c r="G284" s="83"/>
      <c r="H284" s="13"/>
      <c r="I284" s="30">
        <f>+SUM(START:END!I284)</f>
        <v>0</v>
      </c>
      <c r="J284" s="41"/>
      <c r="K284" s="13"/>
      <c r="L284" s="33">
        <f>+SUM(START:END!L284)</f>
        <v>0</v>
      </c>
      <c r="M284" s="41"/>
      <c r="N284" s="59">
        <f t="shared" si="80"/>
        <v>0</v>
      </c>
      <c r="O284" s="41"/>
      <c r="P284" s="13"/>
      <c r="Q284" s="33">
        <f>+SUM(START:END!Q284)</f>
        <v>0</v>
      </c>
      <c r="R284" s="41"/>
      <c r="S284" s="85">
        <f t="shared" si="81"/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>
        <f>F285/F$250</f>
        <v>1.507823328668817</v>
      </c>
      <c r="F285" s="96">
        <f>+SUM(F267:F284)</f>
        <v>2625.9711990334245</v>
      </c>
      <c r="G285" s="97" t="s">
        <v>38</v>
      </c>
      <c r="H285" s="95" t="e">
        <f>I285/I$250</f>
        <v>#DIV/0!</v>
      </c>
      <c r="I285" s="96">
        <f>+SUM(I267:I284)</f>
        <v>0</v>
      </c>
      <c r="J285" s="97" t="s">
        <v>38</v>
      </c>
      <c r="K285" s="95">
        <f>L285/L$250</f>
        <v>2.6589026060435361</v>
      </c>
      <c r="L285" s="96">
        <f>+SUM(L267:L284)</f>
        <v>2737.42</v>
      </c>
      <c r="M285" s="100"/>
      <c r="N285" s="96">
        <f>+SUM(N267:N284)</f>
        <v>111.44880096657555</v>
      </c>
      <c r="O285" s="97" t="s">
        <v>38</v>
      </c>
      <c r="P285" s="95">
        <f>Q285/Q$250</f>
        <v>4.0503664160717792</v>
      </c>
      <c r="Q285" s="96">
        <f>+SUM(Q267:Q284)</f>
        <v>2564.5299999999997</v>
      </c>
      <c r="R285" s="100"/>
      <c r="S285" s="101">
        <f>L285-Q285</f>
        <v>172.89000000000033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>
        <f>F287/F$250</f>
        <v>3.2194266939378844</v>
      </c>
      <c r="F287" s="96">
        <f>F266+F285</f>
        <v>5606.8384239312763</v>
      </c>
      <c r="G287" s="97" t="s">
        <v>38</v>
      </c>
      <c r="H287" s="95" t="e">
        <f>I287/I$250</f>
        <v>#DIV/0!</v>
      </c>
      <c r="I287" s="96">
        <f>I266+I285</f>
        <v>0</v>
      </c>
      <c r="J287" s="97" t="s">
        <v>38</v>
      </c>
      <c r="K287" s="95">
        <f>L287/L$250</f>
        <v>5.5850533738696333</v>
      </c>
      <c r="L287" s="96">
        <f>L266+L285</f>
        <v>5749.98</v>
      </c>
      <c r="M287" s="100"/>
      <c r="N287" s="113">
        <f>L287-F287</f>
        <v>143.14157606872323</v>
      </c>
      <c r="O287" s="97" t="s">
        <v>38</v>
      </c>
      <c r="P287" s="95">
        <f>Q287/Q$250</f>
        <v>8.738154652852387</v>
      </c>
      <c r="Q287" s="96">
        <f>Q266+Q285</f>
        <v>5532.65</v>
      </c>
      <c r="R287" s="100"/>
      <c r="S287" s="114">
        <f>L287-Q287</f>
        <v>217.32999999999993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-3865.2741775737368</v>
      </c>
      <c r="G289" s="153"/>
      <c r="H289" s="125"/>
      <c r="I289" s="127">
        <f>I250-I287</f>
        <v>0</v>
      </c>
      <c r="J289" s="154"/>
      <c r="K289" s="126"/>
      <c r="L289" s="127">
        <f>L250-L287</f>
        <v>-4720.4500000000007</v>
      </c>
      <c r="M289" s="154"/>
      <c r="N289" s="127">
        <f>L289-F289</f>
        <v>-855.17582242626395</v>
      </c>
      <c r="O289" s="154"/>
      <c r="P289" s="126"/>
      <c r="Q289" s="127">
        <f>Q250-Q287</f>
        <v>-4899.4900000000016</v>
      </c>
      <c r="R289" s="154"/>
      <c r="S289" s="129">
        <f>L289-Q289</f>
        <v>179.04000000000087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  Q2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63" t="s">
        <v>5</v>
      </c>
      <c r="E293" s="464"/>
      <c r="F293" s="465"/>
      <c r="G293" s="466" t="s">
        <v>71</v>
      </c>
      <c r="H293" s="464"/>
      <c r="I293" s="465"/>
      <c r="J293" s="466" t="s">
        <v>7</v>
      </c>
      <c r="K293" s="464"/>
      <c r="L293" s="465"/>
      <c r="M293" s="466" t="s">
        <v>213</v>
      </c>
      <c r="N293" s="465"/>
      <c r="O293" s="463" t="s">
        <v>8</v>
      </c>
      <c r="P293" s="464"/>
      <c r="Q293" s="465"/>
      <c r="R293" s="470" t="s">
        <v>214</v>
      </c>
      <c r="S293" s="471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8" si="84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 t="s">
        <v>79</v>
      </c>
      <c r="H294" s="80" t="s">
        <v>99</v>
      </c>
      <c r="I294" s="134" t="s">
        <v>12</v>
      </c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219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84"/>
        <v>PiècesPièces Ro Clients</v>
      </c>
      <c r="B295" s="11" t="s">
        <v>98</v>
      </c>
      <c r="C295" s="29" t="s">
        <v>100</v>
      </c>
      <c r="D295" s="82">
        <f>+SUM(START:END!D295)</f>
        <v>212717.14051470859</v>
      </c>
      <c r="E295" s="148">
        <f>IF(D295=0,0,F295/D295)</f>
        <v>0.41799999999999998</v>
      </c>
      <c r="F295" s="85">
        <f>+SUM(START:END!F295)</f>
        <v>88915.764735148186</v>
      </c>
      <c r="G295" s="82">
        <f>+SUM(START:END!G295)</f>
        <v>0</v>
      </c>
      <c r="H295" s="148">
        <f>IF(G295=0,0,I295/G295)</f>
        <v>0</v>
      </c>
      <c r="I295" s="85">
        <f>+SUM(START:END!I295)</f>
        <v>0</v>
      </c>
      <c r="J295" s="30">
        <f>+SUM(START:END!J295)</f>
        <v>211679.4</v>
      </c>
      <c r="K295" s="148">
        <f>IF(J295=0,0,L295/J295)</f>
        <v>0.40073034976478578</v>
      </c>
      <c r="L295" s="33">
        <f>+SUM(START:END!L295)</f>
        <v>84826.359999999986</v>
      </c>
      <c r="M295" s="157">
        <f t="shared" ref="M295:M301" si="85">(+J295-D295)/D295</f>
        <v>-4.8784997400660324E-3</v>
      </c>
      <c r="N295" s="59">
        <f t="shared" ref="N295:N304" si="86">L295-F295</f>
        <v>-4089.4047351482004</v>
      </c>
      <c r="O295" s="30">
        <f>+SUM(START:END!O295)</f>
        <v>194683.97000000003</v>
      </c>
      <c r="P295" s="148">
        <f>IF(O295=0,0,Q295/O295)</f>
        <v>0.4159009598992664</v>
      </c>
      <c r="Q295" s="33">
        <f>+SUM(START:END!Q295)</f>
        <v>80969.25</v>
      </c>
      <c r="R295" s="157">
        <f>IF(O295=0,0,(J295-O295)/O295)</f>
        <v>8.7297531481405274E-2</v>
      </c>
      <c r="S295" s="85">
        <f t="shared" ref="S295:S300" si="87">L295-Q295</f>
        <v>3857.109999999986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84"/>
        <v>PiècesPièces Ro Carrosserie</v>
      </c>
      <c r="B296" s="11" t="s">
        <v>98</v>
      </c>
      <c r="C296" s="29" t="s">
        <v>101</v>
      </c>
      <c r="D296" s="82">
        <f>+SUM(START:END!D296)</f>
        <v>2500</v>
      </c>
      <c r="E296" s="148">
        <f t="shared" ref="E296:E303" si="88">IF(D296=0,0,F296/D296)</f>
        <v>0.34</v>
      </c>
      <c r="F296" s="85">
        <f>+SUM(START:END!F296)</f>
        <v>850</v>
      </c>
      <c r="G296" s="82">
        <f>+SUM(START:END!G296)</f>
        <v>0</v>
      </c>
      <c r="H296" s="148">
        <f t="shared" ref="H296:H303" si="89">IF(G296=0,0,I296/G296)</f>
        <v>0</v>
      </c>
      <c r="I296" s="85">
        <f>+SUM(START:END!I296)</f>
        <v>0</v>
      </c>
      <c r="J296" s="30">
        <f>+SUM(START:END!J296)</f>
        <v>4202.83</v>
      </c>
      <c r="K296" s="148">
        <f t="shared" ref="K296:K303" si="90">IF(J296=0,0,L296/J296)</f>
        <v>0.28074654459019277</v>
      </c>
      <c r="L296" s="33">
        <f>+SUM(START:END!L296)</f>
        <v>1179.9299999999998</v>
      </c>
      <c r="M296" s="157">
        <f t="shared" si="85"/>
        <v>0.68113199999999996</v>
      </c>
      <c r="N296" s="59">
        <f t="shared" si="86"/>
        <v>329.92999999999984</v>
      </c>
      <c r="O296" s="30">
        <f>+SUM(START:END!O296)</f>
        <v>325</v>
      </c>
      <c r="P296" s="148">
        <f t="shared" ref="P296:P303" si="91">IF(O296=0,0,Q296/O296)</f>
        <v>0.11963076923076893</v>
      </c>
      <c r="Q296" s="33">
        <f>+SUM(START:END!Q296)</f>
        <v>38.879999999999903</v>
      </c>
      <c r="R296" s="157">
        <f t="shared" ref="R296:R303" si="92">IF(O296=0,0,(J296-O296)/O296)</f>
        <v>11.931784615384615</v>
      </c>
      <c r="S296" s="85">
        <f t="shared" si="87"/>
        <v>1141.05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84"/>
        <v>PiècesP/A Garantie</v>
      </c>
      <c r="B297" s="11" t="s">
        <v>98</v>
      </c>
      <c r="C297" s="29" t="s">
        <v>102</v>
      </c>
      <c r="D297" s="82">
        <f>+SUM(START:END!D297)</f>
        <v>175972.45089674782</v>
      </c>
      <c r="E297" s="148">
        <f t="shared" si="88"/>
        <v>0.28799999999999992</v>
      </c>
      <c r="F297" s="85">
        <f>+SUM(START:END!F297)</f>
        <v>50680.065858263362</v>
      </c>
      <c r="G297" s="82">
        <f>+SUM(START:END!G297)</f>
        <v>0</v>
      </c>
      <c r="H297" s="148">
        <f t="shared" si="89"/>
        <v>0</v>
      </c>
      <c r="I297" s="85">
        <f>+SUM(START:END!I297)</f>
        <v>0</v>
      </c>
      <c r="J297" s="30">
        <f>+SUM(START:END!J297)</f>
        <v>135313.18</v>
      </c>
      <c r="K297" s="148">
        <f t="shared" si="90"/>
        <v>0.28635081963190873</v>
      </c>
      <c r="L297" s="33">
        <f>+SUM(START:END!L297)</f>
        <v>38747.039999999994</v>
      </c>
      <c r="M297" s="157">
        <f t="shared" si="85"/>
        <v>-0.23105475140881418</v>
      </c>
      <c r="N297" s="59">
        <f t="shared" si="86"/>
        <v>-11933.025858263369</v>
      </c>
      <c r="O297" s="30">
        <f>+SUM(START:END!O297)</f>
        <v>195889.72</v>
      </c>
      <c r="P297" s="148">
        <f t="shared" si="91"/>
        <v>0.28586778315880945</v>
      </c>
      <c r="Q297" s="33">
        <f>+SUM(START:END!Q297)</f>
        <v>55998.559999999896</v>
      </c>
      <c r="R297" s="157">
        <f t="shared" si="92"/>
        <v>-0.30923797328415198</v>
      </c>
      <c r="S297" s="85">
        <f t="shared" si="87"/>
        <v>-17251.519999999902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84"/>
        <v>PiècesVentes Internes</v>
      </c>
      <c r="B298" s="11" t="s">
        <v>98</v>
      </c>
      <c r="C298" s="29" t="s">
        <v>103</v>
      </c>
      <c r="D298" s="82">
        <f>+SUM(START:END!D298)</f>
        <v>58412.552032447536</v>
      </c>
      <c r="E298" s="148">
        <f t="shared" si="88"/>
        <v>0.38500000000000001</v>
      </c>
      <c r="F298" s="85">
        <f>+SUM(START:END!F298)</f>
        <v>22488.832532492303</v>
      </c>
      <c r="G298" s="82">
        <f>+SUM(START:END!G298)</f>
        <v>0</v>
      </c>
      <c r="H298" s="148">
        <f t="shared" si="89"/>
        <v>0</v>
      </c>
      <c r="I298" s="85">
        <f>+SUM(START:END!I298)</f>
        <v>0</v>
      </c>
      <c r="J298" s="30">
        <f>+SUM(START:END!J298)</f>
        <v>51049.259999999995</v>
      </c>
      <c r="K298" s="148">
        <f t="shared" si="90"/>
        <v>0.2963894089747825</v>
      </c>
      <c r="L298" s="33">
        <f>+SUM(START:END!L298)</f>
        <v>15130.460000000003</v>
      </c>
      <c r="M298" s="157">
        <f t="shared" si="85"/>
        <v>-0.12605667405795443</v>
      </c>
      <c r="N298" s="59">
        <f t="shared" si="86"/>
        <v>-7358.3725324922998</v>
      </c>
      <c r="O298" s="30">
        <f>+SUM(START:END!O298)</f>
        <v>49781.089999999902</v>
      </c>
      <c r="P298" s="148">
        <f t="shared" si="91"/>
        <v>0.37189563346242566</v>
      </c>
      <c r="Q298" s="33">
        <f>+SUM(START:END!Q298)</f>
        <v>18513.369999999988</v>
      </c>
      <c r="R298" s="157">
        <f t="shared" si="92"/>
        <v>2.547493435760638E-2</v>
      </c>
      <c r="S298" s="85">
        <f t="shared" si="87"/>
        <v>-3382.9099999999853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84"/>
        <v>PiècesVentes Détails</v>
      </c>
      <c r="B299" s="11" t="s">
        <v>98</v>
      </c>
      <c r="C299" s="29" t="s">
        <v>104</v>
      </c>
      <c r="D299" s="82">
        <f>+SUM(START:END!D299)</f>
        <v>88914.987957697624</v>
      </c>
      <c r="E299" s="148">
        <f t="shared" si="88"/>
        <v>0.31000000000000005</v>
      </c>
      <c r="F299" s="85">
        <f>+SUM(START:END!F299)</f>
        <v>27563.646266886266</v>
      </c>
      <c r="G299" s="82">
        <f>+SUM(START:END!G299)</f>
        <v>0</v>
      </c>
      <c r="H299" s="148">
        <f t="shared" si="89"/>
        <v>0</v>
      </c>
      <c r="I299" s="85">
        <f>+SUM(START:END!I299)</f>
        <v>0</v>
      </c>
      <c r="J299" s="30">
        <f>+SUM(START:END!J299)</f>
        <v>77888.539999999994</v>
      </c>
      <c r="K299" s="148">
        <f t="shared" si="90"/>
        <v>0.26634906752649362</v>
      </c>
      <c r="L299" s="33">
        <f>+SUM(START:END!L299)</f>
        <v>20745.539999999997</v>
      </c>
      <c r="M299" s="157">
        <f t="shared" si="85"/>
        <v>-0.12401112805575136</v>
      </c>
      <c r="N299" s="59">
        <f t="shared" si="86"/>
        <v>-6818.1062668862687</v>
      </c>
      <c r="O299" s="30">
        <f>+SUM(START:END!O299)</f>
        <v>72329.52</v>
      </c>
      <c r="P299" s="148">
        <f t="shared" si="91"/>
        <v>0.32102425123241507</v>
      </c>
      <c r="Q299" s="33">
        <f>+SUM(START:END!Q299)</f>
        <v>23219.529999999992</v>
      </c>
      <c r="R299" s="157">
        <f t="shared" si="92"/>
        <v>7.685686286871514E-2</v>
      </c>
      <c r="S299" s="85">
        <f t="shared" si="87"/>
        <v>-2473.9899999999943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84"/>
        <v>PiècesVentes de Gros</v>
      </c>
      <c r="B300" s="11" t="s">
        <v>98</v>
      </c>
      <c r="C300" s="29" t="s">
        <v>105</v>
      </c>
      <c r="D300" s="82">
        <f>+SUM(START:END!D300)</f>
        <v>198464.15154054872</v>
      </c>
      <c r="E300" s="148">
        <f t="shared" si="88"/>
        <v>0.21299999999999997</v>
      </c>
      <c r="F300" s="85">
        <f>+SUM(START:END!F300)</f>
        <v>42272.864278136869</v>
      </c>
      <c r="G300" s="82">
        <f>+SUM(START:END!G300)</f>
        <v>0</v>
      </c>
      <c r="H300" s="148">
        <f t="shared" si="89"/>
        <v>0</v>
      </c>
      <c r="I300" s="85">
        <f>+SUM(START:END!I300)</f>
        <v>0</v>
      </c>
      <c r="J300" s="30">
        <f>+SUM(START:END!J300)</f>
        <v>175251.71</v>
      </c>
      <c r="K300" s="148">
        <f t="shared" si="90"/>
        <v>0.20580843405179899</v>
      </c>
      <c r="L300" s="33">
        <f>+SUM(START:END!L300)</f>
        <v>36068.28</v>
      </c>
      <c r="M300" s="157">
        <f t="shared" si="85"/>
        <v>-0.11696037475970128</v>
      </c>
      <c r="N300" s="59">
        <f t="shared" si="86"/>
        <v>-6204.5842781368701</v>
      </c>
      <c r="O300" s="30">
        <f>+SUM(START:END!O300)</f>
        <v>186532.65</v>
      </c>
      <c r="P300" s="148">
        <f t="shared" si="91"/>
        <v>0.2075719719845292</v>
      </c>
      <c r="Q300" s="33">
        <f>+SUM(START:END!Q300)</f>
        <v>38718.94999999999</v>
      </c>
      <c r="R300" s="157">
        <f t="shared" si="92"/>
        <v>-6.0477026407977384E-2</v>
      </c>
      <c r="S300" s="85">
        <f t="shared" si="87"/>
        <v>-2650.669999999991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 t="shared" si="84"/>
        <v>Pièces[...]</v>
      </c>
      <c r="B301" s="11" t="s">
        <v>98</v>
      </c>
      <c r="C301" s="29" t="s">
        <v>19</v>
      </c>
      <c r="D301" s="82">
        <f>+SUM(START:END!D301)</f>
        <v>0</v>
      </c>
      <c r="E301" s="148">
        <f t="shared" si="88"/>
        <v>0</v>
      </c>
      <c r="F301" s="85">
        <f>+SUM(START:END!F301)</f>
        <v>0</v>
      </c>
      <c r="G301" s="82">
        <f>+SUM(START:END!G301)</f>
        <v>0</v>
      </c>
      <c r="H301" s="148">
        <f t="shared" si="89"/>
        <v>0</v>
      </c>
      <c r="I301" s="85">
        <f>+SUM(START:END!I301)</f>
        <v>0</v>
      </c>
      <c r="J301" s="30">
        <f>+SUM(START:END!J301)</f>
        <v>0</v>
      </c>
      <c r="K301" s="148">
        <f t="shared" si="90"/>
        <v>0</v>
      </c>
      <c r="L301" s="33">
        <f>+SUM(START:END!L301)</f>
        <v>0</v>
      </c>
      <c r="M301" s="157" t="e">
        <f t="shared" si="85"/>
        <v>#DIV/0!</v>
      </c>
      <c r="N301" s="59">
        <f t="shared" si="86"/>
        <v>0</v>
      </c>
      <c r="O301" s="30">
        <f>+SUM(START:END!O301)</f>
        <v>0</v>
      </c>
      <c r="P301" s="148">
        <f t="shared" si="91"/>
        <v>0</v>
      </c>
      <c r="Q301" s="33">
        <f>+SUM(START:END!Q301)</f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si="84"/>
        <v>PiècesEscomptes</v>
      </c>
      <c r="B302" s="11" t="s">
        <v>98</v>
      </c>
      <c r="C302" s="29" t="s">
        <v>106</v>
      </c>
      <c r="D302" s="82">
        <f>+SUM(START:END!D302)</f>
        <v>0</v>
      </c>
      <c r="E302" s="148">
        <f t="shared" si="88"/>
        <v>0</v>
      </c>
      <c r="F302" s="85">
        <f>+SUM(START:END!F302)</f>
        <v>18323.48345157814</v>
      </c>
      <c r="G302" s="82">
        <f>+SUM(START:END!G302)</f>
        <v>0</v>
      </c>
      <c r="H302" s="148">
        <f t="shared" si="89"/>
        <v>0</v>
      </c>
      <c r="I302" s="85">
        <f>+SUM(START:END!I302)</f>
        <v>0</v>
      </c>
      <c r="J302" s="30">
        <f>+SUM(START:END!J302)</f>
        <v>0</v>
      </c>
      <c r="K302" s="148">
        <f t="shared" si="90"/>
        <v>0</v>
      </c>
      <c r="L302" s="33">
        <f>+SUM(START:END!L302)</f>
        <v>12369.07</v>
      </c>
      <c r="M302" s="157"/>
      <c r="N302" s="59">
        <f t="shared" si="86"/>
        <v>-5954.4134515781407</v>
      </c>
      <c r="O302" s="30">
        <f>+SUM(START:END!O302)</f>
        <v>0</v>
      </c>
      <c r="P302" s="148">
        <f t="shared" si="91"/>
        <v>0</v>
      </c>
      <c r="Q302" s="33">
        <f>+SUM(START:END!Q302)</f>
        <v>20261.439999999999</v>
      </c>
      <c r="R302" s="157">
        <f t="shared" si="92"/>
        <v>0</v>
      </c>
      <c r="S302" s="85">
        <f>L302-Q302</f>
        <v>-7892.369999999999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84"/>
        <v>PiècesRectif. Inventaire</v>
      </c>
      <c r="B303" s="11" t="s">
        <v>98</v>
      </c>
      <c r="C303" s="86" t="s">
        <v>107</v>
      </c>
      <c r="D303" s="82">
        <f>+SUM(START:END!D303)</f>
        <v>0</v>
      </c>
      <c r="E303" s="148">
        <f t="shared" si="88"/>
        <v>0</v>
      </c>
      <c r="F303" s="85">
        <f>+SUM(START:END!F303)</f>
        <v>0</v>
      </c>
      <c r="G303" s="82">
        <f>+SUM(START:END!G303)</f>
        <v>0</v>
      </c>
      <c r="H303" s="148">
        <f t="shared" si="89"/>
        <v>0</v>
      </c>
      <c r="I303" s="85">
        <f>+SUM(START:END!I303)</f>
        <v>0</v>
      </c>
      <c r="J303" s="30">
        <f>+SUM(START:END!J303)</f>
        <v>0</v>
      </c>
      <c r="K303" s="148">
        <f t="shared" si="90"/>
        <v>0</v>
      </c>
      <c r="L303" s="33">
        <f>+SUM(START:END!L303)</f>
        <v>0</v>
      </c>
      <c r="M303" s="157"/>
      <c r="N303" s="59">
        <f t="shared" si="86"/>
        <v>0</v>
      </c>
      <c r="O303" s="30">
        <f>+SUM(START:END!O303)</f>
        <v>0</v>
      </c>
      <c r="P303" s="148">
        <f t="shared" si="91"/>
        <v>0</v>
      </c>
      <c r="Q303" s="33">
        <f>+SUM(START:END!Q303)</f>
        <v>0</v>
      </c>
      <c r="R303" s="157">
        <f t="shared" si="92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84"/>
        <v>PiècesSous-total Pièces</v>
      </c>
      <c r="B304" s="11" t="s">
        <v>98</v>
      </c>
      <c r="C304" s="53" t="s">
        <v>108</v>
      </c>
      <c r="D304" s="195">
        <f>SUM(D295:D303)</f>
        <v>736981.28294215025</v>
      </c>
      <c r="E304" s="213">
        <f>IF(D304&lt;=0,0,F304/D304)</f>
        <v>0.34070696628833508</v>
      </c>
      <c r="F304" s="199">
        <f>SUM(F295:F303)</f>
        <v>251094.65712250513</v>
      </c>
      <c r="G304" s="195">
        <f>SUM(G295:G303)</f>
        <v>0</v>
      </c>
      <c r="H304" s="213">
        <f>IF(G304&lt;=0,0,I304/G304)</f>
        <v>0</v>
      </c>
      <c r="I304" s="199">
        <f>SUM(I295:I303)</f>
        <v>0</v>
      </c>
      <c r="J304" s="195">
        <f>SUM(J295:J303)</f>
        <v>655384.91999999993</v>
      </c>
      <c r="K304" s="213">
        <f>IF(J304&lt;=0,0,L304/J304)</f>
        <v>0.31899830713224225</v>
      </c>
      <c r="L304" s="197">
        <f>SUM(L295:L303)</f>
        <v>209066.68</v>
      </c>
      <c r="M304" s="214">
        <f>(+J304-D304)/D304</f>
        <v>-0.11071700846513259</v>
      </c>
      <c r="N304" s="197">
        <f t="shared" si="86"/>
        <v>-42027.977122505137</v>
      </c>
      <c r="O304" s="195">
        <f>SUM(O295:O303)</f>
        <v>699541.95</v>
      </c>
      <c r="P304" s="213">
        <f>IF(O304&lt;=0,0,Q304/O304)</f>
        <v>0.33982233660182909</v>
      </c>
      <c r="Q304" s="197">
        <f>SUM(Q295:Q303)</f>
        <v>237719.97999999986</v>
      </c>
      <c r="R304" s="214">
        <f>IF(O304=0,0,(J304-O304)/O304)</f>
        <v>-6.3122776268099479E-2</v>
      </c>
      <c r="S304" s="199">
        <f>L304-Q304</f>
        <v>-28653.299999999872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84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-0.16737901795337823</v>
      </c>
      <c r="O305" s="41"/>
      <c r="P305" s="13"/>
      <c r="Q305" s="40"/>
      <c r="R305" s="41"/>
      <c r="S305" s="44">
        <f>IF(Q304=0,0,S304/Q304)</f>
        <v>-0.12053383144319585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84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84"/>
        <v>PiècesVentes Pneus</v>
      </c>
      <c r="B307" s="11" t="s">
        <v>98</v>
      </c>
      <c r="C307" s="29" t="s">
        <v>109</v>
      </c>
      <c r="D307" s="82">
        <f>+SUM(START:END!D307)</f>
        <v>206747.51046867919</v>
      </c>
      <c r="E307" s="148">
        <f t="shared" ref="E307:E308" si="93">IF(D307=0,0,F307/D307)</f>
        <v>0.25</v>
      </c>
      <c r="F307" s="110">
        <f>+SUM(START:END!F307)</f>
        <v>51686.877617169797</v>
      </c>
      <c r="G307" s="82">
        <f>+SUM(START:END!G307)</f>
        <v>0</v>
      </c>
      <c r="H307" s="148">
        <f t="shared" ref="H307:H308" si="94">IF(G307=0,0,I307/G307)</f>
        <v>0</v>
      </c>
      <c r="I307" s="110">
        <f>+SUM(START:END!I307)</f>
        <v>0</v>
      </c>
      <c r="J307" s="30">
        <f>+SUM(START:END!J307)</f>
        <v>236549.24</v>
      </c>
      <c r="K307" s="148">
        <f t="shared" ref="K307:K308" si="95">IF(J307=0,0,L307/J307)</f>
        <v>0.2354996363547818</v>
      </c>
      <c r="L307" s="33">
        <f>+SUM(START:END!L307)</f>
        <v>55707.26</v>
      </c>
      <c r="M307" s="157">
        <f>(+J307-D307)/D307</f>
        <v>0.14414553028359467</v>
      </c>
      <c r="N307" s="59">
        <f>L307-F307</f>
        <v>4020.3823828302047</v>
      </c>
      <c r="O307" s="30">
        <f>+SUM(START:END!O307)</f>
        <v>192505.77</v>
      </c>
      <c r="P307" s="148">
        <f t="shared" ref="P307:P308" si="96">IF(O307=0,0,Q307/O307)</f>
        <v>0.24053003709966669</v>
      </c>
      <c r="Q307" s="33">
        <f>+SUM(START:END!Q307)</f>
        <v>46303.419999999904</v>
      </c>
      <c r="R307" s="157">
        <f>IF(O307=0,0,(J307-O307)/O307)</f>
        <v>0.22879038898418474</v>
      </c>
      <c r="S307" s="85">
        <f>L307-Q307</f>
        <v>9403.8400000000984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84"/>
        <v>PiècesHuiles et Graisse</v>
      </c>
      <c r="B308" s="11" t="s">
        <v>98</v>
      </c>
      <c r="C308" s="86" t="s">
        <v>110</v>
      </c>
      <c r="D308" s="82">
        <f>+SUM(START:END!D308)</f>
        <v>38054.600775329287</v>
      </c>
      <c r="E308" s="148">
        <f t="shared" si="93"/>
        <v>0.34999999999999992</v>
      </c>
      <c r="F308" s="92">
        <f>+SUM(START:END!F308)</f>
        <v>13319.110271365247</v>
      </c>
      <c r="G308" s="82">
        <f>+SUM(START:END!G308)</f>
        <v>0</v>
      </c>
      <c r="H308" s="148">
        <f t="shared" si="94"/>
        <v>0</v>
      </c>
      <c r="I308" s="92">
        <f>+SUM(START:END!I308)</f>
        <v>0</v>
      </c>
      <c r="J308" s="30">
        <f>+SUM(START:END!J308)</f>
        <v>39093.590000000004</v>
      </c>
      <c r="K308" s="148">
        <f t="shared" si="95"/>
        <v>0.35073627159848969</v>
      </c>
      <c r="L308" s="33">
        <f>+SUM(START:END!L308)</f>
        <v>13711.540000000003</v>
      </c>
      <c r="M308" s="157">
        <f>(+J308-D308)/D308</f>
        <v>2.7302591631556183E-2</v>
      </c>
      <c r="N308" s="59">
        <f>L308-F308</f>
        <v>392.42972863475552</v>
      </c>
      <c r="O308" s="30">
        <f>+SUM(START:END!O308)</f>
        <v>35143.31</v>
      </c>
      <c r="P308" s="148">
        <f t="shared" si="96"/>
        <v>0.34752247298276689</v>
      </c>
      <c r="Q308" s="33">
        <f>+SUM(START:END!Q308)</f>
        <v>12213.09</v>
      </c>
      <c r="R308" s="157">
        <f>IF(O308=0,0,(J308-O308)/O308)</f>
        <v>0.11240489299385875</v>
      </c>
      <c r="S308" s="85">
        <f>L308-Q308</f>
        <v>1498.4500000000025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84"/>
        <v>PiècesSous-total Pièces et Acc.</v>
      </c>
      <c r="B309" s="11" t="s">
        <v>98</v>
      </c>
      <c r="C309" s="53" t="s">
        <v>111</v>
      </c>
      <c r="D309" s="195">
        <f>D304+D307+D308</f>
        <v>981783.39418615878</v>
      </c>
      <c r="E309" s="213">
        <f>IF(D309&lt;=0,0,F309/D309)</f>
        <v>0.32196576850138031</v>
      </c>
      <c r="F309" s="197">
        <f t="shared" ref="F309" si="97">F304+F307+F308</f>
        <v>316100.64501104021</v>
      </c>
      <c r="G309" s="198">
        <f>G304+G307+G308</f>
        <v>0</v>
      </c>
      <c r="H309" s="213">
        <f>IF(G309&lt;=0,0,I309/G309)</f>
        <v>0</v>
      </c>
      <c r="I309" s="197">
        <f t="shared" ref="I309" si="98">I304+I307+I308</f>
        <v>0</v>
      </c>
      <c r="J309" s="198">
        <f>J304+J307+J308</f>
        <v>931027.74999999988</v>
      </c>
      <c r="K309" s="213">
        <f>IF(J309&lt;=0,0,L309/J309)</f>
        <v>0.29911619712731441</v>
      </c>
      <c r="L309" s="197">
        <f t="shared" ref="L309" si="99">L304+L307+L308</f>
        <v>278485.48</v>
      </c>
      <c r="M309" s="214">
        <f>(+J309-D309)/D309</f>
        <v>-5.1697395257160945E-2</v>
      </c>
      <c r="N309" s="197">
        <f>L309-F309</f>
        <v>-37615.165011040226</v>
      </c>
      <c r="O309" s="198">
        <f>O304+O307+O308</f>
        <v>927191.03</v>
      </c>
      <c r="P309" s="213">
        <f>IF(O309&lt;=0,0,Q309/O309)</f>
        <v>0.31949887392676762</v>
      </c>
      <c r="Q309" s="197">
        <f t="shared" ref="Q309" si="100">Q304+Q307+Q308</f>
        <v>296236.48999999982</v>
      </c>
      <c r="R309" s="214">
        <f>IF(O309=0,0,(J309-O309)/O309)</f>
        <v>4.138003794104712E-3</v>
      </c>
      <c r="S309" s="199">
        <f>L309-Q309</f>
        <v>-17751.009999999835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84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-0.11899743200374194</v>
      </c>
      <c r="O310" s="41"/>
      <c r="P310" s="13"/>
      <c r="Q310" s="40"/>
      <c r="R310" s="41"/>
      <c r="S310" s="44">
        <f>IF(Q309=0,0,S309/Q309)</f>
        <v>-5.9921753731283563E-2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84"/>
        <v>PiècesPièces recond. MCPA</v>
      </c>
      <c r="B311" s="11" t="s">
        <v>98</v>
      </c>
      <c r="C311" s="29" t="s">
        <v>190</v>
      </c>
      <c r="D311" s="13">
        <f>+SUM(START:END!D311)</f>
        <v>0</v>
      </c>
      <c r="E311" s="13">
        <f t="shared" ref="E311:E312" si="101">IF(D311=0,0,F311/D311)</f>
        <v>0</v>
      </c>
      <c r="F311" s="40">
        <f>+SUM(START:END!F311)</f>
        <v>0</v>
      </c>
      <c r="G311" s="41">
        <f>+SUM(START:END!G311)</f>
        <v>0</v>
      </c>
      <c r="H311" s="13">
        <f t="shared" ref="H311:H312" si="102">IF(G311=0,0,I311/G311)</f>
        <v>0</v>
      </c>
      <c r="I311" s="40">
        <f>+SUM(START:END!I311)</f>
        <v>0</v>
      </c>
      <c r="J311" s="41">
        <f>+SUM(START:END!J311)</f>
        <v>0</v>
      </c>
      <c r="K311" s="13">
        <f t="shared" ref="K311:K312" si="103">IF(J311=0,0,L311/J311)</f>
        <v>0</v>
      </c>
      <c r="L311" s="40">
        <f>+SUM(START:END!L311)</f>
        <v>0</v>
      </c>
      <c r="M311" s="41"/>
      <c r="N311" s="43"/>
      <c r="O311" s="41">
        <f>+SUM(START:END!O311)</f>
        <v>0</v>
      </c>
      <c r="P311" s="13">
        <f t="shared" ref="P311:P312" si="104">IF(O311=0,0,Q311/O311)</f>
        <v>0</v>
      </c>
      <c r="Q311" s="40">
        <f>+SUM(START:END!Q311)</f>
        <v>0</v>
      </c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84"/>
        <v>PiècesAutostock</v>
      </c>
      <c r="B312" s="11" t="s">
        <v>98</v>
      </c>
      <c r="C312" s="86" t="s">
        <v>112</v>
      </c>
      <c r="D312" s="90">
        <f>+SUM(START:END!D312)</f>
        <v>0</v>
      </c>
      <c r="E312" s="217">
        <f t="shared" si="101"/>
        <v>0</v>
      </c>
      <c r="F312" s="146">
        <f>+SUM(START:END!F312)</f>
        <v>0</v>
      </c>
      <c r="G312" s="172">
        <f>+SUM(START:END!G312)</f>
        <v>0</v>
      </c>
      <c r="H312" s="217">
        <f t="shared" si="102"/>
        <v>0</v>
      </c>
      <c r="I312" s="146">
        <f>+SUM(START:END!I312)</f>
        <v>0</v>
      </c>
      <c r="J312" s="46">
        <f>+SUM(START:END!J312)</f>
        <v>0</v>
      </c>
      <c r="K312" s="218">
        <f t="shared" si="103"/>
        <v>0</v>
      </c>
      <c r="L312" s="22">
        <f>+SUM(START:END!L312)</f>
        <v>0</v>
      </c>
      <c r="M312" s="218">
        <f>IF(F312=0,0,(+L312-F312)/F312)</f>
        <v>0</v>
      </c>
      <c r="N312" s="91">
        <f>L312-F312</f>
        <v>0</v>
      </c>
      <c r="O312" s="46">
        <f>+SUM(START:END!O312)</f>
        <v>0</v>
      </c>
      <c r="P312" s="218">
        <f t="shared" si="104"/>
        <v>0</v>
      </c>
      <c r="Q312" s="22">
        <f>+SUM(START:END!Q312)</f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84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84"/>
        <v>PiècesTotal Dépt. Pièces</v>
      </c>
      <c r="B314" s="11" t="s">
        <v>98</v>
      </c>
      <c r="C314" s="62" t="s">
        <v>113</v>
      </c>
      <c r="D314" s="63">
        <f>D309+D312+D311</f>
        <v>981783.39418615878</v>
      </c>
      <c r="E314" s="219">
        <f>IF(D314&lt;=0,0,F314/D314)</f>
        <v>0.32196576850138031</v>
      </c>
      <c r="F314" s="65">
        <f>F309+F312+F311</f>
        <v>316100.64501104021</v>
      </c>
      <c r="G314" s="66">
        <f>G309+G312+G311</f>
        <v>0</v>
      </c>
      <c r="H314" s="219">
        <f>IF(G314&lt;=0,0,I314/G314)</f>
        <v>0</v>
      </c>
      <c r="I314" s="65">
        <f>I309+I312+I311</f>
        <v>0</v>
      </c>
      <c r="J314" s="66">
        <f>J309+J312+J311</f>
        <v>931027.74999999988</v>
      </c>
      <c r="K314" s="219">
        <f>IF(J314&lt;=0,0,L314/J314)</f>
        <v>0.29911619712731441</v>
      </c>
      <c r="L314" s="65">
        <f>L309+L312+L311</f>
        <v>278485.48</v>
      </c>
      <c r="M314" s="220">
        <f>(+J314-D314)/D314</f>
        <v>-5.1697395257160945E-2</v>
      </c>
      <c r="N314" s="221">
        <f>L314-F314</f>
        <v>-37615.165011040226</v>
      </c>
      <c r="O314" s="66">
        <f>O309+O312+O311</f>
        <v>927191.03</v>
      </c>
      <c r="P314" s="219">
        <f>IF(O314&lt;=0,0,Q314/O314)</f>
        <v>0.31949887392676762</v>
      </c>
      <c r="Q314" s="65">
        <f>Q309+Q312+Q311</f>
        <v>296236.48999999982</v>
      </c>
      <c r="R314" s="220">
        <f>IF(O314=0,0,(J314-O314)/O314)</f>
        <v>4.138003794104712E-3</v>
      </c>
      <c r="S314" s="222">
        <f>L314-Q314</f>
        <v>-17751.009999999835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84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-0.11899743200374194</v>
      </c>
      <c r="O315" s="227"/>
      <c r="P315" s="225"/>
      <c r="Q315" s="226"/>
      <c r="R315" s="228"/>
      <c r="S315" s="75">
        <f>IF(Q314=0,0,S314/Q314)</f>
        <v>-5.9921753731283563E-2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84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84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84"/>
        <v>PiècesSalaires cadres</v>
      </c>
      <c r="B318" s="11" t="s">
        <v>98</v>
      </c>
      <c r="C318" s="102" t="s">
        <v>40</v>
      </c>
      <c r="D318" s="13"/>
      <c r="E318" s="13"/>
      <c r="F318" s="30">
        <f>+SUM(START:END!F318)</f>
        <v>12478.783206106869</v>
      </c>
      <c r="G318" s="41"/>
      <c r="H318" s="13"/>
      <c r="I318" s="30">
        <f>+SUM(START:END!I318)</f>
        <v>0</v>
      </c>
      <c r="J318" s="41"/>
      <c r="K318" s="13"/>
      <c r="L318" s="33">
        <f>+SUM(START:END!L318)</f>
        <v>10973.66</v>
      </c>
      <c r="M318" s="41"/>
      <c r="N318" s="59">
        <f t="shared" ref="N318:N348" si="105">L318-F318</f>
        <v>-1505.1232061068695</v>
      </c>
      <c r="O318" s="41"/>
      <c r="P318" s="13"/>
      <c r="Q318" s="33">
        <f>+SUM(START:END!Q318)</f>
        <v>10218.85</v>
      </c>
      <c r="R318" s="41"/>
      <c r="S318" s="85">
        <f t="shared" ref="S318:S343" si="106">L318-Q318</f>
        <v>754.80999999999949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84"/>
        <v>PiècesSalaires commis</v>
      </c>
      <c r="B319" s="11" t="s">
        <v>98</v>
      </c>
      <c r="C319" s="103" t="s">
        <v>41</v>
      </c>
      <c r="D319" s="81"/>
      <c r="E319" s="13"/>
      <c r="F319" s="22">
        <f>+SUM(START:END!F319)</f>
        <v>8241.5526717557259</v>
      </c>
      <c r="G319" s="83"/>
      <c r="H319" s="13"/>
      <c r="I319" s="22">
        <f>+SUM(START:END!I319)</f>
        <v>0</v>
      </c>
      <c r="J319" s="41"/>
      <c r="K319" s="13"/>
      <c r="L319" s="33">
        <f>+SUM(START:END!L319)</f>
        <v>8290.56</v>
      </c>
      <c r="M319" s="41"/>
      <c r="N319" s="59">
        <f t="shared" si="105"/>
        <v>49.007328244273594</v>
      </c>
      <c r="O319" s="41"/>
      <c r="P319" s="13"/>
      <c r="Q319" s="33">
        <f>+SUM(START:END!Q319)</f>
        <v>8303.5299999999988</v>
      </c>
      <c r="R319" s="41"/>
      <c r="S319" s="85">
        <f t="shared" si="106"/>
        <v>-12.969999999999345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84"/>
        <v>PiècesSalaires autres</v>
      </c>
      <c r="B320" s="11" t="s">
        <v>98</v>
      </c>
      <c r="C320" s="102" t="s">
        <v>42</v>
      </c>
      <c r="D320" s="104"/>
      <c r="E320" s="105"/>
      <c r="F320" s="30">
        <f>+SUM(START:END!F320)</f>
        <v>40083.194656488551</v>
      </c>
      <c r="G320" s="106"/>
      <c r="H320" s="105"/>
      <c r="I320" s="30">
        <f>+SUM(START:END!I320)</f>
        <v>0</v>
      </c>
      <c r="J320" s="107"/>
      <c r="K320" s="105"/>
      <c r="L320" s="108">
        <f>+SUM(START:END!L320)</f>
        <v>38392.04</v>
      </c>
      <c r="M320" s="107"/>
      <c r="N320" s="109">
        <f t="shared" si="105"/>
        <v>-1691.1546564885502</v>
      </c>
      <c r="O320" s="107"/>
      <c r="P320" s="105"/>
      <c r="Q320" s="108">
        <f>+SUM(START:END!Q320)</f>
        <v>38883.919999999998</v>
      </c>
      <c r="R320" s="107"/>
      <c r="S320" s="110">
        <f t="shared" si="106"/>
        <v>-491.87999999999738</v>
      </c>
      <c r="T320" s="13"/>
      <c r="U320" s="13"/>
      <c r="V320" s="478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84"/>
        <v>PiècesSalaires spécialistes</v>
      </c>
      <c r="B321" s="11" t="s">
        <v>98</v>
      </c>
      <c r="C321" s="102" t="s">
        <v>43</v>
      </c>
      <c r="D321" s="81"/>
      <c r="E321" s="13"/>
      <c r="F321" s="30">
        <f>+SUM(START:END!F321)</f>
        <v>0</v>
      </c>
      <c r="G321" s="83"/>
      <c r="H321" s="13"/>
      <c r="I321" s="30">
        <f>+SUM(START:END!I321)</f>
        <v>0</v>
      </c>
      <c r="J321" s="41"/>
      <c r="K321" s="13"/>
      <c r="L321" s="33">
        <f>+SUM(START:END!L321)</f>
        <v>0</v>
      </c>
      <c r="M321" s="41"/>
      <c r="N321" s="59">
        <f t="shared" si="105"/>
        <v>0</v>
      </c>
      <c r="O321" s="41"/>
      <c r="P321" s="13"/>
      <c r="Q321" s="33">
        <f>+SUM(START:END!Q321)</f>
        <v>0</v>
      </c>
      <c r="R321" s="41"/>
      <c r="S321" s="85">
        <f t="shared" si="106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84"/>
        <v>Pièces[...]</v>
      </c>
      <c r="B322" s="11" t="s">
        <v>98</v>
      </c>
      <c r="C322" s="229" t="s">
        <v>19</v>
      </c>
      <c r="D322" s="81"/>
      <c r="E322" s="13"/>
      <c r="F322" s="30">
        <f>+SUM(START:END!F322)</f>
        <v>0</v>
      </c>
      <c r="G322" s="83"/>
      <c r="H322" s="13"/>
      <c r="I322" s="30">
        <f>+SUM(START:END!I322)</f>
        <v>0</v>
      </c>
      <c r="J322" s="41"/>
      <c r="K322" s="13"/>
      <c r="L322" s="33">
        <f>+SUM(START:END!L322)</f>
        <v>0</v>
      </c>
      <c r="M322" s="41"/>
      <c r="N322" s="59">
        <f t="shared" si="105"/>
        <v>0</v>
      </c>
      <c r="O322" s="41"/>
      <c r="P322" s="13"/>
      <c r="Q322" s="33">
        <f>+SUM(START:END!Q322)</f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 t="shared" si="84"/>
        <v>Pièces[...]</v>
      </c>
      <c r="B323" s="11" t="s">
        <v>98</v>
      </c>
      <c r="C323" s="229" t="s">
        <v>19</v>
      </c>
      <c r="D323" s="81"/>
      <c r="E323" s="13"/>
      <c r="F323" s="30">
        <f>+SUM(START:END!F323)</f>
        <v>0</v>
      </c>
      <c r="G323" s="83"/>
      <c r="H323" s="13"/>
      <c r="I323" s="30">
        <f>+SUM(START:END!I323)</f>
        <v>0</v>
      </c>
      <c r="J323" s="41"/>
      <c r="K323" s="13"/>
      <c r="L323" s="33">
        <f>+SUM(START:END!L323)</f>
        <v>0</v>
      </c>
      <c r="M323" s="41"/>
      <c r="N323" s="59">
        <f t="shared" si="105"/>
        <v>0</v>
      </c>
      <c r="O323" s="41"/>
      <c r="P323" s="13"/>
      <c r="Q323" s="33">
        <f>+SUM(START:END!Q323)</f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 t="shared" si="84"/>
        <v>Pièces[...]</v>
      </c>
      <c r="B324" s="11" t="s">
        <v>98</v>
      </c>
      <c r="C324" s="229" t="s">
        <v>19</v>
      </c>
      <c r="D324" s="81"/>
      <c r="E324" s="13"/>
      <c r="F324" s="30">
        <f>+SUM(START:END!F324)</f>
        <v>0</v>
      </c>
      <c r="G324" s="83"/>
      <c r="H324" s="13"/>
      <c r="I324" s="30">
        <f>+SUM(START:END!I324)</f>
        <v>0</v>
      </c>
      <c r="J324" s="41"/>
      <c r="K324" s="13"/>
      <c r="L324" s="33">
        <f>+SUM(START:END!L324)</f>
        <v>0</v>
      </c>
      <c r="M324" s="41"/>
      <c r="N324" s="59">
        <f t="shared" si="105"/>
        <v>0</v>
      </c>
      <c r="O324" s="41"/>
      <c r="P324" s="13"/>
      <c r="Q324" s="33">
        <f>+SUM(START:END!Q324)</f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si="84"/>
        <v>PiècesSalaires en absences</v>
      </c>
      <c r="B325" s="11" t="s">
        <v>98</v>
      </c>
      <c r="C325" s="103" t="s">
        <v>44</v>
      </c>
      <c r="D325" s="81"/>
      <c r="E325" s="13"/>
      <c r="F325" s="22">
        <f>+SUM(START:END!F325)</f>
        <v>7193.0499927334122</v>
      </c>
      <c r="G325" s="83"/>
      <c r="H325" s="13"/>
      <c r="I325" s="22">
        <f>+SUM(START:END!I325)</f>
        <v>0</v>
      </c>
      <c r="J325" s="41"/>
      <c r="K325" s="13"/>
      <c r="L325" s="33">
        <f>+SUM(START:END!L325)</f>
        <v>8140.4</v>
      </c>
      <c r="M325" s="41"/>
      <c r="N325" s="59">
        <f t="shared" si="105"/>
        <v>947.35000726658745</v>
      </c>
      <c r="O325" s="41"/>
      <c r="P325" s="13"/>
      <c r="Q325" s="33">
        <f>+SUM(START:END!Q325)</f>
        <v>6992.7800000000007</v>
      </c>
      <c r="R325" s="41"/>
      <c r="S325" s="85">
        <f t="shared" si="106"/>
        <v>1147.619999999999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4"/>
        <v>PiècesDéduction à la source</v>
      </c>
      <c r="B326" s="11" t="s">
        <v>98</v>
      </c>
      <c r="C326" s="102" t="s">
        <v>45</v>
      </c>
      <c r="D326" s="104"/>
      <c r="E326" s="105"/>
      <c r="F326" s="30">
        <f>+SUM(START:END!F326)</f>
        <v>9440.7139206106876</v>
      </c>
      <c r="G326" s="106"/>
      <c r="H326" s="105"/>
      <c r="I326" s="30">
        <f>+SUM(START:END!I326)</f>
        <v>0</v>
      </c>
      <c r="J326" s="107"/>
      <c r="K326" s="105"/>
      <c r="L326" s="108">
        <f>+SUM(START:END!L326)</f>
        <v>10799.050000000001</v>
      </c>
      <c r="M326" s="107"/>
      <c r="N326" s="109">
        <f t="shared" si="105"/>
        <v>1358.3360793893135</v>
      </c>
      <c r="O326" s="107"/>
      <c r="P326" s="105"/>
      <c r="Q326" s="108">
        <f>+SUM(START:END!Q326)</f>
        <v>10395.76</v>
      </c>
      <c r="R326" s="107"/>
      <c r="S326" s="110">
        <f t="shared" si="106"/>
        <v>403.29000000000087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4"/>
        <v>PiècesBénéfices marginaux</v>
      </c>
      <c r="B327" s="11" t="s">
        <v>98</v>
      </c>
      <c r="C327" s="102" t="s">
        <v>46</v>
      </c>
      <c r="D327" s="81"/>
      <c r="E327" s="13"/>
      <c r="F327" s="30">
        <f>+SUM(START:END!F327)</f>
        <v>4324.9521030534352</v>
      </c>
      <c r="G327" s="83"/>
      <c r="H327" s="13"/>
      <c r="I327" s="30">
        <f>+SUM(START:END!I327)</f>
        <v>0</v>
      </c>
      <c r="J327" s="41"/>
      <c r="K327" s="13"/>
      <c r="L327" s="33">
        <f>+SUM(START:END!L327)</f>
        <v>4944.16</v>
      </c>
      <c r="M327" s="41"/>
      <c r="N327" s="59">
        <f t="shared" si="105"/>
        <v>619.20789694656469</v>
      </c>
      <c r="O327" s="41"/>
      <c r="P327" s="13"/>
      <c r="Q327" s="33">
        <f>+SUM(START:END!Q327)</f>
        <v>5246.24</v>
      </c>
      <c r="R327" s="41"/>
      <c r="S327" s="85">
        <f t="shared" si="106"/>
        <v>-302.07999999999993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4"/>
        <v>PiècesCsst</v>
      </c>
      <c r="B328" s="11" t="s">
        <v>98</v>
      </c>
      <c r="C328" s="102" t="s">
        <v>47</v>
      </c>
      <c r="D328" s="81"/>
      <c r="E328" s="13"/>
      <c r="F328" s="30">
        <f>+SUM(START:END!F328)</f>
        <v>976.60208778625952</v>
      </c>
      <c r="G328" s="83"/>
      <c r="H328" s="13"/>
      <c r="I328" s="30">
        <f>+SUM(START:END!I328)</f>
        <v>0</v>
      </c>
      <c r="J328" s="41"/>
      <c r="K328" s="13"/>
      <c r="L328" s="33">
        <f>+SUM(START:END!L328)</f>
        <v>993.31999999999994</v>
      </c>
      <c r="M328" s="483"/>
      <c r="N328" s="146">
        <f t="shared" si="105"/>
        <v>16.717912213740419</v>
      </c>
      <c r="O328" s="41"/>
      <c r="P328" s="13"/>
      <c r="Q328" s="33">
        <f>+SUM(START:END!Q328)</f>
        <v>767.8</v>
      </c>
      <c r="R328" s="41"/>
      <c r="S328" s="85">
        <f t="shared" si="106"/>
        <v>225.51999999999998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4"/>
        <v>Pièces[...]</v>
      </c>
      <c r="B329" s="11" t="s">
        <v>98</v>
      </c>
      <c r="C329" s="229" t="s">
        <v>19</v>
      </c>
      <c r="D329" s="81"/>
      <c r="E329" s="13"/>
      <c r="F329" s="30">
        <f>+SUM(START:END!F329)</f>
        <v>0</v>
      </c>
      <c r="G329" s="83"/>
      <c r="H329" s="13"/>
      <c r="I329" s="30">
        <f>+SUM(START:END!I329)</f>
        <v>0</v>
      </c>
      <c r="J329" s="41"/>
      <c r="K329" s="13"/>
      <c r="L329" s="33">
        <f>+SUM(START:END!L329)</f>
        <v>0</v>
      </c>
      <c r="M329" s="41"/>
      <c r="N329" s="59">
        <f t="shared" ref="N329" si="107">L329-F329</f>
        <v>0</v>
      </c>
      <c r="O329" s="41"/>
      <c r="P329" s="13"/>
      <c r="Q329" s="33">
        <f>+SUM(START:END!Q329)</f>
        <v>0</v>
      </c>
      <c r="R329" s="41"/>
      <c r="S329" s="85">
        <f>L329-Q329</f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4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0.26174843343215953</v>
      </c>
      <c r="F330" s="96">
        <f>+SUM(F318:F329)</f>
        <v>82738.848638534953</v>
      </c>
      <c r="G330" s="97" t="s">
        <v>38</v>
      </c>
      <c r="H330" s="95" t="e">
        <f>I330/I$314</f>
        <v>#DIV/0!</v>
      </c>
      <c r="I330" s="96">
        <f>+SUM(I318:I329)</f>
        <v>0</v>
      </c>
      <c r="J330" s="97" t="s">
        <v>38</v>
      </c>
      <c r="K330" s="95">
        <f>L330/L$314</f>
        <v>0.29636442804845703</v>
      </c>
      <c r="L330" s="96">
        <f>+SUM(L318:L329)</f>
        <v>82533.190000000017</v>
      </c>
      <c r="M330" s="147"/>
      <c r="N330" s="113">
        <f t="shared" si="105"/>
        <v>-205.65863853493647</v>
      </c>
      <c r="O330" s="97" t="s">
        <v>38</v>
      </c>
      <c r="P330" s="95">
        <f>Q330/Q$314</f>
        <v>0.27278503063549009</v>
      </c>
      <c r="Q330" s="96">
        <f>+SUM(Q318:Q329)</f>
        <v>80808.88</v>
      </c>
      <c r="R330" s="147"/>
      <c r="S330" s="114">
        <f t="shared" si="106"/>
        <v>1724.3100000000122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4"/>
        <v>PiècesPublicité 2</v>
      </c>
      <c r="B331" s="11" t="s">
        <v>98</v>
      </c>
      <c r="C331" s="211" t="s">
        <v>49</v>
      </c>
      <c r="D331" s="81"/>
      <c r="E331" s="13"/>
      <c r="F331" s="30">
        <f>+SUM(START:END!F331)</f>
        <v>7768.02217927536</v>
      </c>
      <c r="G331" s="83"/>
      <c r="H331" s="13"/>
      <c r="I331" s="30">
        <f>+SUM(START:END!I331)</f>
        <v>0</v>
      </c>
      <c r="J331" s="41"/>
      <c r="K331" s="13"/>
      <c r="L331" s="33">
        <f>+SUM(START:END!L331)</f>
        <v>9248.9699999999993</v>
      </c>
      <c r="M331" s="41"/>
      <c r="N331" s="59">
        <f t="shared" si="105"/>
        <v>1480.9478207246393</v>
      </c>
      <c r="O331" s="41"/>
      <c r="P331" s="13"/>
      <c r="Q331" s="33">
        <f>+SUM(START:END!Q331)</f>
        <v>8954.27</v>
      </c>
      <c r="R331" s="41"/>
      <c r="S331" s="85">
        <f t="shared" si="106"/>
        <v>294.69999999999891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4"/>
        <v>PiècesService gratuit 2</v>
      </c>
      <c r="B332" s="11" t="s">
        <v>98</v>
      </c>
      <c r="C332" s="102" t="s">
        <v>50</v>
      </c>
      <c r="D332" s="81"/>
      <c r="E332" s="13"/>
      <c r="F332" s="30">
        <f>+SUM(START:END!F332)</f>
        <v>795</v>
      </c>
      <c r="G332" s="83"/>
      <c r="H332" s="13"/>
      <c r="I332" s="30">
        <f>+SUM(START:END!I332)</f>
        <v>0</v>
      </c>
      <c r="J332" s="41"/>
      <c r="K332" s="13"/>
      <c r="L332" s="59">
        <f>+SUM(START:END!L332)</f>
        <v>3380.59</v>
      </c>
      <c r="M332" s="41"/>
      <c r="N332" s="59">
        <f t="shared" si="105"/>
        <v>2585.59</v>
      </c>
      <c r="O332" s="41"/>
      <c r="P332" s="13"/>
      <c r="Q332" s="33">
        <f>+SUM(START:END!Q332)</f>
        <v>456.65</v>
      </c>
      <c r="R332" s="41"/>
      <c r="S332" s="85">
        <f t="shared" si="106"/>
        <v>2923.94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4"/>
        <v>PiècesFrais véhicules de cie</v>
      </c>
      <c r="B333" s="11" t="s">
        <v>98</v>
      </c>
      <c r="C333" s="103" t="s">
        <v>51</v>
      </c>
      <c r="D333" s="87"/>
      <c r="E333" s="111"/>
      <c r="F333" s="22">
        <f>+SUM(START:END!F333)</f>
        <v>13270.000000000002</v>
      </c>
      <c r="G333" s="89"/>
      <c r="H333" s="111"/>
      <c r="I333" s="22">
        <f>+SUM(START:END!I333)</f>
        <v>0</v>
      </c>
      <c r="J333" s="23"/>
      <c r="K333" s="111"/>
      <c r="L333" s="91">
        <f>+SUM(START:END!L333)</f>
        <v>13661.04</v>
      </c>
      <c r="M333" s="23"/>
      <c r="N333" s="91">
        <f t="shared" si="105"/>
        <v>391.03999999999905</v>
      </c>
      <c r="O333" s="23"/>
      <c r="P333" s="111"/>
      <c r="Q333" s="33">
        <f>+SUM(START:END!Q333)</f>
        <v>14400.49</v>
      </c>
      <c r="R333" s="23"/>
      <c r="S333" s="92">
        <f t="shared" si="106"/>
        <v>-739.44999999999891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4"/>
        <v>PiècesInformatique</v>
      </c>
      <c r="B334" s="11" t="s">
        <v>98</v>
      </c>
      <c r="C334" s="102" t="s">
        <v>52</v>
      </c>
      <c r="D334" s="81"/>
      <c r="E334" s="13"/>
      <c r="F334" s="30">
        <f>+SUM(START:END!F334)</f>
        <v>5741.4000000000005</v>
      </c>
      <c r="G334" s="83"/>
      <c r="H334" s="13"/>
      <c r="I334" s="30">
        <f>+SUM(START:END!I334)</f>
        <v>0</v>
      </c>
      <c r="J334" s="41"/>
      <c r="K334" s="13"/>
      <c r="L334" s="108">
        <f>+SUM(START:END!L334)</f>
        <v>5316.35</v>
      </c>
      <c r="M334" s="41"/>
      <c r="N334" s="59">
        <f t="shared" si="105"/>
        <v>-425.05000000000018</v>
      </c>
      <c r="O334" s="41"/>
      <c r="P334" s="13"/>
      <c r="Q334" s="108">
        <f>+SUM(START:END!Q334)</f>
        <v>5912.65</v>
      </c>
      <c r="R334" s="41"/>
      <c r="S334" s="85">
        <f t="shared" si="106"/>
        <v>-596.29999999999927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4"/>
        <v>PiècesFrais de déplacement</v>
      </c>
      <c r="B335" s="11" t="s">
        <v>98</v>
      </c>
      <c r="C335" s="102" t="s">
        <v>53</v>
      </c>
      <c r="D335" s="81"/>
      <c r="E335" s="13"/>
      <c r="F335" s="30">
        <f>+SUM(START:END!F335)</f>
        <v>1096.8000000000002</v>
      </c>
      <c r="G335" s="83"/>
      <c r="H335" s="13"/>
      <c r="I335" s="30">
        <f>+SUM(START:END!I335)</f>
        <v>0</v>
      </c>
      <c r="J335" s="41"/>
      <c r="K335" s="13"/>
      <c r="L335" s="33">
        <f>+SUM(START:END!L335)</f>
        <v>941.02</v>
      </c>
      <c r="M335" s="41"/>
      <c r="N335" s="59">
        <f t="shared" si="105"/>
        <v>-155.7800000000002</v>
      </c>
      <c r="O335" s="41"/>
      <c r="P335" s="13"/>
      <c r="Q335" s="33">
        <f>+SUM(START:END!Q335)</f>
        <v>865.95</v>
      </c>
      <c r="R335" s="41"/>
      <c r="S335" s="85">
        <f t="shared" si="106"/>
        <v>75.069999999999936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4"/>
        <v>PiècesServices extérieurs</v>
      </c>
      <c r="B336" s="11" t="s">
        <v>98</v>
      </c>
      <c r="C336" s="230" t="s">
        <v>54</v>
      </c>
      <c r="D336" s="87"/>
      <c r="E336" s="111"/>
      <c r="F336" s="22">
        <f>+SUM(START:END!F336)</f>
        <v>5982.6</v>
      </c>
      <c r="G336" s="89"/>
      <c r="H336" s="111"/>
      <c r="I336" s="22">
        <f>+SUM(START:END!I336)</f>
        <v>0</v>
      </c>
      <c r="J336" s="23"/>
      <c r="K336" s="111"/>
      <c r="L336" s="48">
        <f>+SUM(START:END!L336)</f>
        <v>5738.86</v>
      </c>
      <c r="M336" s="23"/>
      <c r="N336" s="91">
        <f t="shared" si="105"/>
        <v>-243.74000000000069</v>
      </c>
      <c r="O336" s="23"/>
      <c r="P336" s="111"/>
      <c r="Q336" s="48">
        <f>+SUM(START:END!Q336)</f>
        <v>5220.01</v>
      </c>
      <c r="R336" s="23"/>
      <c r="S336" s="92">
        <f t="shared" si="106"/>
        <v>518.84999999999945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84"/>
        <v>PiècesFournitures d'atelier</v>
      </c>
      <c r="B337" s="11" t="s">
        <v>98</v>
      </c>
      <c r="C337" s="102" t="s">
        <v>93</v>
      </c>
      <c r="D337" s="81"/>
      <c r="E337" s="13"/>
      <c r="F337" s="30">
        <f>+SUM(START:END!F337)</f>
        <v>0</v>
      </c>
      <c r="G337" s="83"/>
      <c r="H337" s="13"/>
      <c r="I337" s="30">
        <f>+SUM(START:END!I337)</f>
        <v>0</v>
      </c>
      <c r="J337" s="41"/>
      <c r="K337" s="13"/>
      <c r="L337" s="33">
        <f>+SUM(START:END!L337)</f>
        <v>0</v>
      </c>
      <c r="M337" s="41"/>
      <c r="N337" s="59">
        <f t="shared" si="105"/>
        <v>0</v>
      </c>
      <c r="O337" s="41"/>
      <c r="P337" s="13"/>
      <c r="Q337" s="33">
        <f>+SUM(START:END!Q337)</f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si="84"/>
        <v>PiècesFournitures autres</v>
      </c>
      <c r="B338" s="11" t="s">
        <v>98</v>
      </c>
      <c r="C338" s="102" t="s">
        <v>55</v>
      </c>
      <c r="D338" s="81"/>
      <c r="E338" s="13"/>
      <c r="F338" s="30">
        <f>+SUM(START:END!F338)</f>
        <v>87.148594377510037</v>
      </c>
      <c r="G338" s="83"/>
      <c r="H338" s="13"/>
      <c r="I338" s="30">
        <f>+SUM(START:END!I338)</f>
        <v>0</v>
      </c>
      <c r="J338" s="41"/>
      <c r="K338" s="13"/>
      <c r="L338" s="33">
        <f>+SUM(START:END!L338)</f>
        <v>0</v>
      </c>
      <c r="M338" s="41"/>
      <c r="N338" s="59">
        <f t="shared" si="105"/>
        <v>-87.148594377510037</v>
      </c>
      <c r="O338" s="41"/>
      <c r="P338" s="13"/>
      <c r="Q338" s="33">
        <f>+SUM(START:END!Q338)</f>
        <v>95.25</v>
      </c>
      <c r="R338" s="41"/>
      <c r="S338" s="85">
        <f t="shared" si="106"/>
        <v>-95.25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4"/>
        <v>PiècesUniformes</v>
      </c>
      <c r="B339" s="11" t="s">
        <v>98</v>
      </c>
      <c r="C339" s="102" t="s">
        <v>56</v>
      </c>
      <c r="D339" s="81"/>
      <c r="E339" s="13"/>
      <c r="F339" s="30">
        <f>+SUM(START:END!F339)</f>
        <v>99</v>
      </c>
      <c r="G339" s="83"/>
      <c r="H339" s="13"/>
      <c r="I339" s="30">
        <f>+SUM(START:END!I339)</f>
        <v>0</v>
      </c>
      <c r="J339" s="41"/>
      <c r="K339" s="13"/>
      <c r="L339" s="33">
        <f>+SUM(START:END!L339)</f>
        <v>34.700000000000003</v>
      </c>
      <c r="M339" s="41"/>
      <c r="N339" s="59">
        <f t="shared" si="105"/>
        <v>-64.3</v>
      </c>
      <c r="O339" s="41"/>
      <c r="P339" s="13"/>
      <c r="Q339" s="33">
        <f>+SUM(START:END!Q339)</f>
        <v>123.18</v>
      </c>
      <c r="R339" s="41"/>
      <c r="S339" s="85">
        <f t="shared" si="106"/>
        <v>-88.48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PiècesPapeterie</v>
      </c>
      <c r="B340" s="11" t="s">
        <v>98</v>
      </c>
      <c r="C340" s="102" t="s">
        <v>57</v>
      </c>
      <c r="D340" s="81"/>
      <c r="E340" s="13"/>
      <c r="F340" s="30">
        <f>+SUM(START:END!F340)</f>
        <v>1050</v>
      </c>
      <c r="G340" s="83"/>
      <c r="H340" s="13"/>
      <c r="I340" s="30">
        <f>+SUM(START:END!I340)</f>
        <v>0</v>
      </c>
      <c r="J340" s="41"/>
      <c r="K340" s="13"/>
      <c r="L340" s="32">
        <f>+SUM(START:END!L340)</f>
        <v>712.85</v>
      </c>
      <c r="M340" s="41"/>
      <c r="N340" s="59">
        <f t="shared" si="105"/>
        <v>-337.15</v>
      </c>
      <c r="O340" s="41"/>
      <c r="P340" s="13"/>
      <c r="Q340" s="32">
        <f>+SUM(START:END!Q340)</f>
        <v>892.38</v>
      </c>
      <c r="R340" s="41"/>
      <c r="S340" s="85">
        <f t="shared" si="106"/>
        <v>-179.52999999999997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PiècesTéléphone</v>
      </c>
      <c r="B341" s="11" t="s">
        <v>98</v>
      </c>
      <c r="C341" s="102" t="s">
        <v>58</v>
      </c>
      <c r="D341" s="81"/>
      <c r="E341" s="13"/>
      <c r="F341" s="30">
        <f>+SUM(START:END!F341)</f>
        <v>355.20000000000005</v>
      </c>
      <c r="G341" s="83"/>
      <c r="H341" s="13"/>
      <c r="I341" s="30">
        <f>+SUM(START:END!I341)</f>
        <v>0</v>
      </c>
      <c r="J341" s="41"/>
      <c r="K341" s="13"/>
      <c r="L341" s="33">
        <f>+SUM(START:END!L341)</f>
        <v>393.49</v>
      </c>
      <c r="M341" s="41"/>
      <c r="N341" s="59">
        <f t="shared" si="105"/>
        <v>38.289999999999964</v>
      </c>
      <c r="O341" s="41"/>
      <c r="P341" s="13"/>
      <c r="Q341" s="33">
        <f>+SUM(START:END!Q341)</f>
        <v>202.34</v>
      </c>
      <c r="R341" s="41"/>
      <c r="S341" s="85">
        <f t="shared" si="106"/>
        <v>191.15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PiècesFrais postaux</v>
      </c>
      <c r="B342" s="11" t="s">
        <v>98</v>
      </c>
      <c r="C342" s="102" t="s">
        <v>59</v>
      </c>
      <c r="D342" s="81"/>
      <c r="E342" s="13"/>
      <c r="F342" s="30">
        <f>+SUM(START:END!F342)</f>
        <v>1425</v>
      </c>
      <c r="G342" s="83"/>
      <c r="H342" s="13"/>
      <c r="I342" s="30">
        <f>+SUM(START:END!I342)</f>
        <v>0</v>
      </c>
      <c r="J342" s="41"/>
      <c r="K342" s="13"/>
      <c r="L342" s="33">
        <f>+SUM(START:END!L342)</f>
        <v>545.96999999999991</v>
      </c>
      <c r="M342" s="41"/>
      <c r="N342" s="59">
        <f t="shared" si="105"/>
        <v>-879.03000000000009</v>
      </c>
      <c r="O342" s="41"/>
      <c r="P342" s="13"/>
      <c r="Q342" s="33">
        <f>+SUM(START:END!Q342)</f>
        <v>1047.8</v>
      </c>
      <c r="R342" s="41"/>
      <c r="S342" s="85">
        <f t="shared" si="106"/>
        <v>-501.83000000000004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PiècesDivers</v>
      </c>
      <c r="B343" s="11" t="s">
        <v>98</v>
      </c>
      <c r="C343" s="102" t="s">
        <v>60</v>
      </c>
      <c r="D343" s="81"/>
      <c r="E343" s="13"/>
      <c r="F343" s="30">
        <f>+SUM(START:END!F343)</f>
        <v>1114.8000000000002</v>
      </c>
      <c r="G343" s="83"/>
      <c r="H343" s="13"/>
      <c r="I343" s="30">
        <f>+SUM(START:END!I343)</f>
        <v>0</v>
      </c>
      <c r="J343" s="41"/>
      <c r="K343" s="13"/>
      <c r="L343" s="33">
        <f>+SUM(START:END!L343)</f>
        <v>948.59999999999991</v>
      </c>
      <c r="M343" s="41"/>
      <c r="N343" s="59">
        <f t="shared" si="105"/>
        <v>-166.20000000000027</v>
      </c>
      <c r="O343" s="41"/>
      <c r="P343" s="13"/>
      <c r="Q343" s="33">
        <f>+SUM(START:END!Q343)</f>
        <v>1084.1499999999999</v>
      </c>
      <c r="R343" s="41"/>
      <c r="S343" s="85">
        <f t="shared" si="106"/>
        <v>-135.54999999999995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84"/>
        <v>PiècesFormation</v>
      </c>
      <c r="B344" s="11" t="s">
        <v>98</v>
      </c>
      <c r="C344" s="102" t="s">
        <v>61</v>
      </c>
      <c r="D344" s="81"/>
      <c r="E344" s="13"/>
      <c r="F344" s="30">
        <f>+SUM(START:END!F344)</f>
        <v>723.4406399999998</v>
      </c>
      <c r="G344" s="83"/>
      <c r="H344" s="13"/>
      <c r="I344" s="30">
        <f>+SUM(START:END!I344)</f>
        <v>0</v>
      </c>
      <c r="J344" s="41"/>
      <c r="K344" s="13"/>
      <c r="L344" s="59">
        <f>+SUM(START:END!L344)</f>
        <v>-288.31000000000006</v>
      </c>
      <c r="M344" s="41"/>
      <c r="N344" s="59">
        <f t="shared" si="105"/>
        <v>-1011.7506399999999</v>
      </c>
      <c r="O344" s="41"/>
      <c r="P344" s="13"/>
      <c r="Q344" s="33">
        <f>+SUM(START:END!Q344)</f>
        <v>466.90999999999997</v>
      </c>
      <c r="R344" s="41"/>
      <c r="S344" s="85">
        <f>L344-Q344</f>
        <v>-755.22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 t="shared" si="84"/>
        <v>PiècesFrais bancaires</v>
      </c>
      <c r="B345" s="11" t="s">
        <v>98</v>
      </c>
      <c r="C345" s="102" t="s">
        <v>62</v>
      </c>
      <c r="D345" s="81"/>
      <c r="E345" s="13"/>
      <c r="F345" s="30">
        <f>+SUM(START:END!F345)</f>
        <v>4397.7699161228165</v>
      </c>
      <c r="G345" s="83"/>
      <c r="H345" s="13"/>
      <c r="I345" s="30">
        <f>+SUM(START:END!I345)</f>
        <v>0</v>
      </c>
      <c r="J345" s="41"/>
      <c r="K345" s="13"/>
      <c r="L345" s="32">
        <f>+SUM(START:END!L345)</f>
        <v>4870.5599999999995</v>
      </c>
      <c r="M345" s="41"/>
      <c r="N345" s="59">
        <f t="shared" si="105"/>
        <v>472.79008387718295</v>
      </c>
      <c r="O345" s="41"/>
      <c r="P345" s="13"/>
      <c r="Q345" s="33">
        <f>+SUM(START:END!Q345)</f>
        <v>4276.2</v>
      </c>
      <c r="R345" s="41"/>
      <c r="S345" s="85">
        <f>L345-Q345</f>
        <v>594.35999999999967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 t="shared" si="84"/>
        <v>Pièces[...]</v>
      </c>
      <c r="B346" s="11" t="s">
        <v>98</v>
      </c>
      <c r="C346" s="102" t="s">
        <v>19</v>
      </c>
      <c r="D346" s="81"/>
      <c r="E346" s="13"/>
      <c r="F346" s="30">
        <f>+SUM(START:END!F346)</f>
        <v>0</v>
      </c>
      <c r="G346" s="83"/>
      <c r="H346" s="13"/>
      <c r="I346" s="30">
        <f>+SUM(START:END!I346)</f>
        <v>0</v>
      </c>
      <c r="J346" s="41"/>
      <c r="K346" s="13"/>
      <c r="L346" s="33">
        <f>+SUM(START:END!L346)</f>
        <v>0</v>
      </c>
      <c r="M346" s="41"/>
      <c r="N346" s="59">
        <f t="shared" si="105"/>
        <v>0</v>
      </c>
      <c r="O346" s="41"/>
      <c r="P346" s="13"/>
      <c r="Q346" s="33">
        <f>+SUM(START:END!Q346)</f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 t="shared" si="84"/>
        <v>Pièces[...]</v>
      </c>
      <c r="B347" s="11" t="s">
        <v>98</v>
      </c>
      <c r="C347" s="102" t="s">
        <v>19</v>
      </c>
      <c r="D347" s="81"/>
      <c r="E347" s="13"/>
      <c r="F347" s="30">
        <f>+SUM(START:END!F347)</f>
        <v>0</v>
      </c>
      <c r="G347" s="83"/>
      <c r="H347" s="13"/>
      <c r="I347" s="30">
        <f>+SUM(START:END!I347)</f>
        <v>0</v>
      </c>
      <c r="J347" s="41"/>
      <c r="K347" s="13"/>
      <c r="L347" s="33">
        <f>+SUM(START:END!L347)</f>
        <v>0</v>
      </c>
      <c r="M347" s="41"/>
      <c r="N347" s="59">
        <f t="shared" si="105"/>
        <v>0</v>
      </c>
      <c r="O347" s="41"/>
      <c r="P347" s="13"/>
      <c r="Q347" s="33">
        <f>+SUM(START:END!Q347)</f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 t="shared" si="84"/>
        <v>Pièces[...]</v>
      </c>
      <c r="B348" s="11" t="s">
        <v>98</v>
      </c>
      <c r="C348" s="102" t="s">
        <v>19</v>
      </c>
      <c r="D348" s="81"/>
      <c r="E348" s="13"/>
      <c r="F348" s="30">
        <f>+SUM(START:END!F348)</f>
        <v>0</v>
      </c>
      <c r="G348" s="83"/>
      <c r="H348" s="13"/>
      <c r="I348" s="30">
        <f>+SUM(START:END!I348)</f>
        <v>0</v>
      </c>
      <c r="J348" s="41"/>
      <c r="K348" s="13"/>
      <c r="L348" s="33">
        <f>+SUM(START:END!L348)</f>
        <v>0</v>
      </c>
      <c r="M348" s="41"/>
      <c r="N348" s="59">
        <f t="shared" si="105"/>
        <v>0</v>
      </c>
      <c r="O348" s="41"/>
      <c r="P348" s="13"/>
      <c r="Q348" s="33">
        <f>+SUM(START:END!Q348)</f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0.13889937278755699</v>
      </c>
      <c r="F349" s="96">
        <f>+SUM(F331:F348)</f>
        <v>43906.181329775689</v>
      </c>
      <c r="G349" s="97" t="s">
        <v>38</v>
      </c>
      <c r="H349" s="95" t="e">
        <f>I349/I$314</f>
        <v>#DIV/0!</v>
      </c>
      <c r="I349" s="96">
        <f>+SUM(I331:I348)</f>
        <v>0</v>
      </c>
      <c r="J349" s="97" t="s">
        <v>38</v>
      </c>
      <c r="K349" s="95">
        <f>L349/L$314</f>
        <v>0.16340058375754452</v>
      </c>
      <c r="L349" s="96">
        <f>+SUM(L331:L348)</f>
        <v>45504.689999999988</v>
      </c>
      <c r="M349" s="100"/>
      <c r="N349" s="96">
        <f>+SUM(N331:N348)</f>
        <v>1598.5086702243098</v>
      </c>
      <c r="O349" s="97" t="s">
        <v>38</v>
      </c>
      <c r="P349" s="95">
        <f>Q349/Q$314</f>
        <v>0.14852400526349749</v>
      </c>
      <c r="Q349" s="96">
        <f>+SUM(Q331:Q348)</f>
        <v>43998.229999999996</v>
      </c>
      <c r="R349" s="100"/>
      <c r="S349" s="101">
        <f>+SUM(S331:S348)</f>
        <v>1506.46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0.40064780621971652</v>
      </c>
      <c r="F351" s="96">
        <f>F330+F349</f>
        <v>126645.02996831064</v>
      </c>
      <c r="G351" s="97" t="s">
        <v>38</v>
      </c>
      <c r="H351" s="95" t="e">
        <f>I351/I$314</f>
        <v>#DIV/0!</v>
      </c>
      <c r="I351" s="96">
        <f>I330+I349</f>
        <v>0</v>
      </c>
      <c r="J351" s="97" t="s">
        <v>38</v>
      </c>
      <c r="K351" s="95">
        <f>L351/L$314</f>
        <v>0.45976501180600154</v>
      </c>
      <c r="L351" s="96">
        <f>L330+L349</f>
        <v>128037.88</v>
      </c>
      <c r="M351" s="100"/>
      <c r="N351" s="113">
        <f>L351-F351</f>
        <v>1392.8500316893624</v>
      </c>
      <c r="O351" s="97" t="s">
        <v>38</v>
      </c>
      <c r="P351" s="95">
        <f>Q351/Q$314</f>
        <v>0.4213090358989876</v>
      </c>
      <c r="Q351" s="96">
        <f>Q330+Q349</f>
        <v>124807.11</v>
      </c>
      <c r="R351" s="100"/>
      <c r="S351" s="114">
        <f>L351-Q351</f>
        <v>3230.7700000000041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189455.61504272957</v>
      </c>
      <c r="G353" s="153"/>
      <c r="H353" s="125"/>
      <c r="I353" s="127">
        <f>I314-I351</f>
        <v>0</v>
      </c>
      <c r="J353" s="154"/>
      <c r="K353" s="126"/>
      <c r="L353" s="127">
        <f>L314-L351</f>
        <v>150447.59999999998</v>
      </c>
      <c r="M353" s="154"/>
      <c r="N353" s="127">
        <f>L353-F353</f>
        <v>-39008.015042729588</v>
      </c>
      <c r="O353" s="154"/>
      <c r="P353" s="126"/>
      <c r="Q353" s="127">
        <f>Q314-Q351</f>
        <v>171429.37999999983</v>
      </c>
      <c r="R353" s="154"/>
      <c r="S353" s="129">
        <f>L353-Q353</f>
        <v>-20981.779999999853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  Q2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63" t="s">
        <v>5</v>
      </c>
      <c r="E358" s="464"/>
      <c r="F358" s="465"/>
      <c r="G358" s="466" t="s">
        <v>71</v>
      </c>
      <c r="H358" s="464"/>
      <c r="I358" s="465"/>
      <c r="J358" s="466" t="s">
        <v>7</v>
      </c>
      <c r="K358" s="464"/>
      <c r="L358" s="465"/>
      <c r="M358" s="466"/>
      <c r="N358" s="465"/>
      <c r="O358" s="463" t="s">
        <v>8</v>
      </c>
      <c r="P358" s="464"/>
      <c r="Q358" s="465"/>
      <c r="R358" s="466" t="s">
        <v>9</v>
      </c>
      <c r="S358" s="467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108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 t="s">
        <v>79</v>
      </c>
      <c r="H359" s="231" t="s">
        <v>99</v>
      </c>
      <c r="I359" s="232" t="s">
        <v>12</v>
      </c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108"/>
        <v>BoutiqueBoutique</v>
      </c>
      <c r="B360" s="11" t="s">
        <v>114</v>
      </c>
      <c r="C360" s="62" t="s">
        <v>114</v>
      </c>
      <c r="D360" s="234">
        <f>+SUM(START:END!D360)</f>
        <v>0</v>
      </c>
      <c r="E360" s="235">
        <f>IFERROR(F360/D360,0)</f>
        <v>0</v>
      </c>
      <c r="F360" s="236">
        <f>+SUM(START:END!F360)</f>
        <v>0</v>
      </c>
      <c r="G360" s="234">
        <f>+SUM(START:END!G360)</f>
        <v>0</v>
      </c>
      <c r="H360" s="235">
        <f>IFERROR(I360/G360,0)</f>
        <v>0</v>
      </c>
      <c r="I360" s="234">
        <f>+SUM(START:END!I360)</f>
        <v>0</v>
      </c>
      <c r="J360" s="237">
        <f>+SUM(START:END!J360)</f>
        <v>0</v>
      </c>
      <c r="K360" s="219">
        <f>IFERROR(L360/J360,0)</f>
        <v>0</v>
      </c>
      <c r="L360" s="238">
        <f>+SUM(START:END!L360)</f>
        <v>0</v>
      </c>
      <c r="M360" s="220"/>
      <c r="N360" s="221"/>
      <c r="O360" s="237">
        <f>+SUM(START:END!O360)</f>
        <v>0</v>
      </c>
      <c r="P360" s="219">
        <f>IFERROR(Q360/O360,0)</f>
        <v>0</v>
      </c>
      <c r="Q360" s="238">
        <f>+SUM(START:END!Q360)</f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108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108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 t="shared" ref="F362" si="109">+F360</f>
        <v>0</v>
      </c>
      <c r="G362" s="175">
        <f>+G360</f>
        <v>0</v>
      </c>
      <c r="H362" s="174">
        <f>IF(G362&lt;=0,0,I362/G362)</f>
        <v>0</v>
      </c>
      <c r="I362" s="176">
        <f t="shared" ref="I362" si="110">+I360</f>
        <v>0</v>
      </c>
      <c r="J362" s="175">
        <f>+J360</f>
        <v>0</v>
      </c>
      <c r="K362" s="174">
        <f>IF(J362&lt;=0,0,L362/J362)</f>
        <v>0</v>
      </c>
      <c r="L362" s="176">
        <f t="shared" ref="L362" si="111"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112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108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108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108"/>
        <v>BoutiqueSalaires cadres</v>
      </c>
      <c r="B365" s="11" t="s">
        <v>114</v>
      </c>
      <c r="C365" s="102" t="s">
        <v>40</v>
      </c>
      <c r="D365" s="13"/>
      <c r="E365" s="13"/>
      <c r="F365" s="30">
        <f>+SUM(START:END!F364)</f>
        <v>0</v>
      </c>
      <c r="G365" s="41"/>
      <c r="H365" s="13"/>
      <c r="I365" s="30">
        <f>+SUM(START:END!I364)</f>
        <v>0</v>
      </c>
      <c r="J365" s="41"/>
      <c r="K365" s="13"/>
      <c r="L365" s="33">
        <f>+SUM(START:END!L364)</f>
        <v>0</v>
      </c>
      <c r="M365" s="41"/>
      <c r="N365" s="40"/>
      <c r="O365" s="41"/>
      <c r="P365" s="13"/>
      <c r="Q365" s="33">
        <f>+SUM(START:END!Q364)</f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108"/>
        <v>BoutiqueSalaires commis</v>
      </c>
      <c r="B366" s="11" t="s">
        <v>114</v>
      </c>
      <c r="C366" s="103" t="s">
        <v>41</v>
      </c>
      <c r="D366" s="81"/>
      <c r="E366" s="13"/>
      <c r="F366" s="22">
        <f>+SUM(START:END!F365)</f>
        <v>0</v>
      </c>
      <c r="G366" s="83"/>
      <c r="H366" s="13"/>
      <c r="I366" s="22">
        <f>+SUM(START:END!I365)</f>
        <v>0</v>
      </c>
      <c r="J366" s="41"/>
      <c r="K366" s="13"/>
      <c r="L366" s="22">
        <f>+SUM(START:END!L365)</f>
        <v>0</v>
      </c>
      <c r="M366" s="41"/>
      <c r="N366" s="59"/>
      <c r="O366" s="41"/>
      <c r="P366" s="13"/>
      <c r="Q366" s="22">
        <f>+SUM(START:END!Q365)</f>
        <v>0</v>
      </c>
      <c r="R366" s="41"/>
      <c r="S366" s="85">
        <f t="shared" ref="S366:S394" si="113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108"/>
        <v>BoutiqueSalaires autres</v>
      </c>
      <c r="B367" s="11" t="s">
        <v>114</v>
      </c>
      <c r="C367" s="102" t="s">
        <v>42</v>
      </c>
      <c r="D367" s="104"/>
      <c r="E367" s="105"/>
      <c r="F367" s="30">
        <f>+SUM(START:END!F366)</f>
        <v>0</v>
      </c>
      <c r="G367" s="106"/>
      <c r="H367" s="105"/>
      <c r="I367" s="30">
        <f>+SUM(START:END!I366)</f>
        <v>0</v>
      </c>
      <c r="J367" s="107"/>
      <c r="K367" s="105"/>
      <c r="L367" s="33">
        <f>+SUM(START:END!L366)</f>
        <v>0</v>
      </c>
      <c r="M367" s="107"/>
      <c r="N367" s="109"/>
      <c r="O367" s="107"/>
      <c r="P367" s="105"/>
      <c r="Q367" s="33">
        <f>+SUM(START:END!Q366)</f>
        <v>0</v>
      </c>
      <c r="R367" s="107"/>
      <c r="S367" s="110">
        <f t="shared" si="113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108"/>
        <v>BoutiqueSalaires spécialistes</v>
      </c>
      <c r="B368" s="11" t="s">
        <v>114</v>
      </c>
      <c r="C368" s="102" t="s">
        <v>43</v>
      </c>
      <c r="D368" s="81"/>
      <c r="E368" s="13"/>
      <c r="F368" s="30">
        <f>+SUM(START:END!F367)</f>
        <v>0</v>
      </c>
      <c r="G368" s="83"/>
      <c r="H368" s="13"/>
      <c r="I368" s="30">
        <f>+SUM(START:END!I367)</f>
        <v>0</v>
      </c>
      <c r="J368" s="41"/>
      <c r="K368" s="13"/>
      <c r="L368" s="33">
        <f>+SUM(START:END!L367)</f>
        <v>0</v>
      </c>
      <c r="M368" s="41"/>
      <c r="N368" s="59"/>
      <c r="O368" s="41"/>
      <c r="P368" s="13"/>
      <c r="Q368" s="33">
        <f>+SUM(START:END!Q367)</f>
        <v>0</v>
      </c>
      <c r="R368" s="41"/>
      <c r="S368" s="85">
        <f t="shared" si="113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108"/>
        <v>Boutique[...]</v>
      </c>
      <c r="B369" s="11" t="s">
        <v>114</v>
      </c>
      <c r="C369" s="29" t="s">
        <v>19</v>
      </c>
      <c r="D369" s="81"/>
      <c r="E369" s="13"/>
      <c r="F369" s="30">
        <f>+SUM(START:END!F368)</f>
        <v>0</v>
      </c>
      <c r="G369" s="83"/>
      <c r="H369" s="13"/>
      <c r="I369" s="30">
        <f>+SUM(START:END!I368)</f>
        <v>0</v>
      </c>
      <c r="J369" s="41"/>
      <c r="K369" s="13"/>
      <c r="L369" s="33">
        <f>+SUM(START:END!L368)</f>
        <v>0</v>
      </c>
      <c r="M369" s="41"/>
      <c r="N369" s="59"/>
      <c r="O369" s="41"/>
      <c r="P369" s="13"/>
      <c r="Q369" s="33">
        <f>+SUM(START:END!Q368)</f>
        <v>0</v>
      </c>
      <c r="R369" s="41"/>
      <c r="S369" s="85">
        <f t="shared" si="113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108"/>
        <v>Boutique[...]</v>
      </c>
      <c r="B370" s="11" t="s">
        <v>114</v>
      </c>
      <c r="C370" s="29" t="s">
        <v>19</v>
      </c>
      <c r="D370" s="81"/>
      <c r="E370" s="13"/>
      <c r="F370" s="30">
        <f>+SUM(START:END!F369)</f>
        <v>0</v>
      </c>
      <c r="G370" s="83"/>
      <c r="H370" s="13"/>
      <c r="I370" s="30">
        <f>+SUM(START:END!I369)</f>
        <v>0</v>
      </c>
      <c r="J370" s="41"/>
      <c r="K370" s="13"/>
      <c r="L370" s="33">
        <f>+SUM(START:END!L369)</f>
        <v>0</v>
      </c>
      <c r="M370" s="41"/>
      <c r="N370" s="59"/>
      <c r="O370" s="41"/>
      <c r="P370" s="13"/>
      <c r="Q370" s="33">
        <f>+SUM(START:END!Q369)</f>
        <v>0</v>
      </c>
      <c r="R370" s="41"/>
      <c r="S370" s="85">
        <f t="shared" si="113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108"/>
        <v>Boutique[...]</v>
      </c>
      <c r="B371" s="11" t="s">
        <v>114</v>
      </c>
      <c r="C371" s="29" t="s">
        <v>19</v>
      </c>
      <c r="D371" s="81"/>
      <c r="E371" s="13"/>
      <c r="F371" s="30">
        <f>+SUM(START:END!F370)</f>
        <v>0</v>
      </c>
      <c r="G371" s="83"/>
      <c r="H371" s="13"/>
      <c r="I371" s="30">
        <f>+SUM(START:END!I370)</f>
        <v>0</v>
      </c>
      <c r="J371" s="41"/>
      <c r="K371" s="13"/>
      <c r="L371" s="33">
        <f>+SUM(START:END!L370)</f>
        <v>0</v>
      </c>
      <c r="M371" s="41"/>
      <c r="N371" s="59"/>
      <c r="O371" s="41"/>
      <c r="P371" s="13"/>
      <c r="Q371" s="33">
        <f>+SUM(START:END!Q370)</f>
        <v>0</v>
      </c>
      <c r="R371" s="41"/>
      <c r="S371" s="85">
        <f t="shared" si="113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108"/>
        <v>BoutiqueSalaires en absences</v>
      </c>
      <c r="B372" s="11" t="s">
        <v>114</v>
      </c>
      <c r="C372" s="103" t="s">
        <v>44</v>
      </c>
      <c r="D372" s="81"/>
      <c r="E372" s="13"/>
      <c r="F372" s="22">
        <f>+SUM(START:END!F371)</f>
        <v>0</v>
      </c>
      <c r="G372" s="83"/>
      <c r="H372" s="13"/>
      <c r="I372" s="22">
        <f>+SUM(START:END!I371)</f>
        <v>0</v>
      </c>
      <c r="J372" s="41"/>
      <c r="K372" s="13"/>
      <c r="L372" s="22">
        <f>+SUM(START:END!L371)</f>
        <v>0</v>
      </c>
      <c r="M372" s="41"/>
      <c r="N372" s="59"/>
      <c r="O372" s="41"/>
      <c r="P372" s="13"/>
      <c r="Q372" s="22">
        <f>+SUM(START:END!Q371)</f>
        <v>0</v>
      </c>
      <c r="R372" s="41"/>
      <c r="S372" s="85">
        <f t="shared" si="113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108"/>
        <v>BoutiqueDéduction à la source</v>
      </c>
      <c r="B373" s="11" t="s">
        <v>114</v>
      </c>
      <c r="C373" s="102" t="s">
        <v>45</v>
      </c>
      <c r="D373" s="104"/>
      <c r="E373" s="105"/>
      <c r="F373" s="30">
        <f>+SUM(START:END!F372)</f>
        <v>0</v>
      </c>
      <c r="G373" s="106"/>
      <c r="H373" s="105"/>
      <c r="I373" s="30">
        <f>+SUM(START:END!I372)</f>
        <v>0</v>
      </c>
      <c r="J373" s="107"/>
      <c r="K373" s="105"/>
      <c r="L373" s="33">
        <f>+SUM(START:END!L372)</f>
        <v>0</v>
      </c>
      <c r="M373" s="107"/>
      <c r="N373" s="109"/>
      <c r="O373" s="107"/>
      <c r="P373" s="105"/>
      <c r="Q373" s="33">
        <f>+SUM(START:END!Q372)</f>
        <v>0</v>
      </c>
      <c r="R373" s="107"/>
      <c r="S373" s="110">
        <f t="shared" si="113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108"/>
        <v>BoutiqueBénéfices marginaux</v>
      </c>
      <c r="B374" s="11" t="s">
        <v>114</v>
      </c>
      <c r="C374" s="102" t="s">
        <v>46</v>
      </c>
      <c r="D374" s="81"/>
      <c r="E374" s="13"/>
      <c r="F374" s="30">
        <f>+SUM(START:END!F373)</f>
        <v>0</v>
      </c>
      <c r="G374" s="83"/>
      <c r="H374" s="13"/>
      <c r="I374" s="30">
        <f>+SUM(START:END!I373)</f>
        <v>0</v>
      </c>
      <c r="J374" s="41"/>
      <c r="K374" s="13"/>
      <c r="L374" s="33">
        <f>+SUM(START:END!L373)</f>
        <v>0</v>
      </c>
      <c r="M374" s="41"/>
      <c r="N374" s="59"/>
      <c r="O374" s="41"/>
      <c r="P374" s="13"/>
      <c r="Q374" s="33">
        <f>+SUM(START:END!Q373)</f>
        <v>0</v>
      </c>
      <c r="R374" s="41"/>
      <c r="S374" s="85">
        <f t="shared" si="113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108"/>
        <v>BoutiqueCsst</v>
      </c>
      <c r="B375" s="11" t="s">
        <v>114</v>
      </c>
      <c r="C375" s="102" t="s">
        <v>47</v>
      </c>
      <c r="D375" s="81"/>
      <c r="E375" s="13"/>
      <c r="F375" s="30">
        <f>+SUM(START:END!F374)</f>
        <v>0</v>
      </c>
      <c r="G375" s="83"/>
      <c r="H375" s="13"/>
      <c r="I375" s="30">
        <f>+SUM(START:END!I374)</f>
        <v>0</v>
      </c>
      <c r="J375" s="41"/>
      <c r="K375" s="13"/>
      <c r="L375" s="33">
        <f>+SUM(START:END!L374)</f>
        <v>0</v>
      </c>
      <c r="M375" s="41"/>
      <c r="N375" s="59"/>
      <c r="O375" s="41"/>
      <c r="P375" s="13"/>
      <c r="Q375" s="33">
        <f>+SUM(START:END!Q374)</f>
        <v>0</v>
      </c>
      <c r="R375" s="41"/>
      <c r="S375" s="85">
        <f t="shared" si="113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108"/>
        <v>Boutique[...]</v>
      </c>
      <c r="B376" s="11" t="s">
        <v>114</v>
      </c>
      <c r="C376" s="29" t="s">
        <v>19</v>
      </c>
      <c r="D376" s="87"/>
      <c r="E376" s="111"/>
      <c r="F376" s="30">
        <f>+SUM(START:END!F375)</f>
        <v>0</v>
      </c>
      <c r="G376" s="89"/>
      <c r="H376" s="111"/>
      <c r="I376" s="30">
        <f>+SUM(START:END!I375)</f>
        <v>0</v>
      </c>
      <c r="J376" s="23"/>
      <c r="K376" s="111"/>
      <c r="L376" s="33">
        <f>+SUM(START:END!L375)</f>
        <v>0</v>
      </c>
      <c r="M376" s="23"/>
      <c r="N376" s="91"/>
      <c r="O376" s="23"/>
      <c r="P376" s="111"/>
      <c r="Q376" s="33">
        <f>+SUM(START:END!Q375)</f>
        <v>0</v>
      </c>
      <c r="R376" s="23"/>
      <c r="S376" s="92">
        <f t="shared" si="113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108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 t="s">
        <v>38</v>
      </c>
      <c r="H377" s="95">
        <f>IFERROR(I377/I$360,0)</f>
        <v>0</v>
      </c>
      <c r="I377" s="96">
        <f>+SUM(I365:I376)</f>
        <v>0</v>
      </c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113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108"/>
        <v>BoutiquePublicité 2</v>
      </c>
      <c r="B378" s="11" t="s">
        <v>114</v>
      </c>
      <c r="C378" s="211" t="s">
        <v>49</v>
      </c>
      <c r="D378" s="81"/>
      <c r="E378" s="13"/>
      <c r="F378" s="30">
        <f>+SUM(START:END!F377)</f>
        <v>0</v>
      </c>
      <c r="G378" s="83"/>
      <c r="H378" s="13"/>
      <c r="I378" s="30">
        <f>+SUM(START:END!I377)</f>
        <v>0</v>
      </c>
      <c r="J378" s="41"/>
      <c r="K378" s="13"/>
      <c r="L378" s="33">
        <f>+SUM(START:END!L377)</f>
        <v>0</v>
      </c>
      <c r="M378" s="41"/>
      <c r="N378" s="59"/>
      <c r="O378" s="41"/>
      <c r="P378" s="13"/>
      <c r="Q378" s="33">
        <f>+SUM(START:END!Q377)</f>
        <v>0</v>
      </c>
      <c r="R378" s="41"/>
      <c r="S378" s="85">
        <f t="shared" si="113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108"/>
        <v>BoutiqueService gratuit 2</v>
      </c>
      <c r="B379" s="11" t="s">
        <v>114</v>
      </c>
      <c r="C379" s="102" t="s">
        <v>50</v>
      </c>
      <c r="D379" s="81"/>
      <c r="E379" s="13"/>
      <c r="F379" s="30">
        <f>+SUM(START:END!F378)</f>
        <v>0</v>
      </c>
      <c r="G379" s="83"/>
      <c r="H379" s="13"/>
      <c r="I379" s="30">
        <f>+SUM(START:END!I378)</f>
        <v>0</v>
      </c>
      <c r="J379" s="41"/>
      <c r="K379" s="13"/>
      <c r="L379" s="33">
        <f>+SUM(START:END!L378)</f>
        <v>0</v>
      </c>
      <c r="M379" s="41"/>
      <c r="N379" s="59"/>
      <c r="O379" s="41"/>
      <c r="P379" s="13"/>
      <c r="Q379" s="33">
        <f>+SUM(START:END!Q378)</f>
        <v>0</v>
      </c>
      <c r="R379" s="41"/>
      <c r="S379" s="85">
        <f t="shared" si="113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108"/>
        <v>BoutiqueFrais véhicules de cie</v>
      </c>
      <c r="B380" s="11" t="s">
        <v>114</v>
      </c>
      <c r="C380" s="103" t="s">
        <v>51</v>
      </c>
      <c r="D380" s="87"/>
      <c r="E380" s="111"/>
      <c r="F380" s="22">
        <f>+SUM(START:END!F379)</f>
        <v>0</v>
      </c>
      <c r="G380" s="89"/>
      <c r="H380" s="111"/>
      <c r="I380" s="22">
        <f>+SUM(START:END!I379)</f>
        <v>0</v>
      </c>
      <c r="J380" s="23"/>
      <c r="K380" s="111"/>
      <c r="L380" s="22">
        <f>+SUM(START:END!L379)</f>
        <v>0</v>
      </c>
      <c r="M380" s="23"/>
      <c r="N380" s="91"/>
      <c r="O380" s="23"/>
      <c r="P380" s="111"/>
      <c r="Q380" s="22">
        <f>+SUM(START:END!Q379)</f>
        <v>0</v>
      </c>
      <c r="R380" s="23"/>
      <c r="S380" s="92">
        <f t="shared" si="113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108"/>
        <v>BoutiqueInformatique</v>
      </c>
      <c r="B381" s="11" t="s">
        <v>114</v>
      </c>
      <c r="C381" s="102" t="s">
        <v>52</v>
      </c>
      <c r="D381" s="81"/>
      <c r="E381" s="13"/>
      <c r="F381" s="30">
        <f>+SUM(START:END!F380)</f>
        <v>0</v>
      </c>
      <c r="G381" s="83"/>
      <c r="H381" s="13"/>
      <c r="I381" s="30">
        <f>+SUM(START:END!I380)</f>
        <v>0</v>
      </c>
      <c r="J381" s="41"/>
      <c r="K381" s="13"/>
      <c r="L381" s="33">
        <f>+SUM(START:END!L380)</f>
        <v>0</v>
      </c>
      <c r="M381" s="41"/>
      <c r="N381" s="59"/>
      <c r="O381" s="41"/>
      <c r="P381" s="13"/>
      <c r="Q381" s="33">
        <f>+SUM(START:END!Q380)</f>
        <v>0</v>
      </c>
      <c r="R381" s="41"/>
      <c r="S381" s="85">
        <f t="shared" si="113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108"/>
        <v>BoutiqueFrais de déplacement</v>
      </c>
      <c r="B382" s="11" t="s">
        <v>114</v>
      </c>
      <c r="C382" s="102" t="s">
        <v>53</v>
      </c>
      <c r="D382" s="81"/>
      <c r="E382" s="13"/>
      <c r="F382" s="30">
        <f>+SUM(START:END!F381)</f>
        <v>0</v>
      </c>
      <c r="G382" s="83"/>
      <c r="H382" s="13"/>
      <c r="I382" s="30">
        <f>+SUM(START:END!I381)</f>
        <v>0</v>
      </c>
      <c r="J382" s="41"/>
      <c r="K382" s="13"/>
      <c r="L382" s="33">
        <f>+SUM(START:END!L381)</f>
        <v>0</v>
      </c>
      <c r="M382" s="41"/>
      <c r="N382" s="59"/>
      <c r="O382" s="41"/>
      <c r="P382" s="13"/>
      <c r="Q382" s="33">
        <f>+SUM(START:END!Q381)</f>
        <v>0</v>
      </c>
      <c r="R382" s="41"/>
      <c r="S382" s="85">
        <f t="shared" si="113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108"/>
        <v>BoutiqueServices extérieurs</v>
      </c>
      <c r="B383" s="11" t="s">
        <v>114</v>
      </c>
      <c r="C383" s="102" t="s">
        <v>54</v>
      </c>
      <c r="D383" s="87"/>
      <c r="E383" s="111"/>
      <c r="F383" s="22">
        <f>+SUM(START:END!F382)</f>
        <v>0</v>
      </c>
      <c r="G383" s="89"/>
      <c r="H383" s="111"/>
      <c r="I383" s="22">
        <f>+SUM(START:END!I382)</f>
        <v>0</v>
      </c>
      <c r="J383" s="23"/>
      <c r="K383" s="111"/>
      <c r="L383" s="22">
        <f>+SUM(START:END!L382)</f>
        <v>0</v>
      </c>
      <c r="M383" s="23"/>
      <c r="N383" s="91"/>
      <c r="O383" s="23"/>
      <c r="P383" s="111"/>
      <c r="Q383" s="22">
        <f>+SUM(START:END!Q382)</f>
        <v>0</v>
      </c>
      <c r="R383" s="23"/>
      <c r="S383" s="92">
        <f t="shared" si="113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108"/>
        <v>BoutiqueFournitures autres</v>
      </c>
      <c r="B384" s="11" t="s">
        <v>114</v>
      </c>
      <c r="C384" s="211" t="s">
        <v>55</v>
      </c>
      <c r="D384" s="81"/>
      <c r="E384" s="13"/>
      <c r="F384" s="30">
        <f>+SUM(START:END!F383)</f>
        <v>0</v>
      </c>
      <c r="G384" s="83"/>
      <c r="H384" s="13"/>
      <c r="I384" s="30">
        <f>+SUM(START:END!I383)</f>
        <v>0</v>
      </c>
      <c r="J384" s="41"/>
      <c r="K384" s="13"/>
      <c r="L384" s="33">
        <f>+SUM(START:END!L383)</f>
        <v>0</v>
      </c>
      <c r="M384" s="41"/>
      <c r="N384" s="59"/>
      <c r="O384" s="41"/>
      <c r="P384" s="13"/>
      <c r="Q384" s="33">
        <f>+SUM(START:END!Q383)</f>
        <v>0</v>
      </c>
      <c r="R384" s="41"/>
      <c r="S384" s="85">
        <f t="shared" si="113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108"/>
        <v>BoutiqueUniformes</v>
      </c>
      <c r="B385" s="11" t="s">
        <v>114</v>
      </c>
      <c r="C385" s="102" t="s">
        <v>56</v>
      </c>
      <c r="D385" s="81"/>
      <c r="E385" s="13"/>
      <c r="F385" s="30">
        <f>+SUM(START:END!F384)</f>
        <v>0</v>
      </c>
      <c r="G385" s="83"/>
      <c r="H385" s="13"/>
      <c r="I385" s="30">
        <f>+SUM(START:END!I384)</f>
        <v>0</v>
      </c>
      <c r="J385" s="41"/>
      <c r="K385" s="13"/>
      <c r="L385" s="33">
        <f>+SUM(START:END!L384)</f>
        <v>0</v>
      </c>
      <c r="M385" s="41"/>
      <c r="N385" s="59"/>
      <c r="O385" s="41"/>
      <c r="P385" s="13"/>
      <c r="Q385" s="33">
        <f>+SUM(START:END!Q384)</f>
        <v>0</v>
      </c>
      <c r="R385" s="41"/>
      <c r="S385" s="85">
        <f t="shared" si="113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108"/>
        <v>BoutiquePapeterie</v>
      </c>
      <c r="B386" s="11" t="s">
        <v>114</v>
      </c>
      <c r="C386" s="102" t="s">
        <v>57</v>
      </c>
      <c r="D386" s="81"/>
      <c r="E386" s="13"/>
      <c r="F386" s="30">
        <f>+SUM(START:END!F385)</f>
        <v>0</v>
      </c>
      <c r="G386" s="83"/>
      <c r="H386" s="13"/>
      <c r="I386" s="30">
        <f>+SUM(START:END!I385)</f>
        <v>0</v>
      </c>
      <c r="J386" s="41"/>
      <c r="K386" s="13"/>
      <c r="L386" s="33">
        <f>+SUM(START:END!L385)</f>
        <v>0</v>
      </c>
      <c r="M386" s="41"/>
      <c r="N386" s="59"/>
      <c r="O386" s="41"/>
      <c r="P386" s="13"/>
      <c r="Q386" s="33">
        <f>+SUM(START:END!Q385)</f>
        <v>0</v>
      </c>
      <c r="R386" s="41"/>
      <c r="S386" s="85">
        <f t="shared" si="113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108"/>
        <v>BoutiqueTéléphone</v>
      </c>
      <c r="B387" s="11" t="s">
        <v>114</v>
      </c>
      <c r="C387" s="102" t="s">
        <v>58</v>
      </c>
      <c r="D387" s="81"/>
      <c r="E387" s="13"/>
      <c r="F387" s="30">
        <f>+SUM(START:END!F386)</f>
        <v>0</v>
      </c>
      <c r="G387" s="83"/>
      <c r="H387" s="13"/>
      <c r="I387" s="30">
        <f>+SUM(START:END!I386)</f>
        <v>0</v>
      </c>
      <c r="J387" s="41"/>
      <c r="K387" s="13"/>
      <c r="L387" s="33">
        <f>+SUM(START:END!L386)</f>
        <v>0</v>
      </c>
      <c r="M387" s="41"/>
      <c r="N387" s="59"/>
      <c r="O387" s="41"/>
      <c r="P387" s="13"/>
      <c r="Q387" s="33">
        <f>+SUM(START:END!Q386)</f>
        <v>0</v>
      </c>
      <c r="R387" s="41"/>
      <c r="S387" s="85">
        <f t="shared" si="113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108"/>
        <v>BoutiqueFrais postaux</v>
      </c>
      <c r="B388" s="11" t="s">
        <v>114</v>
      </c>
      <c r="C388" s="102" t="s">
        <v>59</v>
      </c>
      <c r="D388" s="81"/>
      <c r="E388" s="13"/>
      <c r="F388" s="30">
        <f>+SUM(START:END!F387)</f>
        <v>0</v>
      </c>
      <c r="G388" s="83"/>
      <c r="H388" s="13"/>
      <c r="I388" s="30">
        <f>+SUM(START:END!I387)</f>
        <v>0</v>
      </c>
      <c r="J388" s="41"/>
      <c r="K388" s="13"/>
      <c r="L388" s="33">
        <f>+SUM(START:END!L387)</f>
        <v>0</v>
      </c>
      <c r="M388" s="41"/>
      <c r="N388" s="59"/>
      <c r="O388" s="41"/>
      <c r="P388" s="13"/>
      <c r="Q388" s="33">
        <f>+SUM(START:END!Q387)</f>
        <v>0</v>
      </c>
      <c r="R388" s="41"/>
      <c r="S388" s="85">
        <f t="shared" si="113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108"/>
        <v>BoutiqueDivers</v>
      </c>
      <c r="B389" s="11" t="s">
        <v>114</v>
      </c>
      <c r="C389" s="102" t="s">
        <v>60</v>
      </c>
      <c r="D389" s="81"/>
      <c r="E389" s="13"/>
      <c r="F389" s="30">
        <f>+SUM(START:END!F388)</f>
        <v>0</v>
      </c>
      <c r="G389" s="83"/>
      <c r="H389" s="13"/>
      <c r="I389" s="30">
        <f>+SUM(START:END!I388)</f>
        <v>0</v>
      </c>
      <c r="J389" s="41"/>
      <c r="K389" s="13"/>
      <c r="L389" s="33">
        <f>+SUM(START:END!L388)</f>
        <v>0</v>
      </c>
      <c r="M389" s="41"/>
      <c r="N389" s="59"/>
      <c r="O389" s="41"/>
      <c r="P389" s="13"/>
      <c r="Q389" s="33">
        <f>+SUM(START:END!Q388)</f>
        <v>0</v>
      </c>
      <c r="R389" s="41"/>
      <c r="S389" s="85">
        <f t="shared" si="113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108"/>
        <v>BoutiqueFormation</v>
      </c>
      <c r="B390" s="11" t="s">
        <v>114</v>
      </c>
      <c r="C390" s="102" t="s">
        <v>61</v>
      </c>
      <c r="D390" s="81"/>
      <c r="E390" s="13"/>
      <c r="F390" s="30">
        <f>+SUM(START:END!F389)</f>
        <v>0</v>
      </c>
      <c r="G390" s="83"/>
      <c r="H390" s="13"/>
      <c r="I390" s="30">
        <f>+SUM(START:END!I389)</f>
        <v>0</v>
      </c>
      <c r="J390" s="41"/>
      <c r="K390" s="13"/>
      <c r="L390" s="33">
        <f>+SUM(START:END!L389)</f>
        <v>0</v>
      </c>
      <c r="M390" s="41"/>
      <c r="N390" s="59"/>
      <c r="O390" s="41"/>
      <c r="P390" s="13"/>
      <c r="Q390" s="33">
        <f>+SUM(START:END!Q389)</f>
        <v>0</v>
      </c>
      <c r="R390" s="41"/>
      <c r="S390" s="85">
        <f t="shared" si="113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108"/>
        <v>BoutiqueFrais bancaires</v>
      </c>
      <c r="B391" s="11" t="s">
        <v>114</v>
      </c>
      <c r="C391" s="102" t="s">
        <v>62</v>
      </c>
      <c r="D391" s="81"/>
      <c r="E391" s="13"/>
      <c r="F391" s="30">
        <f>+SUM(START:END!F390)</f>
        <v>0</v>
      </c>
      <c r="G391" s="83"/>
      <c r="H391" s="13"/>
      <c r="I391" s="30">
        <f>+SUM(START:END!I390)</f>
        <v>0</v>
      </c>
      <c r="J391" s="41"/>
      <c r="K391" s="13"/>
      <c r="L391" s="33">
        <f>+SUM(START:END!L390)</f>
        <v>0</v>
      </c>
      <c r="M391" s="41"/>
      <c r="N391" s="59"/>
      <c r="O391" s="41"/>
      <c r="P391" s="13"/>
      <c r="Q391" s="33">
        <f>+SUM(START:END!Q390)</f>
        <v>0</v>
      </c>
      <c r="R391" s="41"/>
      <c r="S391" s="85">
        <f t="shared" si="113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108"/>
        <v>Boutique[...]</v>
      </c>
      <c r="B392" s="11" t="s">
        <v>114</v>
      </c>
      <c r="C392" s="102" t="s">
        <v>19</v>
      </c>
      <c r="D392" s="81"/>
      <c r="E392" s="13"/>
      <c r="F392" s="30">
        <f>+SUM(START:END!F391)</f>
        <v>0</v>
      </c>
      <c r="G392" s="83"/>
      <c r="H392" s="13"/>
      <c r="I392" s="30">
        <f>+SUM(START:END!I391)</f>
        <v>0</v>
      </c>
      <c r="J392" s="41"/>
      <c r="K392" s="13"/>
      <c r="L392" s="33">
        <f>+SUM(START:END!L391)</f>
        <v>0</v>
      </c>
      <c r="M392" s="41"/>
      <c r="N392" s="59"/>
      <c r="O392" s="41"/>
      <c r="P392" s="13"/>
      <c r="Q392" s="33">
        <f>+SUM(START:END!Q391)</f>
        <v>0</v>
      </c>
      <c r="R392" s="41"/>
      <c r="S392" s="85">
        <f t="shared" si="113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108"/>
        <v>Boutique[...]</v>
      </c>
      <c r="B393" s="11" t="s">
        <v>114</v>
      </c>
      <c r="C393" s="102" t="s">
        <v>19</v>
      </c>
      <c r="D393" s="81"/>
      <c r="E393" s="13"/>
      <c r="F393" s="30">
        <f>+SUM(START:END!F392)</f>
        <v>0</v>
      </c>
      <c r="G393" s="83"/>
      <c r="H393" s="13"/>
      <c r="I393" s="30">
        <f>+SUM(START:END!I392)</f>
        <v>0</v>
      </c>
      <c r="J393" s="41"/>
      <c r="K393" s="13"/>
      <c r="L393" s="33">
        <f>+SUM(START:END!L392)</f>
        <v>0</v>
      </c>
      <c r="M393" s="41"/>
      <c r="N393" s="59"/>
      <c r="O393" s="41"/>
      <c r="P393" s="13"/>
      <c r="Q393" s="33">
        <f>+SUM(START:END!Q392)</f>
        <v>0</v>
      </c>
      <c r="R393" s="41"/>
      <c r="S393" s="85">
        <f t="shared" si="113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108"/>
        <v>Boutique[...]</v>
      </c>
      <c r="B394" s="11" t="s">
        <v>114</v>
      </c>
      <c r="C394" s="102" t="s">
        <v>19</v>
      </c>
      <c r="D394" s="87"/>
      <c r="E394" s="111"/>
      <c r="F394" s="30">
        <f>+SUM(START:END!F393)</f>
        <v>0</v>
      </c>
      <c r="G394" s="89"/>
      <c r="H394" s="111"/>
      <c r="I394" s="30">
        <f>+SUM(START:END!I393)</f>
        <v>0</v>
      </c>
      <c r="J394" s="23"/>
      <c r="K394" s="111"/>
      <c r="L394" s="33">
        <f>+SUM(START:END!L393)</f>
        <v>0</v>
      </c>
      <c r="M394" s="23"/>
      <c r="N394" s="91"/>
      <c r="O394" s="23"/>
      <c r="P394" s="111"/>
      <c r="Q394" s="33">
        <f>+SUM(START:END!Q393)</f>
        <v>0</v>
      </c>
      <c r="R394" s="23"/>
      <c r="S394" s="92">
        <f t="shared" si="113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 t="s">
        <v>38</v>
      </c>
      <c r="H395" s="95">
        <f>IFERROR(I395/I$360,0)</f>
        <v>0</v>
      </c>
      <c r="I395" s="96">
        <f>+SUM(I378:I394)</f>
        <v>0</v>
      </c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 t="s">
        <v>38</v>
      </c>
      <c r="H397" s="95">
        <f>IFERROR(I397/I$360,0)</f>
        <v>0</v>
      </c>
      <c r="I397" s="96">
        <f>I377+I395</f>
        <v>0</v>
      </c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>
        <f>I362-I397</f>
        <v>0</v>
      </c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/>
      <c r="G401" s="13"/>
      <c r="H401" s="13"/>
      <c r="I401" s="13"/>
      <c r="J401" s="13"/>
      <c r="K401" s="13"/>
      <c r="L401" s="82"/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88"/>
      <c r="AU401" s="488"/>
      <c r="AV401" s="489"/>
    </row>
    <row r="402" spans="1:61" ht="35.25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  Q2 2024</v>
      </c>
      <c r="AP402" s="246"/>
      <c r="AQ402" s="488"/>
      <c r="AS402" s="489"/>
      <c r="AT402" s="490"/>
      <c r="AU402" s="488"/>
      <c r="AV402" s="489"/>
      <c r="AW402" s="489"/>
      <c r="AX402" s="489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91"/>
      <c r="AR403" s="246"/>
      <c r="AS403" s="489"/>
      <c r="AT403" s="492"/>
      <c r="AU403" s="491"/>
      <c r="AV403" s="493"/>
      <c r="AW403" s="493"/>
      <c r="AX403" s="493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468" t="s">
        <v>117</v>
      </c>
      <c r="Y404" s="461"/>
      <c r="Z404" s="469"/>
      <c r="AA404" s="460" t="s">
        <v>71</v>
      </c>
      <c r="AB404" s="461"/>
      <c r="AC404" s="469"/>
      <c r="AD404" s="460" t="s">
        <v>7</v>
      </c>
      <c r="AE404" s="461"/>
      <c r="AF404" s="469"/>
      <c r="AG404" s="460" t="s">
        <v>213</v>
      </c>
      <c r="AH404" s="461"/>
      <c r="AI404" s="469"/>
      <c r="AJ404" s="460" t="s">
        <v>118</v>
      </c>
      <c r="AK404" s="461"/>
      <c r="AL404" s="461"/>
      <c r="AM404" s="460" t="s">
        <v>119</v>
      </c>
      <c r="AN404" s="461"/>
      <c r="AO404" s="462"/>
      <c r="AP404" s="246"/>
      <c r="AQ404" s="491"/>
      <c r="AR404" s="246"/>
      <c r="AS404" s="493"/>
      <c r="AT404" s="492"/>
      <c r="AU404" s="491"/>
      <c r="AV404" s="493"/>
      <c r="AW404" s="493"/>
      <c r="AX404" s="493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114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 t="s">
        <v>121</v>
      </c>
      <c r="AB405" s="259" t="s">
        <v>122</v>
      </c>
      <c r="AC405" s="260" t="s">
        <v>123</v>
      </c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94"/>
      <c r="AR405" s="395"/>
      <c r="AS405" s="395"/>
      <c r="AT405" s="495"/>
      <c r="AU405" s="494"/>
      <c r="AV405" s="496"/>
      <c r="AW405" s="496"/>
      <c r="AX405" s="496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114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14562152.040141772</v>
      </c>
      <c r="AA406" s="263"/>
      <c r="AB406" s="263"/>
      <c r="AC406" s="264">
        <f>I5+I93+H194+H250+G314+G362</f>
        <v>0</v>
      </c>
      <c r="AD406" s="265"/>
      <c r="AE406" s="266"/>
      <c r="AF406" s="266">
        <f>L5+L93+K194+K250+J314+J362</f>
        <v>14216826.590000002</v>
      </c>
      <c r="AG406" s="265"/>
      <c r="AH406" s="266"/>
      <c r="AI406" s="267"/>
      <c r="AJ406" s="265"/>
      <c r="AK406" s="266"/>
      <c r="AL406" s="266">
        <f>Q5+Q93+P194+P250+O314+O362</f>
        <v>13573478.81999998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93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114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1549507.4156869221</v>
      </c>
      <c r="AA407" s="271"/>
      <c r="AB407" s="271"/>
      <c r="AC407" s="272">
        <f>I27+I108+I194+I250+I314+I362</f>
        <v>0</v>
      </c>
      <c r="AD407" s="273"/>
      <c r="AE407" s="274"/>
      <c r="AF407" s="274">
        <f>L27+L108+L194+L250+L314+L362</f>
        <v>1370046.1700000004</v>
      </c>
      <c r="AG407" s="273"/>
      <c r="AH407" s="274">
        <f>AF407-Z407</f>
        <v>-179461.24568692176</v>
      </c>
      <c r="AI407" s="275">
        <f>AH407/Z407</f>
        <v>-0.11581825544691804</v>
      </c>
      <c r="AJ407" s="273"/>
      <c r="AK407" s="274"/>
      <c r="AL407" s="274">
        <f>Q27+Q108+Q194+Q250+Q314+Q362</f>
        <v>1505057.7899999986</v>
      </c>
      <c r="AM407" s="276"/>
      <c r="AN407" s="274">
        <f>AF407-AL407</f>
        <v>-135011.61999999825</v>
      </c>
      <c r="AO407" s="277">
        <f>IF(AL407=0,0,AN407/AL407)</f>
        <v>-8.9705273044697095E-2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114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91"/>
      <c r="AV408" s="491"/>
      <c r="AW408" s="491"/>
      <c r="AX408" s="491"/>
      <c r="AY408" s="491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114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>Z409/(D$13+D$97)</f>
        <v>1223.3656228377051</v>
      </c>
      <c r="Z409" s="280">
        <f>+SUM(START:END!Z409)</f>
        <v>172494.55282011643</v>
      </c>
      <c r="AA409" s="279"/>
      <c r="AB409" s="287">
        <f>IF(AC409=0,0,AC409/(G$13+G$97))</f>
        <v>0</v>
      </c>
      <c r="AC409" s="280">
        <f>+SUM(START:END!AC409)</f>
        <v>0</v>
      </c>
      <c r="AD409" s="288"/>
      <c r="AE409" s="287">
        <f>IF(AF409=0,0,AF409/(J$13+J$97))</f>
        <v>1049.4162585034014</v>
      </c>
      <c r="AF409" s="280">
        <f>+SUM(START:END!AF409)</f>
        <v>154264.19</v>
      </c>
      <c r="AG409" s="281">
        <f t="shared" ref="AG409:AH424" si="115">AE409-Y409</f>
        <v>-173.94936433430371</v>
      </c>
      <c r="AH409" s="282">
        <f t="shared" si="115"/>
        <v>-18230.362820116425</v>
      </c>
      <c r="AI409" s="283">
        <f t="shared" ref="AI409:AI418" si="116">IF(Z409=0,0,AH409/Z409)</f>
        <v>-0.10568660008138174</v>
      </c>
      <c r="AJ409" s="288"/>
      <c r="AK409" s="282">
        <f>AL409/(O$13+O$97)</f>
        <v>1316.5035156250001</v>
      </c>
      <c r="AL409" s="280">
        <f>+SUMIF($C:$C,$V409,Q:Q)</f>
        <v>168512.45</v>
      </c>
      <c r="AM409" s="284">
        <f t="shared" ref="AM409:AM414" si="117">AE409-Y409</f>
        <v>-173.94936433430371</v>
      </c>
      <c r="AN409" s="282">
        <f t="shared" ref="AN409:AN414" si="118">AF409-AL409</f>
        <v>-14248.260000000009</v>
      </c>
      <c r="AO409" s="289">
        <f t="shared" ref="AO409:AO431" si="119">IF(AL409=0,0,AN409/AL409)</f>
        <v>-8.4553159128598565E-2</v>
      </c>
      <c r="AP409" s="246"/>
      <c r="AQ409" s="246"/>
      <c r="AS409" s="497"/>
      <c r="AT409" s="490"/>
      <c r="AU409" s="491"/>
      <c r="AV409" s="491"/>
      <c r="AW409" s="491"/>
      <c r="AX409" s="491"/>
      <c r="AY409" s="491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114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ref="Y410:Y415" si="120">Z410/(D$13+D$97)</f>
        <v>428.54609929078015</v>
      </c>
      <c r="Z410" s="264">
        <f>+SUM(START:END!Z410)</f>
        <v>60425</v>
      </c>
      <c r="AA410" s="263"/>
      <c r="AB410" s="291">
        <f t="shared" ref="AB410:AB415" si="121">IF(AC410=0,0,AC410/(G$13+G$97))</f>
        <v>0</v>
      </c>
      <c r="AC410" s="264">
        <f>+SUM(START:END!AC410)</f>
        <v>0</v>
      </c>
      <c r="AD410" s="292"/>
      <c r="AE410" s="291">
        <f t="shared" ref="AE410:AE415" si="122">IF(AF410=0,0,AF410/(J$13+J$97))</f>
        <v>583.94238095238097</v>
      </c>
      <c r="AF410" s="264">
        <f>+SUM(START:END!AF410)</f>
        <v>85839.53</v>
      </c>
      <c r="AG410" s="265">
        <f t="shared" si="115"/>
        <v>155.39628166160082</v>
      </c>
      <c r="AH410" s="266">
        <f t="shared" si="115"/>
        <v>25414.53</v>
      </c>
      <c r="AI410" s="293">
        <f t="shared" si="116"/>
        <v>0.42059627637567232</v>
      </c>
      <c r="AJ410" s="292"/>
      <c r="AK410" s="266">
        <f t="shared" ref="AK410:AK415" si="123">AL410/(O$13+O$97)</f>
        <v>434.41585937499997</v>
      </c>
      <c r="AL410" s="264">
        <f t="shared" ref="AL410:AL415" si="124">+SUMIF($C:$C,$V410,Q:Q)</f>
        <v>55605.229999999996</v>
      </c>
      <c r="AM410" s="268">
        <f t="shared" si="117"/>
        <v>155.39628166160082</v>
      </c>
      <c r="AN410" s="266">
        <f t="shared" si="118"/>
        <v>30234.300000000003</v>
      </c>
      <c r="AO410" s="294">
        <f t="shared" si="119"/>
        <v>0.54373122815965347</v>
      </c>
      <c r="AP410" s="246"/>
      <c r="AQ410" s="246"/>
      <c r="AS410" s="439"/>
      <c r="AT410" s="490"/>
      <c r="AU410" s="491"/>
      <c r="AV410" s="491"/>
      <c r="AW410" s="491"/>
      <c r="AX410" s="491"/>
      <c r="AY410" s="491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114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120"/>
        <v>110.35460992907801</v>
      </c>
      <c r="Z411" s="280">
        <f>+SUM(START:END!Z411)</f>
        <v>15560</v>
      </c>
      <c r="AA411" s="279"/>
      <c r="AB411" s="287">
        <f t="shared" si="121"/>
        <v>0</v>
      </c>
      <c r="AC411" s="280">
        <f>+SUM(START:END!AC411)</f>
        <v>0</v>
      </c>
      <c r="AD411" s="288"/>
      <c r="AE411" s="287">
        <f t="shared" si="122"/>
        <v>94.072721088435358</v>
      </c>
      <c r="AF411" s="280">
        <f>+SUM(START:END!AF411)</f>
        <v>13828.689999999999</v>
      </c>
      <c r="AG411" s="281">
        <f t="shared" si="115"/>
        <v>-16.281888840642651</v>
      </c>
      <c r="AH411" s="282">
        <f t="shared" si="115"/>
        <v>-1731.3100000000013</v>
      </c>
      <c r="AI411" s="283">
        <f t="shared" si="116"/>
        <v>-0.11126670951156821</v>
      </c>
      <c r="AJ411" s="288"/>
      <c r="AK411" s="282">
        <f t="shared" si="123"/>
        <v>89.867109375000013</v>
      </c>
      <c r="AL411" s="280">
        <f t="shared" si="124"/>
        <v>11502.990000000002</v>
      </c>
      <c r="AM411" s="284">
        <f t="shared" si="117"/>
        <v>-16.281888840642651</v>
      </c>
      <c r="AN411" s="282">
        <f t="shared" si="118"/>
        <v>2325.6999999999971</v>
      </c>
      <c r="AO411" s="289">
        <f t="shared" si="119"/>
        <v>0.20218221523273486</v>
      </c>
      <c r="AP411" s="246"/>
      <c r="AQ411" s="246"/>
      <c r="AS411" s="439"/>
      <c r="AT411" s="490"/>
      <c r="AU411" s="491"/>
      <c r="AV411" s="491"/>
      <c r="AW411" s="491"/>
      <c r="AX411" s="491"/>
      <c r="AY411" s="491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114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132</v>
      </c>
      <c r="X412" s="279"/>
      <c r="Y412" s="287">
        <f t="shared" si="120"/>
        <v>68.61702127659575</v>
      </c>
      <c r="Z412" s="280">
        <f>+SUM(START:END!Z412)</f>
        <v>9675</v>
      </c>
      <c r="AA412" s="279"/>
      <c r="AB412" s="287">
        <f t="shared" si="121"/>
        <v>0</v>
      </c>
      <c r="AC412" s="280">
        <f>+SUM(START:END!AC412)</f>
        <v>0</v>
      </c>
      <c r="AD412" s="288"/>
      <c r="AE412" s="287">
        <f t="shared" si="122"/>
        <v>53.924421768707482</v>
      </c>
      <c r="AF412" s="280">
        <f>+SUM(START:END!AF412)</f>
        <v>7926.89</v>
      </c>
      <c r="AG412" s="281">
        <f t="shared" si="115"/>
        <v>-14.692599507888268</v>
      </c>
      <c r="AH412" s="282">
        <f t="shared" si="115"/>
        <v>-1748.1099999999997</v>
      </c>
      <c r="AI412" s="283">
        <f t="shared" si="116"/>
        <v>-0.18068320413436689</v>
      </c>
      <c r="AJ412" s="288"/>
      <c r="AK412" s="282">
        <f t="shared" si="123"/>
        <v>69.746484374999994</v>
      </c>
      <c r="AL412" s="280">
        <f t="shared" si="124"/>
        <v>8927.5499999999993</v>
      </c>
      <c r="AM412" s="284">
        <f t="shared" si="117"/>
        <v>-14.692599507888268</v>
      </c>
      <c r="AN412" s="282">
        <f t="shared" si="118"/>
        <v>-1000.6599999999989</v>
      </c>
      <c r="AO412" s="295">
        <f t="shared" si="119"/>
        <v>-0.11208674272336744</v>
      </c>
      <c r="AP412" s="246"/>
      <c r="AQ412" s="246"/>
      <c r="AS412" s="439"/>
      <c r="AT412" s="490"/>
      <c r="AU412" s="491"/>
      <c r="AV412" s="491"/>
      <c r="AW412" s="491"/>
      <c r="AX412" s="491"/>
      <c r="AY412" s="491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114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/>
      <c r="X413" s="263"/>
      <c r="Y413" s="291">
        <f t="shared" si="120"/>
        <v>72.482269503546092</v>
      </c>
      <c r="Z413" s="264">
        <f>+SUM(START:END!Z413)</f>
        <v>10220</v>
      </c>
      <c r="AA413" s="263"/>
      <c r="AB413" s="291">
        <f t="shared" si="121"/>
        <v>0</v>
      </c>
      <c r="AC413" s="264">
        <f>+SUM(START:END!AC413)</f>
        <v>0</v>
      </c>
      <c r="AD413" s="292"/>
      <c r="AE413" s="291">
        <f t="shared" si="122"/>
        <v>63.898775510204075</v>
      </c>
      <c r="AF413" s="264">
        <f>+SUM(START:END!AF413)</f>
        <v>9393.119999999999</v>
      </c>
      <c r="AG413" s="265">
        <f t="shared" si="115"/>
        <v>-8.5834939933420173</v>
      </c>
      <c r="AH413" s="266">
        <f t="shared" si="115"/>
        <v>-826.88000000000102</v>
      </c>
      <c r="AI413" s="293">
        <f t="shared" si="116"/>
        <v>-8.0908023483366051E-2</v>
      </c>
      <c r="AJ413" s="292"/>
      <c r="AK413" s="266">
        <f t="shared" si="123"/>
        <v>68.303281249999998</v>
      </c>
      <c r="AL413" s="264">
        <f t="shared" si="124"/>
        <v>8742.82</v>
      </c>
      <c r="AM413" s="268">
        <f t="shared" si="117"/>
        <v>-8.5834939933420173</v>
      </c>
      <c r="AN413" s="266">
        <f t="shared" si="118"/>
        <v>650.29999999999927</v>
      </c>
      <c r="AO413" s="294">
        <f t="shared" si="119"/>
        <v>7.4381034952109196E-2</v>
      </c>
      <c r="AP413" s="246"/>
      <c r="AQ413" s="246"/>
      <c r="AS413" s="439"/>
      <c r="AT413" s="490"/>
      <c r="AU413" s="491"/>
      <c r="AV413" s="491"/>
      <c r="AW413" s="491"/>
      <c r="AX413" s="491"/>
      <c r="AY413" s="491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114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133</v>
      </c>
      <c r="X414" s="283"/>
      <c r="Y414" s="287">
        <f t="shared" si="120"/>
        <v>425.01296542553195</v>
      </c>
      <c r="Z414" s="280">
        <f>+SUM(START:END!Z414)</f>
        <v>59926.828125000007</v>
      </c>
      <c r="AA414" s="283"/>
      <c r="AB414" s="287">
        <f t="shared" si="121"/>
        <v>0</v>
      </c>
      <c r="AC414" s="280">
        <f>+SUM(START:END!AC414)</f>
        <v>0</v>
      </c>
      <c r="AD414" s="288"/>
      <c r="AE414" s="287">
        <f t="shared" si="122"/>
        <v>402.96442176870744</v>
      </c>
      <c r="AF414" s="280">
        <f>+SUM(START:END!AF414)</f>
        <v>59235.77</v>
      </c>
      <c r="AG414" s="281">
        <f t="shared" si="115"/>
        <v>-22.048543656824506</v>
      </c>
      <c r="AH414" s="282">
        <f t="shared" si="115"/>
        <v>-691.05812500001048</v>
      </c>
      <c r="AI414" s="283">
        <f t="shared" si="116"/>
        <v>-1.1531698683577046E-2</v>
      </c>
      <c r="AJ414" s="288"/>
      <c r="AK414" s="282">
        <f t="shared" si="123"/>
        <v>465.96328124999991</v>
      </c>
      <c r="AL414" s="280">
        <f t="shared" si="124"/>
        <v>59643.299999999988</v>
      </c>
      <c r="AM414" s="284">
        <f t="shared" si="117"/>
        <v>-22.048543656824506</v>
      </c>
      <c r="AN414" s="282">
        <f t="shared" si="118"/>
        <v>-407.52999999999156</v>
      </c>
      <c r="AO414" s="289">
        <f t="shared" si="119"/>
        <v>-6.8327875888824332E-3</v>
      </c>
      <c r="AP414" s="246"/>
      <c r="AQ414" s="246"/>
      <c r="AR414" s="440"/>
      <c r="AS414" s="439"/>
      <c r="AT414" s="490"/>
      <c r="AU414" s="491"/>
      <c r="AV414" s="491"/>
      <c r="AW414" s="491"/>
      <c r="AX414" s="491"/>
      <c r="AY414" s="491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114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134</v>
      </c>
      <c r="X415" s="279"/>
      <c r="Y415" s="287">
        <f t="shared" si="120"/>
        <v>791.44027732535642</v>
      </c>
      <c r="Z415" s="280">
        <f>+SUM(START:END!Z415)</f>
        <v>111593.07910287526</v>
      </c>
      <c r="AA415" s="279"/>
      <c r="AB415" s="287">
        <f t="shared" si="121"/>
        <v>0</v>
      </c>
      <c r="AC415" s="280">
        <f>+SUM(START:END!AC415)</f>
        <v>0</v>
      </c>
      <c r="AD415" s="288"/>
      <c r="AE415" s="287">
        <f t="shared" si="122"/>
        <v>880.85278911564637</v>
      </c>
      <c r="AF415" s="280">
        <f>+SUM(START:END!AF415)</f>
        <v>129485.36000000002</v>
      </c>
      <c r="AG415" s="281">
        <f t="shared" si="115"/>
        <v>89.412511790289955</v>
      </c>
      <c r="AH415" s="282">
        <f t="shared" si="115"/>
        <v>17892.280897124758</v>
      </c>
      <c r="AI415" s="283">
        <f t="shared" si="116"/>
        <v>0.1603350408552689</v>
      </c>
      <c r="AJ415" s="288"/>
      <c r="AK415" s="282">
        <f t="shared" si="123"/>
        <v>276.268671875</v>
      </c>
      <c r="AL415" s="280">
        <f t="shared" si="124"/>
        <v>35362.39</v>
      </c>
      <c r="AM415" s="284">
        <f>AE415-Y415</f>
        <v>89.412511790289955</v>
      </c>
      <c r="AN415" s="282">
        <f>AF415-AL415</f>
        <v>94122.970000000016</v>
      </c>
      <c r="AO415" s="289">
        <f t="shared" si="119"/>
        <v>2.6616687955763174</v>
      </c>
      <c r="AP415" s="246"/>
      <c r="AQ415" s="246"/>
      <c r="AR415" s="13"/>
      <c r="AS415" s="498"/>
      <c r="AT415" s="246"/>
      <c r="AU415" s="491"/>
      <c r="AV415" s="491"/>
      <c r="AW415" s="491"/>
      <c r="AX415" s="491"/>
      <c r="AY415" s="491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 customHeight="1">
      <c r="A416" t="str">
        <f t="shared" si="114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ref="Y416:Y418" si="125">Z416/(D$13+D$97)</f>
        <v>0</v>
      </c>
      <c r="Z416" s="280">
        <f>+SUM(START:END!Z416)</f>
        <v>0</v>
      </c>
      <c r="AA416" s="279"/>
      <c r="AB416" s="287">
        <f t="shared" ref="AB416:AB418" si="126">IF(AC416=0,0,AC416/(G$13+G$97))</f>
        <v>0</v>
      </c>
      <c r="AC416" s="280">
        <f>+SUM(START:END!AC416)</f>
        <v>0</v>
      </c>
      <c r="AD416" s="288"/>
      <c r="AE416" s="287">
        <f t="shared" ref="AE416:AE418" si="127">IF(AF416=0,0,AF416/(J$13+J$97))</f>
        <v>0</v>
      </c>
      <c r="AF416" s="280">
        <f>+SUM(START:END!AF416)</f>
        <v>0</v>
      </c>
      <c r="AG416" s="281">
        <f t="shared" si="115"/>
        <v>0</v>
      </c>
      <c r="AH416" s="282">
        <f t="shared" si="115"/>
        <v>0</v>
      </c>
      <c r="AI416" s="283">
        <f t="shared" si="116"/>
        <v>0</v>
      </c>
      <c r="AJ416" s="288"/>
      <c r="AK416" s="282">
        <f t="shared" ref="AK416:AK418" si="128">AL416/(O$13+O$97)</f>
        <v>0</v>
      </c>
      <c r="AL416" s="280"/>
      <c r="AM416" s="284">
        <f>AE416-Y416</f>
        <v>0</v>
      </c>
      <c r="AN416" s="282">
        <f>AF416-AL416</f>
        <v>0</v>
      </c>
      <c r="AO416" s="289">
        <f t="shared" si="119"/>
        <v>0</v>
      </c>
      <c r="AP416" s="246"/>
      <c r="AQ416" s="246"/>
      <c r="AR416" s="13"/>
      <c r="AS416" s="246"/>
      <c r="AT416" s="246"/>
      <c r="AU416" s="491"/>
      <c r="AV416" s="491"/>
      <c r="AW416" s="491"/>
      <c r="AX416" s="491"/>
      <c r="AY416" s="491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 customHeight="1">
      <c r="A417" t="str">
        <f t="shared" si="114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125"/>
        <v>0</v>
      </c>
      <c r="Z417" s="280">
        <f>+SUM(START:END!Z417)</f>
        <v>0</v>
      </c>
      <c r="AA417" s="279"/>
      <c r="AB417" s="287">
        <f t="shared" si="126"/>
        <v>0</v>
      </c>
      <c r="AC417" s="280">
        <f>+SUM(START:END!AC417)</f>
        <v>0</v>
      </c>
      <c r="AD417" s="288"/>
      <c r="AE417" s="287">
        <f t="shared" si="127"/>
        <v>0</v>
      </c>
      <c r="AF417" s="280">
        <f>+SUM(START:END!AF417)</f>
        <v>0</v>
      </c>
      <c r="AG417" s="281">
        <f t="shared" si="115"/>
        <v>0</v>
      </c>
      <c r="AH417" s="282">
        <f t="shared" si="115"/>
        <v>0</v>
      </c>
      <c r="AI417" s="283">
        <f t="shared" si="116"/>
        <v>0</v>
      </c>
      <c r="AJ417" s="288"/>
      <c r="AK417" s="282">
        <f t="shared" si="128"/>
        <v>0</v>
      </c>
      <c r="AL417" s="280"/>
      <c r="AM417" s="284">
        <f>AE417-Y417</f>
        <v>0</v>
      </c>
      <c r="AN417" s="282">
        <f>AF417-AL417</f>
        <v>0</v>
      </c>
      <c r="AO417" s="289">
        <f t="shared" si="119"/>
        <v>0</v>
      </c>
      <c r="AP417" s="246"/>
      <c r="AQ417" s="246"/>
      <c r="AR417" s="13"/>
      <c r="AS417" s="246"/>
      <c r="AT417" s="246"/>
      <c r="AU417" s="491"/>
      <c r="AV417" s="491"/>
      <c r="AW417" s="491"/>
      <c r="AX417" s="491"/>
      <c r="AY417" s="491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 customHeight="1">
      <c r="A418" t="str">
        <f t="shared" si="114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/>
      <c r="X418" s="279"/>
      <c r="Y418" s="287">
        <f t="shared" si="125"/>
        <v>0</v>
      </c>
      <c r="Z418" s="280">
        <f>+SUM(START:END!Z418)</f>
        <v>0</v>
      </c>
      <c r="AA418" s="279"/>
      <c r="AB418" s="287">
        <f t="shared" si="126"/>
        <v>0</v>
      </c>
      <c r="AC418" s="280">
        <f>+SUM(START:END!AC418)</f>
        <v>0</v>
      </c>
      <c r="AD418" s="288"/>
      <c r="AE418" s="287">
        <f t="shared" si="127"/>
        <v>0</v>
      </c>
      <c r="AF418" s="280">
        <f>+SUM(START:END!AF418)</f>
        <v>0</v>
      </c>
      <c r="AG418" s="281">
        <f t="shared" si="115"/>
        <v>0</v>
      </c>
      <c r="AH418" s="282">
        <f t="shared" si="115"/>
        <v>0</v>
      </c>
      <c r="AI418" s="283">
        <f t="shared" si="116"/>
        <v>0</v>
      </c>
      <c r="AJ418" s="288"/>
      <c r="AK418" s="282">
        <f t="shared" si="128"/>
        <v>0</v>
      </c>
      <c r="AL418" s="280"/>
      <c r="AM418" s="284">
        <f>AE418-Y418</f>
        <v>0</v>
      </c>
      <c r="AN418" s="282">
        <f>AF418-AL418</f>
        <v>0</v>
      </c>
      <c r="AO418" s="289">
        <f t="shared" si="119"/>
        <v>0</v>
      </c>
      <c r="AP418" s="246"/>
      <c r="AQ418" s="246"/>
      <c r="AR418" s="13"/>
      <c r="AS418" s="246"/>
      <c r="AT418" s="246"/>
      <c r="AU418" s="491"/>
      <c r="AV418" s="491"/>
      <c r="AW418" s="491"/>
      <c r="AX418" s="491"/>
      <c r="AY418" s="491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114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0.28389309763514697</v>
      </c>
      <c r="Y419" s="297"/>
      <c r="Z419" s="299">
        <f>SUM(Z409:Z418)</f>
        <v>439894.46004799166</v>
      </c>
      <c r="AA419" s="298" t="e">
        <f>AC419/AC407</f>
        <v>#DIV/0!</v>
      </c>
      <c r="AB419" s="297"/>
      <c r="AC419" s="299">
        <f>SUM(AC409:AC418)</f>
        <v>0</v>
      </c>
      <c r="AD419" s="300">
        <f>AF419/AF407</f>
        <v>0.33573580224672278</v>
      </c>
      <c r="AE419" s="297"/>
      <c r="AF419" s="299">
        <f>SUM(AF409:AF418)</f>
        <v>459973.55000000005</v>
      </c>
      <c r="AG419" s="301"/>
      <c r="AH419" s="302">
        <f t="shared" si="115"/>
        <v>20079.089952008391</v>
      </c>
      <c r="AI419" s="298">
        <f>AH419/Z419</f>
        <v>4.5645243974697478E-2</v>
      </c>
      <c r="AJ419" s="300">
        <f>IF($AL$407=0,0,AL419/$AL$407)</f>
        <v>0.23141751254614634</v>
      </c>
      <c r="AK419" s="297"/>
      <c r="AL419" s="299">
        <f>SUM(AL409:AL418)</f>
        <v>348296.73</v>
      </c>
      <c r="AM419" s="303"/>
      <c r="AN419" s="302">
        <f t="shared" ref="AN419:AN431" si="129">AF419-AL419</f>
        <v>111676.82000000007</v>
      </c>
      <c r="AO419" s="277">
        <f t="shared" si="119"/>
        <v>0.3206370039707237</v>
      </c>
      <c r="AP419" s="246"/>
      <c r="AQ419" s="246"/>
      <c r="AR419" s="13"/>
      <c r="AS419" s="246"/>
      <c r="AT419" s="246"/>
      <c r="AU419" s="491"/>
      <c r="AV419" s="491"/>
      <c r="AW419" s="491"/>
      <c r="AX419" s="491"/>
      <c r="AY419" s="491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114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136</v>
      </c>
      <c r="X420" s="279"/>
      <c r="Y420" s="279"/>
      <c r="Z420" s="280">
        <f>+SUM(START:END!Z420)</f>
        <v>44768.807251908394</v>
      </c>
      <c r="AA420" s="279"/>
      <c r="AB420" s="279">
        <f t="shared" ref="AB420:AB430" si="130">IF(AC420=0,0,AC420/(G$13+G$97))</f>
        <v>0</v>
      </c>
      <c r="AC420" s="280">
        <f>+SUM(START:END!AC420)</f>
        <v>0</v>
      </c>
      <c r="AD420" s="288"/>
      <c r="AE420" s="287"/>
      <c r="AF420" s="280">
        <f>+SUM(START:END!AF420)</f>
        <v>38428.43</v>
      </c>
      <c r="AG420" s="281"/>
      <c r="AH420" s="282">
        <f t="shared" si="115"/>
        <v>-6340.3772519083941</v>
      </c>
      <c r="AI420" s="283">
        <f t="shared" ref="AI420:AI432" si="131">IF(Z420=0,0,AH420/Z420)</f>
        <v>-0.14162488663662395</v>
      </c>
      <c r="AJ420" s="288"/>
      <c r="AK420" s="279"/>
      <c r="AL420" s="280">
        <f>+SUM(START:END!AL420)</f>
        <v>42239.419999999896</v>
      </c>
      <c r="AM420" s="284"/>
      <c r="AN420" s="282">
        <f t="shared" si="129"/>
        <v>-3810.9899999998961</v>
      </c>
      <c r="AO420" s="289">
        <f t="shared" si="119"/>
        <v>-9.0223540001257249E-2</v>
      </c>
      <c r="AP420" s="246"/>
      <c r="AQ420" s="246"/>
      <c r="AS420" s="246"/>
      <c r="AT420" s="246"/>
      <c r="AU420" s="491"/>
      <c r="AV420" s="491"/>
      <c r="AW420" s="491"/>
      <c r="AX420" s="491"/>
      <c r="AY420" s="491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114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137</v>
      </c>
      <c r="X421" s="279"/>
      <c r="Y421" s="279"/>
      <c r="Z421" s="280">
        <f>+SUM(START:END!Z421)</f>
        <v>94741.244274809171</v>
      </c>
      <c r="AA421" s="279"/>
      <c r="AB421" s="279">
        <f t="shared" si="130"/>
        <v>0</v>
      </c>
      <c r="AC421" s="280">
        <f>+SUM(START:END!AC421)</f>
        <v>0</v>
      </c>
      <c r="AD421" s="288"/>
      <c r="AE421" s="287"/>
      <c r="AF421" s="280">
        <f>+SUM(START:END!AF421)</f>
        <v>82914.080000000002</v>
      </c>
      <c r="AG421" s="281"/>
      <c r="AH421" s="282">
        <f t="shared" si="115"/>
        <v>-11827.164274809169</v>
      </c>
      <c r="AI421" s="283">
        <f t="shared" si="131"/>
        <v>-0.12483648874721295</v>
      </c>
      <c r="AJ421" s="288"/>
      <c r="AK421" s="279"/>
      <c r="AL421" s="280">
        <f t="shared" ref="AL421:AL430" si="132">+SUMIF($C:$C,$V421,Q:Q)</f>
        <v>80453</v>
      </c>
      <c r="AM421" s="284"/>
      <c r="AN421" s="282">
        <f t="shared" si="129"/>
        <v>2461.0800000000017</v>
      </c>
      <c r="AO421" s="289">
        <f t="shared" si="119"/>
        <v>3.059028252520107E-2</v>
      </c>
      <c r="AP421" s="246"/>
      <c r="AQ421" s="246"/>
      <c r="AS421" s="246"/>
      <c r="AT421" s="246"/>
      <c r="AU421" s="491"/>
      <c r="AV421" s="491"/>
      <c r="AW421" s="491"/>
      <c r="AX421" s="491"/>
      <c r="AY421" s="491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114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>+SUM(START:END!Z422)</f>
        <v>58357.097328244265</v>
      </c>
      <c r="AA422" s="263"/>
      <c r="AB422" s="263">
        <f t="shared" si="130"/>
        <v>0</v>
      </c>
      <c r="AC422" s="264">
        <f>+SUM(START:END!AC422)</f>
        <v>0</v>
      </c>
      <c r="AD422" s="292"/>
      <c r="AE422" s="291"/>
      <c r="AF422" s="264">
        <f>+SUM(START:END!AF422)</f>
        <v>59685.290000000008</v>
      </c>
      <c r="AG422" s="265"/>
      <c r="AH422" s="266">
        <f t="shared" si="115"/>
        <v>1328.1926717557435</v>
      </c>
      <c r="AI422" s="293">
        <f t="shared" si="131"/>
        <v>2.2759745302015067E-2</v>
      </c>
      <c r="AJ422" s="292"/>
      <c r="AK422" s="263"/>
      <c r="AL422" s="264">
        <f t="shared" si="132"/>
        <v>62739.09</v>
      </c>
      <c r="AM422" s="268"/>
      <c r="AN422" s="266">
        <f t="shared" si="129"/>
        <v>-3053.7999999999884</v>
      </c>
      <c r="AO422" s="269">
        <f t="shared" si="119"/>
        <v>-4.8674598244889886E-2</v>
      </c>
      <c r="AP422" s="246"/>
      <c r="AQ422" s="246"/>
      <c r="AS422" s="246"/>
      <c r="AT422" s="246"/>
      <c r="AU422" s="491"/>
      <c r="AV422" s="491"/>
      <c r="AW422" s="491"/>
      <c r="AX422" s="491"/>
      <c r="AY422" s="491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114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>+SUM(START:END!Z423)</f>
        <v>62859.667938931307</v>
      </c>
      <c r="AA423" s="279"/>
      <c r="AB423" s="279">
        <f t="shared" si="130"/>
        <v>0</v>
      </c>
      <c r="AC423" s="280">
        <f>+SUM(START:END!AC423)</f>
        <v>0</v>
      </c>
      <c r="AD423" s="288"/>
      <c r="AE423" s="287"/>
      <c r="AF423" s="280">
        <f>+SUM(START:END!AF423)</f>
        <v>67921.48</v>
      </c>
      <c r="AG423" s="281"/>
      <c r="AH423" s="282">
        <f t="shared" si="115"/>
        <v>5061.8120610686892</v>
      </c>
      <c r="AI423" s="283">
        <f t="shared" si="131"/>
        <v>8.0525593389807304E-2</v>
      </c>
      <c r="AJ423" s="288"/>
      <c r="AK423" s="279"/>
      <c r="AL423" s="280">
        <f t="shared" si="132"/>
        <v>64169.22</v>
      </c>
      <c r="AM423" s="284"/>
      <c r="AN423" s="282">
        <f t="shared" si="129"/>
        <v>3752.2599999999948</v>
      </c>
      <c r="AO423" s="289">
        <f t="shared" si="119"/>
        <v>5.8474452393218974E-2</v>
      </c>
      <c r="AP423" s="246"/>
      <c r="AQ423" s="246"/>
      <c r="AS423" s="246"/>
      <c r="AT423" s="246"/>
      <c r="AU423" s="491"/>
      <c r="AV423" s="491"/>
      <c r="AW423" s="491"/>
      <c r="AX423" s="491"/>
      <c r="AY423" s="491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114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140</v>
      </c>
      <c r="X424" s="279"/>
      <c r="Y424" s="279"/>
      <c r="Z424" s="280">
        <f>+SUM(START:END!Z424)</f>
        <v>40411.288492496235</v>
      </c>
      <c r="AA424" s="279"/>
      <c r="AB424" s="279">
        <f t="shared" si="130"/>
        <v>0</v>
      </c>
      <c r="AC424" s="280">
        <f>+SUM(START:END!AC424)</f>
        <v>0</v>
      </c>
      <c r="AD424" s="288"/>
      <c r="AE424" s="287"/>
      <c r="AF424" s="280">
        <f>+SUM(START:END!AF424)</f>
        <v>44000.47</v>
      </c>
      <c r="AG424" s="281"/>
      <c r="AH424" s="282">
        <f t="shared" si="115"/>
        <v>3589.1815075037666</v>
      </c>
      <c r="AI424" s="283">
        <f t="shared" si="131"/>
        <v>8.8816309536139226E-2</v>
      </c>
      <c r="AJ424" s="288"/>
      <c r="AK424" s="279"/>
      <c r="AL424" s="280">
        <f t="shared" si="132"/>
        <v>37625.360000000001</v>
      </c>
      <c r="AM424" s="284"/>
      <c r="AN424" s="282">
        <f t="shared" si="129"/>
        <v>6375.1100000000006</v>
      </c>
      <c r="AO424" s="289">
        <f t="shared" si="119"/>
        <v>0.16943651834826298</v>
      </c>
      <c r="AP424" s="246"/>
      <c r="AQ424" s="246"/>
      <c r="AS424" s="491"/>
      <c r="AT424" s="491"/>
      <c r="AU424" s="491"/>
      <c r="AV424" s="491"/>
      <c r="AW424" s="491"/>
      <c r="AX424" s="491"/>
      <c r="AY424" s="491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 customHeight="1">
      <c r="A425" t="str">
        <f t="shared" si="114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>+SUM(START:END!Z425)</f>
        <v>0</v>
      </c>
      <c r="AA425" s="279"/>
      <c r="AB425" s="279">
        <f t="shared" si="130"/>
        <v>0</v>
      </c>
      <c r="AC425" s="282">
        <f>+SUM(START:END!AC425)</f>
        <v>0</v>
      </c>
      <c r="AD425" s="288"/>
      <c r="AE425" s="287"/>
      <c r="AF425" s="280">
        <f>+SUM(START:END!AF425)</f>
        <v>0</v>
      </c>
      <c r="AG425" s="281"/>
      <c r="AH425" s="282">
        <f t="shared" ref="AH425:AH457" si="133">AF425-Z425</f>
        <v>0</v>
      </c>
      <c r="AI425" s="283">
        <f t="shared" si="131"/>
        <v>0</v>
      </c>
      <c r="AJ425" s="288"/>
      <c r="AK425" s="279"/>
      <c r="AL425" s="280"/>
      <c r="AM425" s="284"/>
      <c r="AN425" s="282">
        <f t="shared" si="129"/>
        <v>0</v>
      </c>
      <c r="AO425" s="289">
        <f t="shared" si="119"/>
        <v>0</v>
      </c>
      <c r="AP425" s="246"/>
      <c r="AQ425" s="246"/>
      <c r="AR425" s="440"/>
      <c r="AS425" s="491"/>
      <c r="AT425" s="491"/>
      <c r="AU425" s="491"/>
      <c r="AV425" s="491"/>
      <c r="AW425" s="491"/>
      <c r="AX425" s="491"/>
      <c r="AY425" s="491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 customHeight="1">
      <c r="A426" t="str">
        <f t="shared" si="114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>+SUM(START:END!Z426)</f>
        <v>0</v>
      </c>
      <c r="AA426" s="279"/>
      <c r="AB426" s="279">
        <f t="shared" si="130"/>
        <v>0</v>
      </c>
      <c r="AC426" s="282">
        <f>+SUM(START:END!AC426)</f>
        <v>0</v>
      </c>
      <c r="AD426" s="288"/>
      <c r="AE426" s="287"/>
      <c r="AF426" s="280">
        <f>+SUM(START:END!AF426)</f>
        <v>0</v>
      </c>
      <c r="AG426" s="281"/>
      <c r="AH426" s="282">
        <f t="shared" si="133"/>
        <v>0</v>
      </c>
      <c r="AI426" s="283">
        <f t="shared" si="131"/>
        <v>0</v>
      </c>
      <c r="AJ426" s="288"/>
      <c r="AK426" s="279"/>
      <c r="AL426" s="280"/>
      <c r="AM426" s="284"/>
      <c r="AN426" s="282">
        <f t="shared" si="129"/>
        <v>0</v>
      </c>
      <c r="AO426" s="289">
        <f t="shared" si="119"/>
        <v>0</v>
      </c>
      <c r="AP426" s="246"/>
      <c r="AQ426" s="246"/>
      <c r="AS426" s="491"/>
      <c r="AT426" s="491"/>
      <c r="AU426" s="491"/>
      <c r="AV426" s="491"/>
      <c r="AW426" s="491"/>
      <c r="AX426" s="491"/>
      <c r="AY426" s="491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 customHeight="1">
      <c r="A427" t="str">
        <f t="shared" si="114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>+SUM(START:END!Z427)</f>
        <v>0</v>
      </c>
      <c r="AA427" s="279"/>
      <c r="AB427" s="279">
        <f t="shared" si="130"/>
        <v>0</v>
      </c>
      <c r="AC427" s="282">
        <f>+SUM(START:END!AC427)</f>
        <v>0</v>
      </c>
      <c r="AD427" s="288"/>
      <c r="AE427" s="287"/>
      <c r="AF427" s="280">
        <f>+SUM(START:END!AF427)</f>
        <v>0</v>
      </c>
      <c r="AG427" s="281"/>
      <c r="AH427" s="282">
        <f t="shared" si="133"/>
        <v>0</v>
      </c>
      <c r="AI427" s="283">
        <f t="shared" si="131"/>
        <v>0</v>
      </c>
      <c r="AJ427" s="288"/>
      <c r="AK427" s="279"/>
      <c r="AL427" s="280"/>
      <c r="AM427" s="284"/>
      <c r="AN427" s="282">
        <f t="shared" si="129"/>
        <v>0</v>
      </c>
      <c r="AO427" s="289">
        <f t="shared" si="119"/>
        <v>0</v>
      </c>
      <c r="AP427" s="246"/>
      <c r="AQ427" s="246"/>
      <c r="AS427" s="491"/>
      <c r="AT427" s="491"/>
      <c r="AU427" s="491"/>
      <c r="AV427" s="491"/>
      <c r="AW427" s="491"/>
      <c r="AX427" s="491"/>
      <c r="AY427" s="491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114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>+SUM(START:END!Z428)</f>
        <v>66996.055811243918</v>
      </c>
      <c r="AA428" s="263"/>
      <c r="AB428" s="263">
        <f t="shared" si="130"/>
        <v>0</v>
      </c>
      <c r="AC428" s="264">
        <f>+SUM(START:END!AC428)</f>
        <v>0</v>
      </c>
      <c r="AD428" s="292"/>
      <c r="AE428" s="291"/>
      <c r="AF428" s="264">
        <f>+SUM(START:END!AF428)</f>
        <v>63445.979999999996</v>
      </c>
      <c r="AG428" s="265"/>
      <c r="AH428" s="266">
        <f t="shared" si="133"/>
        <v>-3550.0758112439216</v>
      </c>
      <c r="AI428" s="293">
        <f t="shared" si="131"/>
        <v>-5.298932553949115E-2</v>
      </c>
      <c r="AJ428" s="292"/>
      <c r="AK428" s="263"/>
      <c r="AL428" s="264">
        <f t="shared" si="132"/>
        <v>66771.17</v>
      </c>
      <c r="AM428" s="268"/>
      <c r="AN428" s="266">
        <f t="shared" si="129"/>
        <v>-3325.1900000000023</v>
      </c>
      <c r="AO428" s="294">
        <f t="shared" si="119"/>
        <v>-4.9799786344915067E-2</v>
      </c>
      <c r="AP428" s="491"/>
      <c r="AQ428" s="499"/>
      <c r="AS428" s="491"/>
      <c r="AT428" s="491"/>
      <c r="AU428" s="491"/>
      <c r="AV428" s="491"/>
      <c r="AW428" s="491"/>
      <c r="AX428" s="491"/>
      <c r="AY428" s="491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114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>+SUM(START:END!Z429)</f>
        <v>87936.88630347533</v>
      </c>
      <c r="AA429" s="279"/>
      <c r="AB429" s="279">
        <f t="shared" si="130"/>
        <v>0</v>
      </c>
      <c r="AC429" s="280">
        <f>+SUM(START:END!AC429)</f>
        <v>0</v>
      </c>
      <c r="AD429" s="288"/>
      <c r="AE429" s="287"/>
      <c r="AF429" s="280">
        <f>+SUM(START:END!AF429)</f>
        <v>89837.64</v>
      </c>
      <c r="AG429" s="281"/>
      <c r="AH429" s="282">
        <f t="shared" si="133"/>
        <v>1900.7536965246691</v>
      </c>
      <c r="AI429" s="283">
        <f t="shared" si="131"/>
        <v>2.1614976108717984E-2</v>
      </c>
      <c r="AJ429" s="288"/>
      <c r="AK429" s="279"/>
      <c r="AL429" s="280">
        <f t="shared" si="132"/>
        <v>87935.959999999992</v>
      </c>
      <c r="AM429" s="284"/>
      <c r="AN429" s="282">
        <f t="shared" si="129"/>
        <v>1901.6800000000076</v>
      </c>
      <c r="AO429" s="289">
        <f t="shared" si="119"/>
        <v>2.1625737639072887E-2</v>
      </c>
      <c r="AP429" s="491"/>
      <c r="AQ429" s="490"/>
      <c r="AR429" s="490"/>
      <c r="AS429" s="491"/>
      <c r="AT429" s="491"/>
      <c r="AU429" s="491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114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143</v>
      </c>
      <c r="X430" s="279"/>
      <c r="Y430" s="279"/>
      <c r="Z430" s="280">
        <f>+SUM(START:END!Z430)</f>
        <v>40282.596780203356</v>
      </c>
      <c r="AA430" s="279"/>
      <c r="AB430" s="279">
        <f t="shared" si="130"/>
        <v>0</v>
      </c>
      <c r="AC430" s="280">
        <f>+SUM(START:END!AC430)</f>
        <v>0</v>
      </c>
      <c r="AD430" s="288"/>
      <c r="AE430" s="287"/>
      <c r="AF430" s="280">
        <f>+SUM(START:END!AF430)</f>
        <v>37575.019999999997</v>
      </c>
      <c r="AG430" s="281"/>
      <c r="AH430" s="282">
        <f t="shared" si="133"/>
        <v>-2707.5767802033588</v>
      </c>
      <c r="AI430" s="283">
        <f t="shared" si="131"/>
        <v>-6.7214554090861925E-2</v>
      </c>
      <c r="AJ430" s="288"/>
      <c r="AK430" s="279"/>
      <c r="AL430" s="280">
        <f t="shared" si="132"/>
        <v>37319.420000000006</v>
      </c>
      <c r="AM430" s="284"/>
      <c r="AN430" s="282">
        <f t="shared" si="129"/>
        <v>255.59999999999127</v>
      </c>
      <c r="AO430" s="289">
        <f t="shared" si="119"/>
        <v>6.8489810398980272E-3</v>
      </c>
      <c r="AP430" s="491"/>
      <c r="AQ430" s="490"/>
      <c r="AR430" s="490"/>
      <c r="AS430" s="491"/>
      <c r="AT430" s="491"/>
      <c r="AU430" s="491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114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/>
      <c r="X431" s="279"/>
      <c r="Y431" s="279"/>
      <c r="Z431" s="280">
        <f>+SUM(START:END!Z431)</f>
        <v>9096.0702406910805</v>
      </c>
      <c r="AA431" s="279"/>
      <c r="AB431" s="279">
        <f t="shared" ref="AB431:AB432" si="134">IF(AC431=0,0,AC431/(G$13+G$97))</f>
        <v>0</v>
      </c>
      <c r="AC431" s="280">
        <f>+SUM(START:END!AC431)</f>
        <v>0</v>
      </c>
      <c r="AD431" s="288"/>
      <c r="AE431" s="287"/>
      <c r="AF431" s="280">
        <f>+SUM(START:END!AF431)</f>
        <v>11094.51</v>
      </c>
      <c r="AG431" s="281"/>
      <c r="AH431" s="282">
        <f t="shared" si="133"/>
        <v>1998.4397593089197</v>
      </c>
      <c r="AI431" s="306">
        <f t="shared" si="131"/>
        <v>0.21970364194956862</v>
      </c>
      <c r="AJ431" s="288"/>
      <c r="AK431" s="279"/>
      <c r="AL431" s="280">
        <f t="shared" ref="AL431" si="135">+SUMIF($C:$C,$V431,Q:Q)</f>
        <v>9181.32</v>
      </c>
      <c r="AM431" s="284"/>
      <c r="AN431" s="282">
        <f t="shared" si="129"/>
        <v>1913.1900000000005</v>
      </c>
      <c r="AO431" s="294">
        <f t="shared" si="119"/>
        <v>0.20837853380559665</v>
      </c>
      <c r="AP431" s="491"/>
      <c r="AQ431" s="490"/>
      <c r="AR431" s="490"/>
      <c r="AS431" s="491"/>
      <c r="AT431" s="491"/>
      <c r="AU431" s="491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 customHeight="1">
      <c r="A432" t="str">
        <f t="shared" si="114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+SUM(START:END!Z432)</f>
        <v>0</v>
      </c>
      <c r="AA432" s="279"/>
      <c r="AB432" s="279">
        <f t="shared" si="134"/>
        <v>0</v>
      </c>
      <c r="AC432" s="282">
        <f>+SUM(START:END!AC432)</f>
        <v>0</v>
      </c>
      <c r="AD432" s="288"/>
      <c r="AE432" s="287"/>
      <c r="AF432" s="280">
        <f>+SUM(START:END!AF432)</f>
        <v>0</v>
      </c>
      <c r="AG432" s="281"/>
      <c r="AH432" s="282">
        <f t="shared" si="133"/>
        <v>0</v>
      </c>
      <c r="AI432" s="283">
        <f t="shared" si="131"/>
        <v>0</v>
      </c>
      <c r="AJ432" s="288"/>
      <c r="AK432" s="279">
        <f t="shared" ref="AK431:AK432" si="136">AL432/(O$13+O$97)</f>
        <v>0</v>
      </c>
      <c r="AL432" s="280"/>
      <c r="AM432" s="284"/>
      <c r="AN432" s="282"/>
      <c r="AO432" s="294"/>
      <c r="AP432" s="246"/>
      <c r="AQ432" s="246"/>
      <c r="AR432" s="490"/>
      <c r="AS432" s="491"/>
      <c r="AT432" s="491"/>
      <c r="AU432" s="491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114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0.32620025519395718</v>
      </c>
      <c r="Y433" s="297"/>
      <c r="Z433" s="299">
        <f>SUM(Z420:Z432)</f>
        <v>505449.71442200308</v>
      </c>
      <c r="AA433" s="298" t="e">
        <f>AC433/AC407</f>
        <v>#DIV/0!</v>
      </c>
      <c r="AB433" s="297"/>
      <c r="AC433" s="299">
        <f>SUM(AC420:AC432)</f>
        <v>0</v>
      </c>
      <c r="AD433" s="300">
        <f>AF433/AF407</f>
        <v>0.36123081895845882</v>
      </c>
      <c r="AE433" s="307"/>
      <c r="AF433" s="299">
        <f>SUM(AF420:AF432)</f>
        <v>494902.9</v>
      </c>
      <c r="AG433" s="308"/>
      <c r="AH433" s="302">
        <f t="shared" si="133"/>
        <v>-10546.814422003052</v>
      </c>
      <c r="AI433" s="298">
        <f>AH433/Z433</f>
        <v>-2.0866199190682402E-2</v>
      </c>
      <c r="AJ433" s="300">
        <f>IF($AL$407=0,0,AL433/$AL$407)</f>
        <v>0.32452837575094062</v>
      </c>
      <c r="AK433" s="297"/>
      <c r="AL433" s="299">
        <f>SUM(AL420:AL432)</f>
        <v>488433.95999999985</v>
      </c>
      <c r="AM433" s="309"/>
      <c r="AN433" s="302">
        <f t="shared" ref="AN433:AN447" si="137">AF433-AL433</f>
        <v>6468.940000000177</v>
      </c>
      <c r="AO433" s="277">
        <f>IF(AL433=0,0,AN433/AL433)</f>
        <v>1.3244246980697613E-2</v>
      </c>
      <c r="AP433" s="246"/>
      <c r="AQ433" s="246"/>
      <c r="AR433" s="490"/>
      <c r="AS433" s="491"/>
      <c r="AT433" s="491"/>
      <c r="AU433" s="491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114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133</v>
      </c>
      <c r="X434" s="312"/>
      <c r="Y434" s="312"/>
      <c r="Z434" s="313">
        <f>+SUM(START:END!Z434)</f>
        <v>22194.349083643887</v>
      </c>
      <c r="AA434" s="312"/>
      <c r="AB434" s="312">
        <f t="shared" ref="AB434:AB451" si="138">IF(AC434=0,0,AC434/(G$13+G$97))</f>
        <v>0</v>
      </c>
      <c r="AC434" s="313">
        <f>+SUM(START:END!AC434)</f>
        <v>0</v>
      </c>
      <c r="AD434" s="314"/>
      <c r="AE434" s="315"/>
      <c r="AF434" s="313">
        <f>+SUM(START:END!AF434)</f>
        <v>27908.38</v>
      </c>
      <c r="AG434" s="314"/>
      <c r="AH434" s="316">
        <f t="shared" si="133"/>
        <v>5714.0309163561142</v>
      </c>
      <c r="AI434" s="317">
        <f t="shared" ref="AI434:AI451" si="139">IF(Z434=0,0,AH434/Z434)</f>
        <v>0.25745431392565893</v>
      </c>
      <c r="AJ434" s="314"/>
      <c r="AK434" s="312"/>
      <c r="AL434" s="313">
        <f t="shared" ref="AL434:AL449" si="140">+SUMIF($C:$C,$V434,Q:Q)</f>
        <v>27042.070000000003</v>
      </c>
      <c r="AM434" s="318"/>
      <c r="AN434" s="316">
        <f t="shared" si="137"/>
        <v>866.30999999999767</v>
      </c>
      <c r="AO434" s="285">
        <f t="shared" ref="AO434:AO447" si="141">IF(AL434=0,0,AN434/AL434)</f>
        <v>3.2035639283531092E-2</v>
      </c>
      <c r="AP434" s="246"/>
      <c r="AQ434" s="246"/>
      <c r="AR434" s="246"/>
      <c r="AS434" s="500"/>
      <c r="AT434" s="491"/>
      <c r="AU434" s="491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114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144</v>
      </c>
      <c r="X435" s="279"/>
      <c r="Y435" s="279"/>
      <c r="Z435" s="280">
        <f>+SUM(START:END!Z435)</f>
        <v>11895</v>
      </c>
      <c r="AA435" s="279"/>
      <c r="AB435" s="279">
        <f t="shared" si="138"/>
        <v>0</v>
      </c>
      <c r="AC435" s="280">
        <f>+SUM(START:END!AC435)</f>
        <v>0</v>
      </c>
      <c r="AD435" s="288"/>
      <c r="AE435" s="287"/>
      <c r="AF435" s="280">
        <f>+SUM(START:END!AF435)</f>
        <v>12670.019999999999</v>
      </c>
      <c r="AG435" s="281"/>
      <c r="AH435" s="282">
        <f t="shared" si="133"/>
        <v>775.01999999999862</v>
      </c>
      <c r="AI435" s="283">
        <f t="shared" si="139"/>
        <v>6.5155107187893954E-2</v>
      </c>
      <c r="AJ435" s="288"/>
      <c r="AK435" s="279"/>
      <c r="AL435" s="280">
        <f t="shared" si="140"/>
        <v>14422.709999999988</v>
      </c>
      <c r="AM435" s="284"/>
      <c r="AN435" s="282">
        <f t="shared" si="137"/>
        <v>-1752.6899999999896</v>
      </c>
      <c r="AO435" s="289">
        <f t="shared" si="141"/>
        <v>-0.12152293154337784</v>
      </c>
      <c r="AP435" s="246"/>
      <c r="AQ435" s="246"/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114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145</v>
      </c>
      <c r="X436" s="263"/>
      <c r="Y436" s="263"/>
      <c r="Z436" s="264">
        <f>+SUM(START:END!Z436)</f>
        <v>45910</v>
      </c>
      <c r="AA436" s="263"/>
      <c r="AB436" s="263">
        <f t="shared" si="138"/>
        <v>0</v>
      </c>
      <c r="AC436" s="264">
        <f>+SUM(START:END!AC436)</f>
        <v>0</v>
      </c>
      <c r="AD436" s="292"/>
      <c r="AE436" s="291"/>
      <c r="AF436" s="264">
        <f>+SUM(START:END!AF436)</f>
        <v>53926.06</v>
      </c>
      <c r="AG436" s="265"/>
      <c r="AH436" s="266">
        <f t="shared" si="133"/>
        <v>8016.0599999999977</v>
      </c>
      <c r="AI436" s="293">
        <f t="shared" si="139"/>
        <v>0.17460379002395987</v>
      </c>
      <c r="AJ436" s="292"/>
      <c r="AK436" s="263"/>
      <c r="AL436" s="264">
        <f t="shared" si="140"/>
        <v>48152.149999999994</v>
      </c>
      <c r="AM436" s="268"/>
      <c r="AN436" s="266">
        <f t="shared" si="137"/>
        <v>5773.9100000000035</v>
      </c>
      <c r="AO436" s="269">
        <f t="shared" si="141"/>
        <v>0.11990970288969452</v>
      </c>
      <c r="AP436" s="246"/>
      <c r="AQ436" s="246"/>
      <c r="AR436" s="501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114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146</v>
      </c>
      <c r="X437" s="279"/>
      <c r="Y437" s="279"/>
      <c r="Z437" s="280">
        <f>+SUM(START:END!Z437)</f>
        <v>42279</v>
      </c>
      <c r="AA437" s="279"/>
      <c r="AB437" s="279">
        <f t="shared" si="138"/>
        <v>0</v>
      </c>
      <c r="AC437" s="280">
        <f>+SUM(START:END!AC437)</f>
        <v>0</v>
      </c>
      <c r="AD437" s="288"/>
      <c r="AE437" s="287"/>
      <c r="AF437" s="280">
        <f>+SUM(START:END!AF437)</f>
        <v>41496.42</v>
      </c>
      <c r="AG437" s="281"/>
      <c r="AH437" s="282">
        <f>AF437-Z437</f>
        <v>-782.58000000000175</v>
      </c>
      <c r="AI437" s="283">
        <f t="shared" si="139"/>
        <v>-1.8509898531185735E-2</v>
      </c>
      <c r="AJ437" s="288"/>
      <c r="AK437" s="279"/>
      <c r="AL437" s="280">
        <f t="shared" si="140"/>
        <v>40619.240000000005</v>
      </c>
      <c r="AM437" s="284"/>
      <c r="AN437" s="282">
        <f t="shared" si="137"/>
        <v>877.17999999999302</v>
      </c>
      <c r="AO437" s="289">
        <f t="shared" si="141"/>
        <v>2.159518494191405E-2</v>
      </c>
      <c r="AP437" s="501"/>
      <c r="AQ437" s="246"/>
      <c r="AR437" s="246"/>
      <c r="AS437" s="501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114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147</v>
      </c>
      <c r="X438" s="279"/>
      <c r="Y438" s="279"/>
      <c r="Z438" s="280">
        <f>+SUM(START:END!Z438)</f>
        <v>5484</v>
      </c>
      <c r="AA438" s="279"/>
      <c r="AB438" s="279">
        <f t="shared" si="138"/>
        <v>0</v>
      </c>
      <c r="AC438" s="280">
        <f>+SUM(START:END!AC438)</f>
        <v>0</v>
      </c>
      <c r="AD438" s="288"/>
      <c r="AE438" s="287"/>
      <c r="AF438" s="280">
        <f>+SUM(START:END!AF438)</f>
        <v>7279.86</v>
      </c>
      <c r="AG438" s="281"/>
      <c r="AH438" s="282">
        <f t="shared" si="133"/>
        <v>1795.8599999999997</v>
      </c>
      <c r="AI438" s="283">
        <f t="shared" si="139"/>
        <v>0.32747264770240692</v>
      </c>
      <c r="AJ438" s="288"/>
      <c r="AK438" s="279"/>
      <c r="AL438" s="280">
        <f t="shared" si="140"/>
        <v>5740.59</v>
      </c>
      <c r="AM438" s="284"/>
      <c r="AN438" s="282">
        <f t="shared" si="137"/>
        <v>1539.2699999999995</v>
      </c>
      <c r="AO438" s="289">
        <f t="shared" si="141"/>
        <v>0.2681379440092394</v>
      </c>
      <c r="AP438" s="501"/>
      <c r="AQ438" s="246"/>
      <c r="AR438" s="501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114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148</v>
      </c>
      <c r="X439" s="279"/>
      <c r="Y439" s="279"/>
      <c r="Z439" s="280">
        <f>+SUM(START:END!Z439)</f>
        <v>32898.000000000007</v>
      </c>
      <c r="AA439" s="279"/>
      <c r="AB439" s="279">
        <f t="shared" si="138"/>
        <v>0</v>
      </c>
      <c r="AC439" s="280">
        <f>+SUM(START:END!AC439)</f>
        <v>0</v>
      </c>
      <c r="AD439" s="288"/>
      <c r="AE439" s="287"/>
      <c r="AF439" s="280">
        <f>+SUM(START:END!AF439)</f>
        <v>38302.740000000005</v>
      </c>
      <c r="AG439" s="281"/>
      <c r="AH439" s="282">
        <f t="shared" si="133"/>
        <v>5404.739999999998</v>
      </c>
      <c r="AI439" s="283">
        <f t="shared" si="139"/>
        <v>0.1642877986503738</v>
      </c>
      <c r="AJ439" s="288"/>
      <c r="AK439" s="279"/>
      <c r="AL439" s="280">
        <f t="shared" si="140"/>
        <v>34678.19</v>
      </c>
      <c r="AM439" s="284"/>
      <c r="AN439" s="282">
        <f t="shared" si="137"/>
        <v>3624.5500000000029</v>
      </c>
      <c r="AO439" s="289">
        <f t="shared" si="141"/>
        <v>0.10451958421128676</v>
      </c>
      <c r="AP439" s="246"/>
      <c r="AQ439" s="246"/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>+SUM(START:END!Z440)</f>
        <v>0</v>
      </c>
      <c r="AA440" s="320"/>
      <c r="AB440" s="320">
        <f t="shared" si="138"/>
        <v>0</v>
      </c>
      <c r="AC440" s="321">
        <f>+SUM(START:END!AC440)</f>
        <v>0</v>
      </c>
      <c r="AD440" s="322"/>
      <c r="AE440" s="323"/>
      <c r="AF440" s="321">
        <f>+SUM(START:END!AF440)</f>
        <v>0</v>
      </c>
      <c r="AG440" s="324"/>
      <c r="AH440" s="325">
        <f t="shared" si="133"/>
        <v>0</v>
      </c>
      <c r="AI440" s="326">
        <f t="shared" si="139"/>
        <v>0</v>
      </c>
      <c r="AJ440" s="322"/>
      <c r="AK440" s="320"/>
      <c r="AL440" s="321">
        <f t="shared" si="140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114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>+SUM(START:END!Z441)</f>
        <v>4134.9230746515468</v>
      </c>
      <c r="AA441" s="279"/>
      <c r="AB441" s="287">
        <f t="shared" si="138"/>
        <v>0</v>
      </c>
      <c r="AC441" s="280">
        <f>+SUM(START:END!AC441)</f>
        <v>0</v>
      </c>
      <c r="AD441" s="288"/>
      <c r="AE441" s="287"/>
      <c r="AF441" s="280">
        <f>+SUM(START:END!AF441)</f>
        <v>1435.72</v>
      </c>
      <c r="AG441" s="281"/>
      <c r="AH441" s="282">
        <f t="shared" si="133"/>
        <v>-2699.2030746515466</v>
      </c>
      <c r="AI441" s="283">
        <f t="shared" si="139"/>
        <v>-0.65278193231660309</v>
      </c>
      <c r="AJ441" s="288"/>
      <c r="AK441" s="279"/>
      <c r="AL441" s="280">
        <f t="shared" si="140"/>
        <v>4535.24</v>
      </c>
      <c r="AM441" s="284"/>
      <c r="AN441" s="282">
        <f t="shared" si="137"/>
        <v>-3099.5199999999995</v>
      </c>
      <c r="AO441" s="289">
        <f t="shared" si="141"/>
        <v>-0.68343020435522694</v>
      </c>
      <c r="AP441" s="246"/>
      <c r="AQ441" s="246"/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114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150</v>
      </c>
      <c r="X442" s="279"/>
      <c r="Y442" s="279"/>
      <c r="Z442" s="280">
        <f>+SUM(START:END!Z442)</f>
        <v>3009</v>
      </c>
      <c r="AA442" s="279"/>
      <c r="AB442" s="279">
        <f t="shared" si="138"/>
        <v>0</v>
      </c>
      <c r="AC442" s="280">
        <f>+SUM(START:END!AC442)</f>
        <v>0</v>
      </c>
      <c r="AD442" s="288"/>
      <c r="AE442" s="287"/>
      <c r="AF442" s="280">
        <f>+SUM(START:END!AF442)</f>
        <v>3072.52</v>
      </c>
      <c r="AG442" s="281"/>
      <c r="AH442" s="282">
        <f t="shared" si="133"/>
        <v>63.519999999999982</v>
      </c>
      <c r="AI442" s="306">
        <f t="shared" si="139"/>
        <v>2.1110003323363238E-2</v>
      </c>
      <c r="AJ442" s="288"/>
      <c r="AK442" s="279"/>
      <c r="AL442" s="280">
        <f t="shared" si="140"/>
        <v>3367.9199999999996</v>
      </c>
      <c r="AM442" s="284"/>
      <c r="AN442" s="282">
        <f t="shared" si="137"/>
        <v>-295.39999999999964</v>
      </c>
      <c r="AO442" s="289">
        <f t="shared" si="141"/>
        <v>-8.7709921850875214E-2</v>
      </c>
      <c r="AP442" s="246"/>
      <c r="AQ442" s="246"/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114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>+SUM(START:END!Z443)</f>
        <v>5250</v>
      </c>
      <c r="AA443" s="279"/>
      <c r="AB443" s="279">
        <f t="shared" si="138"/>
        <v>0</v>
      </c>
      <c r="AC443" s="280">
        <f>+SUM(START:END!AC443)</f>
        <v>0</v>
      </c>
      <c r="AD443" s="288"/>
      <c r="AE443" s="287"/>
      <c r="AF443" s="280">
        <f>+SUM(START:END!AF443)</f>
        <v>4205.8599999999997</v>
      </c>
      <c r="AG443" s="281"/>
      <c r="AH443" s="282">
        <f t="shared" si="133"/>
        <v>-1044.1400000000003</v>
      </c>
      <c r="AI443" s="283">
        <f t="shared" si="139"/>
        <v>-0.19888380952380957</v>
      </c>
      <c r="AJ443" s="288"/>
      <c r="AK443" s="279"/>
      <c r="AL443" s="280">
        <f t="shared" si="140"/>
        <v>5605.92</v>
      </c>
      <c r="AM443" s="284"/>
      <c r="AN443" s="282">
        <f t="shared" si="137"/>
        <v>-1400.0600000000004</v>
      </c>
      <c r="AO443" s="289">
        <f t="shared" si="141"/>
        <v>-0.24974669634957339</v>
      </c>
      <c r="AP443" s="246"/>
      <c r="AQ443" s="246"/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114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152</v>
      </c>
      <c r="X444" s="279"/>
      <c r="Y444" s="279"/>
      <c r="Z444" s="280">
        <f>+SUM(START:END!Z444)</f>
        <v>1536</v>
      </c>
      <c r="AA444" s="279"/>
      <c r="AB444" s="279">
        <f t="shared" si="138"/>
        <v>0</v>
      </c>
      <c r="AC444" s="280">
        <f>+SUM(START:END!AC444)</f>
        <v>0</v>
      </c>
      <c r="AD444" s="288"/>
      <c r="AE444" s="287"/>
      <c r="AF444" s="280">
        <f>+SUM(START:END!AF444)</f>
        <v>1909.22</v>
      </c>
      <c r="AG444" s="281"/>
      <c r="AH444" s="282">
        <f t="shared" si="133"/>
        <v>373.22</v>
      </c>
      <c r="AI444" s="306">
        <f t="shared" si="139"/>
        <v>0.24298177083333336</v>
      </c>
      <c r="AJ444" s="288"/>
      <c r="AK444" s="279"/>
      <c r="AL444" s="280">
        <f t="shared" si="140"/>
        <v>1551.59</v>
      </c>
      <c r="AM444" s="284"/>
      <c r="AN444" s="282">
        <f t="shared" si="137"/>
        <v>357.63000000000011</v>
      </c>
      <c r="AO444" s="289">
        <f t="shared" si="141"/>
        <v>0.23049259147068499</v>
      </c>
      <c r="AP444" s="246"/>
      <c r="AQ444" s="246"/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114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153</v>
      </c>
      <c r="X445" s="279"/>
      <c r="Y445" s="279"/>
      <c r="Z445" s="280">
        <f>+SUM(START:END!Z445)</f>
        <v>2625</v>
      </c>
      <c r="AA445" s="279"/>
      <c r="AB445" s="279">
        <f t="shared" si="138"/>
        <v>0</v>
      </c>
      <c r="AC445" s="280">
        <f>+SUM(START:END!AC445)</f>
        <v>0</v>
      </c>
      <c r="AD445" s="288"/>
      <c r="AE445" s="287"/>
      <c r="AF445" s="280">
        <f>+SUM(START:END!AF445)</f>
        <v>2422.5299999999997</v>
      </c>
      <c r="AG445" s="281"/>
      <c r="AH445" s="282">
        <f t="shared" si="133"/>
        <v>-202.47000000000025</v>
      </c>
      <c r="AI445" s="283">
        <f t="shared" si="139"/>
        <v>-7.713142857142867E-2</v>
      </c>
      <c r="AJ445" s="288"/>
      <c r="AK445" s="279"/>
      <c r="AL445" s="280">
        <f t="shared" si="140"/>
        <v>2414.9699999999998</v>
      </c>
      <c r="AM445" s="284"/>
      <c r="AN445" s="282">
        <f t="shared" si="137"/>
        <v>7.5599999999999454</v>
      </c>
      <c r="AO445" s="289">
        <f t="shared" si="141"/>
        <v>3.1304736704803565E-3</v>
      </c>
      <c r="AP445" s="246"/>
      <c r="AQ445" s="246"/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114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154</v>
      </c>
      <c r="X446" s="279"/>
      <c r="Y446" s="287"/>
      <c r="Z446" s="280">
        <f>+SUM(START:END!Z446)</f>
        <v>5574</v>
      </c>
      <c r="AA446" s="279"/>
      <c r="AB446" s="287">
        <f t="shared" si="138"/>
        <v>0</v>
      </c>
      <c r="AC446" s="280">
        <f>+SUM(START:END!AC446)</f>
        <v>0</v>
      </c>
      <c r="AD446" s="288"/>
      <c r="AE446" s="287"/>
      <c r="AF446" s="280">
        <f>+SUM(START:END!AF446)</f>
        <v>4743</v>
      </c>
      <c r="AG446" s="281"/>
      <c r="AH446" s="282">
        <f t="shared" si="133"/>
        <v>-831</v>
      </c>
      <c r="AI446" s="306">
        <f t="shared" si="139"/>
        <v>-0.14908503767491926</v>
      </c>
      <c r="AJ446" s="288"/>
      <c r="AK446" s="279"/>
      <c r="AL446" s="280">
        <f t="shared" si="140"/>
        <v>6218.74</v>
      </c>
      <c r="AM446" s="284"/>
      <c r="AN446" s="282">
        <f t="shared" si="137"/>
        <v>-1475.7399999999998</v>
      </c>
      <c r="AO446" s="289">
        <f t="shared" si="141"/>
        <v>-0.23730530621958787</v>
      </c>
      <c r="AP446" s="246"/>
      <c r="AQ446" s="246"/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114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155</v>
      </c>
      <c r="X447" s="279"/>
      <c r="Y447" s="287"/>
      <c r="Z447" s="280">
        <f>+SUM(START:END!Z447)</f>
        <v>7829.703199999999</v>
      </c>
      <c r="AA447" s="279"/>
      <c r="AB447" s="287">
        <f t="shared" si="138"/>
        <v>0</v>
      </c>
      <c r="AC447" s="280">
        <f>+SUM(START:END!AC447)</f>
        <v>0</v>
      </c>
      <c r="AD447" s="288"/>
      <c r="AE447" s="287"/>
      <c r="AF447" s="280">
        <f>+SUM(START:END!AF447)</f>
        <v>3606.1800000000003</v>
      </c>
      <c r="AG447" s="281"/>
      <c r="AH447" s="282">
        <f t="shared" si="133"/>
        <v>-4223.5231999999987</v>
      </c>
      <c r="AI447" s="283">
        <f t="shared" si="139"/>
        <v>-0.53942315463503132</v>
      </c>
      <c r="AJ447" s="288"/>
      <c r="AK447" s="279"/>
      <c r="AL447" s="280">
        <f t="shared" si="140"/>
        <v>8087.69</v>
      </c>
      <c r="AM447" s="284"/>
      <c r="AN447" s="282">
        <f t="shared" si="137"/>
        <v>-4481.5099999999993</v>
      </c>
      <c r="AO447" s="289">
        <f t="shared" si="141"/>
        <v>-0.5541149574229477</v>
      </c>
      <c r="AP447" s="246"/>
      <c r="AQ447" s="246"/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114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156</v>
      </c>
      <c r="X448" s="279"/>
      <c r="Y448" s="287"/>
      <c r="Z448" s="280">
        <f>+SUM(START:END!Z448)</f>
        <v>21988.849580614085</v>
      </c>
      <c r="AA448" s="279"/>
      <c r="AB448" s="287">
        <f t="shared" si="138"/>
        <v>0</v>
      </c>
      <c r="AC448" s="280">
        <f>+SUM(START:END!AC448)</f>
        <v>0</v>
      </c>
      <c r="AD448" s="288"/>
      <c r="AE448" s="287"/>
      <c r="AF448" s="280">
        <f>+SUM(START:END!AF448)</f>
        <v>24352.770000000004</v>
      </c>
      <c r="AG448" s="281"/>
      <c r="AH448" s="282">
        <f t="shared" si="133"/>
        <v>2363.9204193859186</v>
      </c>
      <c r="AI448" s="283">
        <f t="shared" si="139"/>
        <v>0.10750541590270414</v>
      </c>
      <c r="AJ448" s="288"/>
      <c r="AK448" s="279"/>
      <c r="AL448" s="280">
        <f>+SUM(START:END!AL448)</f>
        <v>21381.019999999997</v>
      </c>
      <c r="AM448" s="284"/>
      <c r="AN448" s="282">
        <f>AF448-AL448</f>
        <v>2971.7500000000073</v>
      </c>
      <c r="AO448" s="289">
        <f>IF(AL448=0,0,AN448/AL448)</f>
        <v>0.13899009495337489</v>
      </c>
      <c r="AP448" s="246"/>
      <c r="AQ448" s="246"/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 customHeight="1">
      <c r="A449" t="str">
        <f t="shared" si="114"/>
        <v>Mitsubishi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202</v>
      </c>
      <c r="W449" s="286"/>
      <c r="X449" s="279"/>
      <c r="Y449" s="287"/>
      <c r="Z449" s="282">
        <f>+SUM(START:END!Z449)</f>
        <v>0</v>
      </c>
      <c r="AA449" s="279"/>
      <c r="AB449" s="279">
        <f t="shared" si="138"/>
        <v>0</v>
      </c>
      <c r="AC449" s="282">
        <f>+SUM(START:END!AC449)</f>
        <v>0</v>
      </c>
      <c r="AD449" s="288"/>
      <c r="AE449" s="287"/>
      <c r="AF449" s="280">
        <f>+SUM(START:END!AF449)</f>
        <v>0</v>
      </c>
      <c r="AG449" s="281"/>
      <c r="AH449" s="282">
        <f t="shared" si="133"/>
        <v>0</v>
      </c>
      <c r="AI449" s="283">
        <f t="shared" si="139"/>
        <v>0</v>
      </c>
      <c r="AJ449" s="288"/>
      <c r="AK449" s="279"/>
      <c r="AL449" s="280">
        <f t="shared" si="140"/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 customHeight="1">
      <c r="A450" t="str">
        <f t="shared" si="114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+SUM(START:END!Z450)</f>
        <v>0</v>
      </c>
      <c r="AA450" s="279"/>
      <c r="AB450" s="279">
        <f t="shared" si="138"/>
        <v>0</v>
      </c>
      <c r="AC450" s="282">
        <f>+SUM(START:END!AC450)</f>
        <v>0</v>
      </c>
      <c r="AD450" s="288"/>
      <c r="AE450" s="287"/>
      <c r="AF450" s="280">
        <f>+SUM(START:END!AF450)</f>
        <v>0</v>
      </c>
      <c r="AG450" s="281"/>
      <c r="AH450" s="282">
        <f t="shared" si="133"/>
        <v>0</v>
      </c>
      <c r="AI450" s="283">
        <f t="shared" si="139"/>
        <v>0</v>
      </c>
      <c r="AJ450" s="288"/>
      <c r="AK450" s="279"/>
      <c r="AL450" s="280"/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 customHeight="1">
      <c r="A451" t="str">
        <f t="shared" si="114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+SUM(START:END!Z451)</f>
        <v>0</v>
      </c>
      <c r="AA451" s="279"/>
      <c r="AB451" s="279">
        <f t="shared" si="138"/>
        <v>0</v>
      </c>
      <c r="AC451" s="282">
        <f>+SUM(START:END!AC451)</f>
        <v>0</v>
      </c>
      <c r="AD451" s="288"/>
      <c r="AE451" s="287"/>
      <c r="AF451" s="280">
        <f>+SUM(START:END!AF451)</f>
        <v>0</v>
      </c>
      <c r="AG451" s="281"/>
      <c r="AH451" s="282">
        <f t="shared" si="133"/>
        <v>0</v>
      </c>
      <c r="AI451" s="283">
        <f t="shared" si="139"/>
        <v>0</v>
      </c>
      <c r="AJ451" s="288"/>
      <c r="AK451" s="279"/>
      <c r="AL451" s="280"/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114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0.13720994348688351</v>
      </c>
      <c r="Y452" s="297"/>
      <c r="Z452" s="299">
        <f>+SUM(Z434:Z451)</f>
        <v>212607.8249389095</v>
      </c>
      <c r="AA452" s="298" t="e">
        <f>AC452/+AC407</f>
        <v>#DIV/0!</v>
      </c>
      <c r="AB452" s="297"/>
      <c r="AC452" s="299">
        <f>+SUM(START:END!AC451)</f>
        <v>0</v>
      </c>
      <c r="AD452" s="300">
        <f>AF452/AF407</f>
        <v>0.165929648925627</v>
      </c>
      <c r="AE452" s="297"/>
      <c r="AF452" s="299">
        <f>+SUM(AF434:AF451)</f>
        <v>227331.27999999997</v>
      </c>
      <c r="AG452" s="308"/>
      <c r="AH452" s="302">
        <f>+SUM(AH434:AH451)</f>
        <v>14723.455061090477</v>
      </c>
      <c r="AI452" s="298">
        <f>AH452/Z452</f>
        <v>6.9251708234732645E-2</v>
      </c>
      <c r="AJ452" s="300">
        <f>IF($AL$407=0,0,AL452/$AL$407)</f>
        <v>0.14871059535860096</v>
      </c>
      <c r="AK452" s="298"/>
      <c r="AL452" s="299">
        <f>+SUM(AL434:AL451)</f>
        <v>223818.04</v>
      </c>
      <c r="AM452" s="309"/>
      <c r="AN452" s="302">
        <f>+SUM(AN434:AN451)</f>
        <v>3513.2400000000152</v>
      </c>
      <c r="AO452" s="331">
        <f>IF(AL452=0,0,AN452/AL452)</f>
        <v>1.569685803700191E-2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114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f>+SUM(START:END!Z453)</f>
        <v>150000</v>
      </c>
      <c r="AA453" s="279"/>
      <c r="AB453" s="287">
        <f t="shared" ref="AB453:AB462" si="142">IF(AC453=0,0,AC453/(G$13+G$97))</f>
        <v>0</v>
      </c>
      <c r="AC453" s="280">
        <f>+SUM(START:END!AC453)</f>
        <v>0</v>
      </c>
      <c r="AD453" s="288"/>
      <c r="AE453" s="287"/>
      <c r="AF453" s="280">
        <f>+SUM(START:END!AF453)</f>
        <v>150000</v>
      </c>
      <c r="AG453" s="281"/>
      <c r="AH453" s="282">
        <f t="shared" ref="AH453:AH461" si="143">AF453-Z453</f>
        <v>0</v>
      </c>
      <c r="AI453" s="283">
        <f t="shared" ref="AI453:AI461" si="144">IF(Z453=0,0,AH453/Z453)</f>
        <v>0</v>
      </c>
      <c r="AJ453" s="288"/>
      <c r="AK453" s="279"/>
      <c r="AL453" s="280">
        <f>+SUM(START:END!AL453)</f>
        <v>150000</v>
      </c>
      <c r="AM453" s="284"/>
      <c r="AN453" s="282">
        <f>AF453-AL453</f>
        <v>0</v>
      </c>
      <c r="AO453" s="289">
        <f t="shared" ref="AO453:AO461" si="145">IF(AL453=0,0,AN453/AL453)</f>
        <v>0</v>
      </c>
      <c r="AP453" s="246"/>
      <c r="AQ453" s="502"/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114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f>+SUM(START:END!Z454)</f>
        <v>17616.420000000002</v>
      </c>
      <c r="AA454" s="279"/>
      <c r="AB454" s="287">
        <f t="shared" si="142"/>
        <v>0</v>
      </c>
      <c r="AC454" s="280">
        <f>+SUM(START:END!AC454)</f>
        <v>0</v>
      </c>
      <c r="AD454" s="288"/>
      <c r="AE454" s="287"/>
      <c r="AF454" s="280">
        <f>+SUM(START:END!AF454)</f>
        <v>17616.420000000002</v>
      </c>
      <c r="AG454" s="281"/>
      <c r="AH454" s="282">
        <f t="shared" si="143"/>
        <v>0</v>
      </c>
      <c r="AI454" s="283">
        <f t="shared" si="144"/>
        <v>0</v>
      </c>
      <c r="AJ454" s="288"/>
      <c r="AK454" s="279"/>
      <c r="AL454" s="280">
        <f>+SUM(START:END!AL454)</f>
        <v>16647.97</v>
      </c>
      <c r="AM454" s="284"/>
      <c r="AN454" s="282">
        <f t="shared" ref="AN454:AN461" si="146">AF454-AL454</f>
        <v>968.45000000000073</v>
      </c>
      <c r="AO454" s="289">
        <f t="shared" si="145"/>
        <v>5.8172257638619045E-2</v>
      </c>
      <c r="AP454" s="246"/>
      <c r="AQ454" s="502"/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114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f>+SUM(START:END!Z455)</f>
        <v>7549.89</v>
      </c>
      <c r="AA455" s="263"/>
      <c r="AB455" s="291">
        <f t="shared" si="142"/>
        <v>0</v>
      </c>
      <c r="AC455" s="264">
        <f>+SUM(START:END!AC455)</f>
        <v>0</v>
      </c>
      <c r="AD455" s="292"/>
      <c r="AE455" s="291"/>
      <c r="AF455" s="264">
        <f>+SUM(START:END!AF455)</f>
        <v>7549.89</v>
      </c>
      <c r="AG455" s="265"/>
      <c r="AH455" s="266">
        <f t="shared" si="143"/>
        <v>0</v>
      </c>
      <c r="AI455" s="293">
        <f t="shared" si="144"/>
        <v>0</v>
      </c>
      <c r="AJ455" s="292"/>
      <c r="AK455" s="263"/>
      <c r="AL455" s="264">
        <f>+SUM(START:END!AL455)</f>
        <v>7134.85</v>
      </c>
      <c r="AM455" s="268"/>
      <c r="AN455" s="266">
        <f t="shared" si="146"/>
        <v>415.03999999999996</v>
      </c>
      <c r="AO455" s="269">
        <f t="shared" si="145"/>
        <v>5.8170809477424187E-2</v>
      </c>
      <c r="AP455" s="246"/>
      <c r="AQ455" s="502"/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114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f>+SUM(START:END!Z456)</f>
        <v>0</v>
      </c>
      <c r="AA456" s="279"/>
      <c r="AB456" s="287">
        <f t="shared" si="142"/>
        <v>0</v>
      </c>
      <c r="AC456" s="280">
        <f>+SUM(START:END!AC456)</f>
        <v>0</v>
      </c>
      <c r="AD456" s="288"/>
      <c r="AE456" s="287"/>
      <c r="AF456" s="280">
        <f>+SUM(START:END!AF456)</f>
        <v>0</v>
      </c>
      <c r="AG456" s="281"/>
      <c r="AH456" s="282">
        <f t="shared" si="143"/>
        <v>0</v>
      </c>
      <c r="AI456" s="283">
        <f t="shared" si="144"/>
        <v>0</v>
      </c>
      <c r="AJ456" s="288"/>
      <c r="AK456" s="279"/>
      <c r="AL456" s="280">
        <f>+SUM(START:END!AL456)</f>
        <v>0</v>
      </c>
      <c r="AM456" s="284"/>
      <c r="AN456" s="282">
        <f t="shared" si="146"/>
        <v>0</v>
      </c>
      <c r="AO456" s="289">
        <f t="shared" si="145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114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f>+SUM(START:END!Z457)</f>
        <v>13049.25</v>
      </c>
      <c r="AA457" s="263"/>
      <c r="AB457" s="291">
        <f t="shared" si="142"/>
        <v>0</v>
      </c>
      <c r="AC457" s="264">
        <f>+SUM(START:END!AC457)</f>
        <v>0</v>
      </c>
      <c r="AD457" s="292"/>
      <c r="AE457" s="291"/>
      <c r="AF457" s="264">
        <f>+SUM(START:END!AF457)</f>
        <v>13049.25</v>
      </c>
      <c r="AG457" s="265"/>
      <c r="AH457" s="266">
        <f t="shared" si="143"/>
        <v>0</v>
      </c>
      <c r="AI457" s="293">
        <f t="shared" si="144"/>
        <v>0</v>
      </c>
      <c r="AJ457" s="292"/>
      <c r="AK457" s="263"/>
      <c r="AL457" s="264">
        <f>+SUM(START:END!AL457)</f>
        <v>14316</v>
      </c>
      <c r="AM457" s="268"/>
      <c r="AN457" s="266">
        <f t="shared" si="146"/>
        <v>-1266.75</v>
      </c>
      <c r="AO457" s="269">
        <f t="shared" si="145"/>
        <v>-8.8484911986588435E-2</v>
      </c>
      <c r="AP457" s="246"/>
      <c r="AQ457" s="502"/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114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f>+SUM(START:END!Z458)</f>
        <v>13800</v>
      </c>
      <c r="AA458" s="332"/>
      <c r="AB458" s="333">
        <f t="shared" si="142"/>
        <v>0</v>
      </c>
      <c r="AC458" s="280">
        <f>+SUM(START:END!AC458)</f>
        <v>0</v>
      </c>
      <c r="AD458" s="288"/>
      <c r="AE458" s="287"/>
      <c r="AF458" s="280">
        <f>+SUM(START:END!AF458)</f>
        <v>14738.16</v>
      </c>
      <c r="AG458" s="281"/>
      <c r="AH458" s="282">
        <f t="shared" si="143"/>
        <v>938.15999999999985</v>
      </c>
      <c r="AI458" s="283">
        <f t="shared" si="144"/>
        <v>6.7982608695652161E-2</v>
      </c>
      <c r="AJ458" s="288"/>
      <c r="AK458" s="279"/>
      <c r="AL458" s="280">
        <f>+SUM(START:END!AL458)</f>
        <v>13133.64</v>
      </c>
      <c r="AM458" s="284"/>
      <c r="AN458" s="282">
        <f t="shared" si="146"/>
        <v>1604.5200000000004</v>
      </c>
      <c r="AO458" s="289">
        <f t="shared" si="145"/>
        <v>0.12216872093341986</v>
      </c>
      <c r="AP458" s="246"/>
      <c r="AQ458" s="246"/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114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169</v>
      </c>
      <c r="X459" s="279"/>
      <c r="Y459" s="287"/>
      <c r="Z459" s="280">
        <f>+SUM(START:END!Z459)</f>
        <v>19929</v>
      </c>
      <c r="AA459" s="279"/>
      <c r="AB459" s="287">
        <f t="shared" si="142"/>
        <v>0</v>
      </c>
      <c r="AC459" s="280">
        <f>+SUM(START:END!AC459)</f>
        <v>0</v>
      </c>
      <c r="AD459" s="288"/>
      <c r="AE459" s="287"/>
      <c r="AF459" s="280">
        <f>+SUM(START:END!AF459)</f>
        <v>18921.990000000002</v>
      </c>
      <c r="AG459" s="281"/>
      <c r="AH459" s="282">
        <f t="shared" si="143"/>
        <v>-1007.0099999999984</v>
      </c>
      <c r="AI459" s="283">
        <f t="shared" si="144"/>
        <v>-5.0529881077826203E-2</v>
      </c>
      <c r="AJ459" s="288"/>
      <c r="AK459" s="279"/>
      <c r="AL459" s="280">
        <f>+SUM(START:END!AL459)</f>
        <v>19270.829999999987</v>
      </c>
      <c r="AM459" s="284"/>
      <c r="AN459" s="282">
        <f t="shared" si="146"/>
        <v>-348.83999999998559</v>
      </c>
      <c r="AO459" s="289">
        <f t="shared" si="145"/>
        <v>-1.8101970698718519E-2</v>
      </c>
      <c r="AP459" s="246"/>
      <c r="AQ459" s="502"/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114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171</v>
      </c>
      <c r="X460" s="263"/>
      <c r="Y460" s="291"/>
      <c r="Z460" s="264">
        <f>+SUM(START:END!Z460)</f>
        <v>1500</v>
      </c>
      <c r="AA460" s="263"/>
      <c r="AB460" s="291">
        <f t="shared" si="142"/>
        <v>0</v>
      </c>
      <c r="AC460" s="264">
        <f>+SUM(START:END!AC460)</f>
        <v>0</v>
      </c>
      <c r="AD460" s="292"/>
      <c r="AE460" s="291"/>
      <c r="AF460" s="264">
        <f>+SUM(START:END!AF460)</f>
        <v>1217.06</v>
      </c>
      <c r="AG460" s="265"/>
      <c r="AH460" s="266">
        <f t="shared" si="143"/>
        <v>-282.94000000000005</v>
      </c>
      <c r="AI460" s="293">
        <f t="shared" si="144"/>
        <v>-0.18862666666666669</v>
      </c>
      <c r="AJ460" s="292"/>
      <c r="AK460" s="263"/>
      <c r="AL460" s="264">
        <f>+SUM(START:END!AL460)</f>
        <v>2000</v>
      </c>
      <c r="AM460" s="268"/>
      <c r="AN460" s="266">
        <f t="shared" si="146"/>
        <v>-782.94</v>
      </c>
      <c r="AO460" s="269">
        <f t="shared" si="145"/>
        <v>-0.39147000000000004</v>
      </c>
      <c r="AP460" s="246"/>
      <c r="AQ460" s="246"/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114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f>+SUM(START:END!Z461)</f>
        <v>825</v>
      </c>
      <c r="AA461" s="279"/>
      <c r="AB461" s="287">
        <f t="shared" si="142"/>
        <v>0</v>
      </c>
      <c r="AC461" s="280">
        <f>+SUM(START:END!AC461)</f>
        <v>0</v>
      </c>
      <c r="AD461" s="288"/>
      <c r="AE461" s="287"/>
      <c r="AF461" s="280">
        <f>+SUM(START:END!AF461)</f>
        <v>521.88</v>
      </c>
      <c r="AG461" s="281"/>
      <c r="AH461" s="282">
        <f t="shared" si="143"/>
        <v>-303.12</v>
      </c>
      <c r="AI461" s="335">
        <f t="shared" si="144"/>
        <v>-0.36741818181818181</v>
      </c>
      <c r="AJ461" s="279"/>
      <c r="AK461" s="279"/>
      <c r="AL461" s="280">
        <f>+SUM(START:END!AL461)</f>
        <v>767.88</v>
      </c>
      <c r="AM461" s="284"/>
      <c r="AN461" s="282">
        <f t="shared" si="146"/>
        <v>-246</v>
      </c>
      <c r="AO461" s="289">
        <f t="shared" si="145"/>
        <v>-0.32036255664947649</v>
      </c>
      <c r="AP461" s="246"/>
      <c r="AQ461" s="246"/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114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f>+SUM(START:END!Z462)</f>
        <v>0</v>
      </c>
      <c r="AA462" s="279"/>
      <c r="AB462" s="287">
        <f t="shared" si="142"/>
        <v>0</v>
      </c>
      <c r="AC462" s="280">
        <f>+SUM(START:END!AC462)</f>
        <v>0</v>
      </c>
      <c r="AD462" s="288"/>
      <c r="AE462" s="287"/>
      <c r="AF462" s="280">
        <f>+SUM(START:END!AF462)</f>
        <v>0</v>
      </c>
      <c r="AG462" s="281"/>
      <c r="AH462" s="282">
        <v>0</v>
      </c>
      <c r="AI462" s="306">
        <v>0</v>
      </c>
      <c r="AJ462" s="279"/>
      <c r="AK462" s="279"/>
      <c r="AL462" s="280">
        <f>+SUM(START:END!AL462)</f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 customHeight="1">
      <c r="A463" t="str">
        <f t="shared" si="114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+SUM(START:END!Z462)</f>
        <v>0</v>
      </c>
      <c r="AA463" s="279"/>
      <c r="AB463" s="279"/>
      <c r="AC463" s="282">
        <f>+SUM(START:END!AC462)</f>
        <v>0</v>
      </c>
      <c r="AD463" s="288"/>
      <c r="AE463" s="287"/>
      <c r="AF463" s="280">
        <f>+SUM(START:END!AF462)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+SUM(START:END!AL463)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 customHeight="1">
      <c r="A464" t="str">
        <f t="shared" si="114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+SUM(START:END!Z463)</f>
        <v>0</v>
      </c>
      <c r="AA464" s="279"/>
      <c r="AB464" s="279"/>
      <c r="AC464" s="282">
        <f>+SUM(START:END!AC463)</f>
        <v>0</v>
      </c>
      <c r="AD464" s="288"/>
      <c r="AE464" s="287"/>
      <c r="AF464" s="280">
        <f>+SUM(START:END!AF463)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+SUM(START:END!AL464)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 customHeight="1">
      <c r="A465" t="str">
        <f t="shared" si="114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+SUM(START:END!Z464)</f>
        <v>0</v>
      </c>
      <c r="AA465" s="279"/>
      <c r="AB465" s="279"/>
      <c r="AC465" s="282">
        <f>+SUM(START:END!AC464)</f>
        <v>0</v>
      </c>
      <c r="AD465" s="288"/>
      <c r="AE465" s="287"/>
      <c r="AF465" s="280">
        <f>+SUM(START:END!AF464)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+SUM(START:END!AL465)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114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0.1447360352906589</v>
      </c>
      <c r="Y466" s="297"/>
      <c r="Z466" s="299">
        <f>SUM(Z453:Z465)</f>
        <v>224269.56000000003</v>
      </c>
      <c r="AA466" s="298" t="e">
        <f>AC466/+AC407</f>
        <v>#DIV/0!</v>
      </c>
      <c r="AB466" s="297"/>
      <c r="AC466" s="299">
        <f>SUM(AC453:AC465)</f>
        <v>0</v>
      </c>
      <c r="AD466" s="300">
        <f>AF466/AF407</f>
        <v>0.16321687173505983</v>
      </c>
      <c r="AE466" s="297"/>
      <c r="AF466" s="299">
        <f>SUM(AF453:AF465)</f>
        <v>223614.65000000002</v>
      </c>
      <c r="AG466" s="308"/>
      <c r="AH466" s="302">
        <f>SUM(AH453:AH465)</f>
        <v>-654.9099999999986</v>
      </c>
      <c r="AI466" s="298">
        <f>IF(Z466=0,0,AH466/Z466)</f>
        <v>-2.920191219887347E-3</v>
      </c>
      <c r="AJ466" s="300">
        <f>IF($AL$407=0,0,AL466/$AL$407)</f>
        <v>0.148347240540179</v>
      </c>
      <c r="AK466" s="298"/>
      <c r="AL466" s="299">
        <f>SUM(AL453:AL465)</f>
        <v>223271.17</v>
      </c>
      <c r="AM466" s="309"/>
      <c r="AN466" s="302">
        <f>SUM(AN453:AN465)</f>
        <v>343.48000000001548</v>
      </c>
      <c r="AO466" s="331">
        <f t="shared" ref="AO466:AO483" si="147">IF(AL466=0,0,AN466/AL466)</f>
        <v>1.5383983521025822E-3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114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48">AF467-Z467</f>
        <v>0</v>
      </c>
      <c r="AI467" s="283"/>
      <c r="AJ467" s="288"/>
      <c r="AK467" s="279"/>
      <c r="AL467" s="336"/>
      <c r="AM467" s="337"/>
      <c r="AN467" s="282">
        <f t="shared" ref="AN467:AN483" si="149">AF467-AL467</f>
        <v>0</v>
      </c>
      <c r="AO467" s="338">
        <f t="shared" si="147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114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0.89203933160664661</v>
      </c>
      <c r="Y468" s="297"/>
      <c r="Z468" s="299">
        <f>Z419+Z433+Z452+Z466</f>
        <v>1382221.5594089043</v>
      </c>
      <c r="AA468" s="298" t="e">
        <f>AC468/+AC407</f>
        <v>#DIV/0!</v>
      </c>
      <c r="AB468" s="297"/>
      <c r="AC468" s="299">
        <f>AC419+AC433+AC452+AC466</f>
        <v>0</v>
      </c>
      <c r="AD468" s="300">
        <f>AF468/AF407</f>
        <v>1.0261131418658682</v>
      </c>
      <c r="AE468" s="297"/>
      <c r="AF468" s="299">
        <f>AF419+AF433+AF452+AF466</f>
        <v>1405822.38</v>
      </c>
      <c r="AG468" s="308"/>
      <c r="AH468" s="302">
        <f t="shared" si="148"/>
        <v>23600.820591095602</v>
      </c>
      <c r="AI468" s="298">
        <f>AH468/Z468</f>
        <v>1.7074556846869253E-2</v>
      </c>
      <c r="AJ468" s="300">
        <f>IF($AL$407=0,0,AL468/$AL$407)</f>
        <v>0.85300372419586679</v>
      </c>
      <c r="AK468" s="298"/>
      <c r="AL468" s="299">
        <f>AL419+AL433+AL452+AL466</f>
        <v>1283819.8999999997</v>
      </c>
      <c r="AM468" s="309"/>
      <c r="AN468" s="302">
        <f t="shared" si="149"/>
        <v>122002.48000000021</v>
      </c>
      <c r="AO468" s="277">
        <f t="shared" si="147"/>
        <v>9.5030837269308763E-2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114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f>+SUM(START:END!Z469)</f>
        <v>2700</v>
      </c>
      <c r="AA469" s="339"/>
      <c r="AB469" s="340">
        <f t="shared" ref="AB469:AB477" si="150">IF(AC469=0,0,AC469/(G$13+G$97))</f>
        <v>0</v>
      </c>
      <c r="AC469" s="313">
        <f>+SUM(START:END!AC469)</f>
        <v>0</v>
      </c>
      <c r="AD469" s="341"/>
      <c r="AE469" s="340"/>
      <c r="AF469" s="280">
        <f>+SUM(START:END!AF469)</f>
        <v>5705.1299999999992</v>
      </c>
      <c r="AG469" s="342"/>
      <c r="AH469" s="282">
        <f t="shared" si="148"/>
        <v>3005.1299999999992</v>
      </c>
      <c r="AI469" s="335">
        <f>IF(AH469=0,0,AH469/Z469)</f>
        <v>1.1130111111111107</v>
      </c>
      <c r="AJ469" s="341"/>
      <c r="AK469" s="339"/>
      <c r="AL469" s="343">
        <f>+SUM(START:END!AL469)</f>
        <v>6415.5499999999993</v>
      </c>
      <c r="AM469" s="344"/>
      <c r="AN469" s="282">
        <f t="shared" si="149"/>
        <v>-710.42000000000007</v>
      </c>
      <c r="AO469" s="289">
        <f t="shared" si="147"/>
        <v>-0.11073407580020421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114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+SUM(START:END!Z470)</f>
        <v>141444.28923076927</v>
      </c>
      <c r="AA470" s="332"/>
      <c r="AB470" s="333">
        <f t="shared" si="150"/>
        <v>0</v>
      </c>
      <c r="AC470" s="280">
        <f>+SUM(START:END!AC470)</f>
        <v>0</v>
      </c>
      <c r="AD470" s="345"/>
      <c r="AE470" s="333"/>
      <c r="AF470" s="280">
        <f>+SUM(START:END!AF470)</f>
        <v>142495.09999999998</v>
      </c>
      <c r="AG470" s="346"/>
      <c r="AH470" s="282">
        <f t="shared" si="148"/>
        <v>1050.8107692307094</v>
      </c>
      <c r="AI470" s="306">
        <f>IF(Z470=0,0,AH470/Z470)</f>
        <v>7.4291494902016869E-3</v>
      </c>
      <c r="AJ470" s="345"/>
      <c r="AK470" s="332"/>
      <c r="AL470" s="347">
        <f>+SUM(START:END!AL470)</f>
        <v>138060.6</v>
      </c>
      <c r="AM470" s="348"/>
      <c r="AN470" s="282">
        <f t="shared" si="149"/>
        <v>4434.4999999999709</v>
      </c>
      <c r="AO470" s="289">
        <f t="shared" si="147"/>
        <v>3.2119953122034604E-2</v>
      </c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114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218</v>
      </c>
      <c r="W471" s="279"/>
      <c r="X471" s="279"/>
      <c r="Y471" s="279"/>
      <c r="Z471" s="280">
        <f>+SUM(START:END!Z471)</f>
        <v>123763.75307692314</v>
      </c>
      <c r="AA471" s="332"/>
      <c r="AB471" s="333">
        <f t="shared" si="150"/>
        <v>0</v>
      </c>
      <c r="AC471" s="280">
        <f>+SUM(START:END!AC471)</f>
        <v>0</v>
      </c>
      <c r="AD471" s="345"/>
      <c r="AE471" s="333"/>
      <c r="AF471" s="280">
        <f>+SUM(START:END!AF471)</f>
        <v>141600.53999999998</v>
      </c>
      <c r="AG471" s="346"/>
      <c r="AH471" s="282">
        <f t="shared" si="148"/>
        <v>17836.786923076841</v>
      </c>
      <c r="AI471" s="306">
        <f t="shared" ref="AI471:AI480" si="151">IF(AH471=0,0,AH471/Z471)</f>
        <v>0.14411963502747616</v>
      </c>
      <c r="AJ471" s="345"/>
      <c r="AK471" s="332"/>
      <c r="AL471" s="347">
        <f>+SUM(START:END!AL471)</f>
        <v>111517.06999999999</v>
      </c>
      <c r="AM471" s="348"/>
      <c r="AN471" s="282">
        <f t="shared" si="149"/>
        <v>30083.469999999987</v>
      </c>
      <c r="AO471" s="289">
        <f t="shared" si="147"/>
        <v>0.26976560628789825</v>
      </c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 customHeight="1">
      <c r="A472" t="str">
        <f t="shared" si="114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+SUM(START:END!Z472)</f>
        <v>0</v>
      </c>
      <c r="AA472" s="332"/>
      <c r="AB472" s="333">
        <f t="shared" si="150"/>
        <v>0</v>
      </c>
      <c r="AC472" s="280">
        <f>+SUM(START:END!AC472)</f>
        <v>0</v>
      </c>
      <c r="AD472" s="345"/>
      <c r="AE472" s="333"/>
      <c r="AF472" s="280">
        <f>+SUM(START:END!AF472)</f>
        <v>0</v>
      </c>
      <c r="AG472" s="346"/>
      <c r="AH472" s="282">
        <f t="shared" si="148"/>
        <v>0</v>
      </c>
      <c r="AI472" s="306">
        <f t="shared" si="151"/>
        <v>0</v>
      </c>
      <c r="AJ472" s="345"/>
      <c r="AK472" s="332"/>
      <c r="AL472" s="347">
        <f>+SUM(START:END!AL472)</f>
        <v>0</v>
      </c>
      <c r="AM472" s="348"/>
      <c r="AN472" s="282">
        <f t="shared" si="149"/>
        <v>0</v>
      </c>
      <c r="AO472" s="289">
        <f t="shared" si="147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 customHeight="1">
      <c r="A473" t="str">
        <f t="shared" si="114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+SUM(START:END!Z473)</f>
        <v>0</v>
      </c>
      <c r="AA473" s="332"/>
      <c r="AB473" s="333">
        <f t="shared" si="150"/>
        <v>0</v>
      </c>
      <c r="AC473" s="280">
        <f>+SUM(START:END!AC473)</f>
        <v>0</v>
      </c>
      <c r="AD473" s="345"/>
      <c r="AE473" s="333"/>
      <c r="AF473" s="280">
        <f>+SUM(START:END!AF473)</f>
        <v>0</v>
      </c>
      <c r="AG473" s="346"/>
      <c r="AH473" s="282">
        <f t="shared" si="148"/>
        <v>0</v>
      </c>
      <c r="AI473" s="306">
        <f t="shared" si="151"/>
        <v>0</v>
      </c>
      <c r="AJ473" s="345"/>
      <c r="AK473" s="332"/>
      <c r="AL473" s="347">
        <f>+SUM(START:END!AL473)</f>
        <v>0</v>
      </c>
      <c r="AM473" s="348"/>
      <c r="AN473" s="282">
        <f t="shared" si="149"/>
        <v>0</v>
      </c>
      <c r="AO473" s="289">
        <f t="shared" si="147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114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222</v>
      </c>
      <c r="W474" s="279"/>
      <c r="X474" s="279"/>
      <c r="Y474" s="279"/>
      <c r="Z474" s="280">
        <f>+SUM(START:END!Z474)</f>
        <v>8250</v>
      </c>
      <c r="AA474" s="332"/>
      <c r="AB474" s="333">
        <f t="shared" si="150"/>
        <v>0</v>
      </c>
      <c r="AC474" s="280">
        <f>+SUM(START:END!AC474)</f>
        <v>0</v>
      </c>
      <c r="AD474" s="345"/>
      <c r="AE474" s="333"/>
      <c r="AF474" s="280">
        <f>+SUM(START:END!AF474)</f>
        <v>8250</v>
      </c>
      <c r="AG474" s="346"/>
      <c r="AH474" s="282">
        <f t="shared" si="148"/>
        <v>0</v>
      </c>
      <c r="AI474" s="306">
        <f t="shared" si="151"/>
        <v>0</v>
      </c>
      <c r="AJ474" s="345"/>
      <c r="AK474" s="332"/>
      <c r="AL474" s="347">
        <f>+SUM(START:END!AL474)</f>
        <v>6375</v>
      </c>
      <c r="AM474" s="348"/>
      <c r="AN474" s="282">
        <f t="shared" si="149"/>
        <v>1875</v>
      </c>
      <c r="AO474" s="289">
        <f t="shared" si="147"/>
        <v>0.29411764705882354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114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223</v>
      </c>
      <c r="W475" s="279"/>
      <c r="X475" s="279"/>
      <c r="Y475" s="279"/>
      <c r="Z475" s="280">
        <f>+SUM(START:END!Z475)</f>
        <v>5726.4705882352946</v>
      </c>
      <c r="AA475" s="332"/>
      <c r="AB475" s="333">
        <f t="shared" si="150"/>
        <v>0</v>
      </c>
      <c r="AC475" s="280">
        <f>+SUM(START:END!AC475)</f>
        <v>0</v>
      </c>
      <c r="AD475" s="345"/>
      <c r="AE475" s="333"/>
      <c r="AF475" s="280">
        <f>+SUM(START:END!AF475)</f>
        <v>0</v>
      </c>
      <c r="AG475" s="346"/>
      <c r="AH475" s="282">
        <f t="shared" si="148"/>
        <v>-5726.4705882352946</v>
      </c>
      <c r="AI475" s="306">
        <f t="shared" si="151"/>
        <v>-1</v>
      </c>
      <c r="AJ475" s="345"/>
      <c r="AK475" s="332"/>
      <c r="AL475" s="347">
        <f>+SUM(START:END!AL475)</f>
        <v>4750</v>
      </c>
      <c r="AM475" s="348"/>
      <c r="AN475" s="282">
        <f t="shared" si="149"/>
        <v>-4750</v>
      </c>
      <c r="AO475" s="289">
        <f t="shared" si="147"/>
        <v>-1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 customHeight="1">
      <c r="A476" t="str">
        <f t="shared" si="114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+SUM(START:END!Z476)</f>
        <v>0</v>
      </c>
      <c r="AA476" s="332"/>
      <c r="AB476" s="333">
        <f t="shared" si="150"/>
        <v>0</v>
      </c>
      <c r="AC476" s="280">
        <f>+SUM(START:END!AC476)</f>
        <v>0</v>
      </c>
      <c r="AD476" s="345"/>
      <c r="AE476" s="333"/>
      <c r="AF476" s="280">
        <f>+SUM(START:END!AF476)</f>
        <v>0</v>
      </c>
      <c r="AG476" s="346"/>
      <c r="AH476" s="282">
        <f t="shared" si="148"/>
        <v>0</v>
      </c>
      <c r="AI476" s="306">
        <f t="shared" si="151"/>
        <v>0</v>
      </c>
      <c r="AJ476" s="345"/>
      <c r="AK476" s="332"/>
      <c r="AL476" s="347">
        <f>+SUM(START:END!AL476)</f>
        <v>0</v>
      </c>
      <c r="AM476" s="348"/>
      <c r="AN476" s="282">
        <f t="shared" si="149"/>
        <v>0</v>
      </c>
      <c r="AO476" s="289">
        <f t="shared" si="147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114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f>+SUM(START:END!Z477)</f>
        <v>74258.251846153871</v>
      </c>
      <c r="AA477" s="332"/>
      <c r="AB477" s="333">
        <f t="shared" si="150"/>
        <v>0</v>
      </c>
      <c r="AC477" s="280">
        <f>+SUM(START:END!AC477)</f>
        <v>0</v>
      </c>
      <c r="AD477" s="345"/>
      <c r="AE477" s="333"/>
      <c r="AF477" s="280">
        <f>+SUM(START:END!AF477)</f>
        <v>69906.489999999991</v>
      </c>
      <c r="AG477" s="346"/>
      <c r="AH477" s="282">
        <f t="shared" si="148"/>
        <v>-4351.7618461538805</v>
      </c>
      <c r="AI477" s="306">
        <f t="shared" si="151"/>
        <v>-5.8603074243785545E-2</v>
      </c>
      <c r="AJ477" s="345"/>
      <c r="AK477" s="332"/>
      <c r="AL477" s="347">
        <f>+SUM(START:END!AL477)</f>
        <v>73367.539999999994</v>
      </c>
      <c r="AM477" s="348"/>
      <c r="AN477" s="282">
        <f t="shared" si="149"/>
        <v>-3461.0500000000029</v>
      </c>
      <c r="AO477" s="289">
        <f t="shared" si="147"/>
        <v>-4.7174131775441878E-2</v>
      </c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 customHeight="1">
      <c r="A478" t="str">
        <f t="shared" si="114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+SUM(START:END!Z478)</f>
        <v>0</v>
      </c>
      <c r="AA478" s="279"/>
      <c r="AB478" s="279">
        <f t="shared" ref="AB478:AB480" si="152">IF(AC478=0,0,AC478/(G$13+G$97))</f>
        <v>0</v>
      </c>
      <c r="AC478" s="282">
        <f>+SUM(START:END!AC478)</f>
        <v>0</v>
      </c>
      <c r="AD478" s="288"/>
      <c r="AE478" s="287"/>
      <c r="AF478" s="280">
        <f>+SUM(START:END!AF478)</f>
        <v>0</v>
      </c>
      <c r="AG478" s="281"/>
      <c r="AH478" s="282">
        <f t="shared" si="148"/>
        <v>0</v>
      </c>
      <c r="AI478" s="283">
        <f t="shared" si="151"/>
        <v>0</v>
      </c>
      <c r="AJ478" s="288"/>
      <c r="AK478" s="279"/>
      <c r="AL478" s="280">
        <f>+SUM(START:END!AL478)</f>
        <v>0</v>
      </c>
      <c r="AM478" s="348"/>
      <c r="AN478" s="282">
        <f t="shared" si="149"/>
        <v>0</v>
      </c>
      <c r="AO478" s="289">
        <f t="shared" si="147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 customHeight="1">
      <c r="A479" t="str">
        <f t="shared" si="114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+SUM(START:END!Z479)</f>
        <v>0</v>
      </c>
      <c r="AA479" s="279"/>
      <c r="AB479" s="279">
        <f t="shared" si="152"/>
        <v>0</v>
      </c>
      <c r="AC479" s="282">
        <f>+SUM(START:END!AC479)</f>
        <v>0</v>
      </c>
      <c r="AD479" s="288"/>
      <c r="AE479" s="287"/>
      <c r="AF479" s="280">
        <f>+SUM(START:END!AF479)</f>
        <v>0</v>
      </c>
      <c r="AG479" s="281"/>
      <c r="AH479" s="282">
        <f t="shared" si="148"/>
        <v>0</v>
      </c>
      <c r="AI479" s="283">
        <f t="shared" si="151"/>
        <v>0</v>
      </c>
      <c r="AJ479" s="288"/>
      <c r="AK479" s="279"/>
      <c r="AL479" s="280">
        <f>+SUM(START:END!AL479)</f>
        <v>0</v>
      </c>
      <c r="AM479" s="348"/>
      <c r="AN479" s="282">
        <f t="shared" si="149"/>
        <v>0</v>
      </c>
      <c r="AO479" s="289">
        <f t="shared" si="147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114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+SUM(START:END!Z480)</f>
        <v>82270.649999999994</v>
      </c>
      <c r="AA480" s="332"/>
      <c r="AB480" s="333">
        <f t="shared" si="152"/>
        <v>0</v>
      </c>
      <c r="AC480" s="280">
        <f>+SUM(START:END!AC480)</f>
        <v>0</v>
      </c>
      <c r="AD480" s="345"/>
      <c r="AE480" s="333"/>
      <c r="AF480" s="280">
        <f>+SUM(START:END!AF480)</f>
        <v>85680</v>
      </c>
      <c r="AG480" s="346"/>
      <c r="AH480" s="282">
        <f t="shared" si="148"/>
        <v>3409.3500000000058</v>
      </c>
      <c r="AI480" s="306">
        <f t="shared" si="151"/>
        <v>4.1440659579084473E-2</v>
      </c>
      <c r="AJ480" s="345"/>
      <c r="AK480" s="332"/>
      <c r="AL480" s="347">
        <f>+SUM(START:END!AL480)</f>
        <v>74875</v>
      </c>
      <c r="AM480" s="348"/>
      <c r="AN480" s="282">
        <f t="shared" si="149"/>
        <v>10805</v>
      </c>
      <c r="AO480" s="289">
        <f t="shared" si="147"/>
        <v>0.14430717863105175</v>
      </c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114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0.28293728077946995</v>
      </c>
      <c r="Y481" s="330"/>
      <c r="Z481" s="299">
        <f>SUM(Z469:Z480)</f>
        <v>438413.41474208154</v>
      </c>
      <c r="AA481" s="298" t="e">
        <f>AC481/+AC407</f>
        <v>#DIV/0!</v>
      </c>
      <c r="AB481" s="330"/>
      <c r="AC481" s="299">
        <f>SUM(AC469:AC480)</f>
        <v>0</v>
      </c>
      <c r="AD481" s="298">
        <f>AF481/+AF407</f>
        <v>0.3311109289112496</v>
      </c>
      <c r="AE481" s="330"/>
      <c r="AF481" s="299">
        <f>SUM(AF469:AF480)</f>
        <v>453637.25999999995</v>
      </c>
      <c r="AG481" s="308"/>
      <c r="AH481" s="302">
        <f t="shared" si="148"/>
        <v>15223.845257918409</v>
      </c>
      <c r="AI481" s="298">
        <f>AH481/Z481</f>
        <v>3.4724861845011272E-2</v>
      </c>
      <c r="AJ481" s="349"/>
      <c r="AK481" s="350"/>
      <c r="AL481" s="299">
        <f>SUM(AL469:AL480)</f>
        <v>415360.75999999995</v>
      </c>
      <c r="AM481" s="351"/>
      <c r="AN481" s="302">
        <f t="shared" si="149"/>
        <v>38276.5</v>
      </c>
      <c r="AO481" s="331">
        <f t="shared" si="147"/>
        <v>9.2152421909089358E-2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114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49"/>
        <v>0</v>
      </c>
      <c r="AO482" s="364">
        <f t="shared" si="147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114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4.1594076847325821E-2</v>
      </c>
      <c r="Z483" s="369">
        <f>Z407-Z468+Z481</f>
        <v>605699.2710200994</v>
      </c>
      <c r="AA483" s="367" t="s">
        <v>180</v>
      </c>
      <c r="AB483" s="368" t="e">
        <f>AC483/AC406</f>
        <v>#DIV/0!</v>
      </c>
      <c r="AC483" s="369">
        <f>AC407-AC468+AC481</f>
        <v>0</v>
      </c>
      <c r="AD483" s="367" t="s">
        <v>180</v>
      </c>
      <c r="AE483" s="368">
        <f>AF483/AF406</f>
        <v>2.9392005828777601E-2</v>
      </c>
      <c r="AF483" s="370">
        <f>AF407-AF468+AF481</f>
        <v>417861.05000000045</v>
      </c>
      <c r="AG483" s="371"/>
      <c r="AH483" s="370">
        <f>AF483-Z483</f>
        <v>-187838.22102009895</v>
      </c>
      <c r="AI483" s="503">
        <f>AH483/Z483</f>
        <v>-0.31011795788320468</v>
      </c>
      <c r="AJ483" s="373" t="s">
        <v>180</v>
      </c>
      <c r="AK483" s="368">
        <f>IF($AL$406=0,0,AL483/$AL$406)</f>
        <v>4.6900183692186286E-2</v>
      </c>
      <c r="AL483" s="370">
        <f>AL407-AL468+AL481</f>
        <v>636598.64999999898</v>
      </c>
      <c r="AM483" s="374"/>
      <c r="AN483" s="370">
        <f t="shared" si="149"/>
        <v>-218737.59999999852</v>
      </c>
      <c r="AO483" s="375">
        <f t="shared" si="147"/>
        <v>-0.34360361901489878</v>
      </c>
      <c r="AP483" s="246"/>
      <c r="AQ483" s="246"/>
      <c r="AR483" s="310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114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9" si="153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  Q2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153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53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str">
        <f t="shared" si="153"/>
        <v>BAIIA Corpo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4.9257304012875244E-2</v>
      </c>
      <c r="Z488" s="449">
        <f>+Z489+Z415</f>
        <v>717292.35012297472</v>
      </c>
      <c r="AA488" s="446"/>
      <c r="AB488" s="447"/>
      <c r="AC488" s="448"/>
      <c r="AD488" s="446" t="s">
        <v>180</v>
      </c>
      <c r="AE488" s="447">
        <f>AF488/AF406</f>
        <v>3.8499900560438671E-2</v>
      </c>
      <c r="AF488" s="449">
        <f>+AF489+AF415</f>
        <v>547346.4100000005</v>
      </c>
      <c r="AG488" s="450"/>
      <c r="AH488" s="450">
        <f t="shared" ref="AH488" si="154">AF488-Z488</f>
        <v>-169945.94012297422</v>
      </c>
      <c r="AI488" s="451">
        <f>AH488/Z488</f>
        <v>-0.23692702158867049</v>
      </c>
      <c r="AJ488" s="446" t="s">
        <v>180</v>
      </c>
      <c r="AK488" s="447">
        <f>AL488/AL406</f>
        <v>4.950543990313605E-2</v>
      </c>
      <c r="AL488" s="449">
        <f>+AL489+AL415</f>
        <v>671961.03999999899</v>
      </c>
      <c r="AM488" s="452"/>
      <c r="AN488" s="449">
        <f t="shared" ref="AN488" si="155">AF488-AL488</f>
        <v>-124614.62999999849</v>
      </c>
      <c r="AO488" s="453">
        <f t="shared" ref="AO488" si="156">IF(AL488=0,0,AN488/AL488)</f>
        <v>-0.18544918913751113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customHeight="1" thickTop="1" thickBot="1">
      <c r="A489" t="str">
        <f t="shared" si="153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4.1594076847325821E-2</v>
      </c>
      <c r="Z489" s="381">
        <f>Z483</f>
        <v>605699.2710200994</v>
      </c>
      <c r="AA489" s="379" t="s">
        <v>180</v>
      </c>
      <c r="AB489" s="380" t="e">
        <f>AC489/AC406</f>
        <v>#DIV/0!</v>
      </c>
      <c r="AC489" s="381">
        <f>AC483</f>
        <v>0</v>
      </c>
      <c r="AD489" s="379" t="s">
        <v>180</v>
      </c>
      <c r="AE489" s="380">
        <f>AF489/AF406</f>
        <v>2.9392005828777601E-2</v>
      </c>
      <c r="AF489" s="381">
        <f>AF483</f>
        <v>417861.05000000045</v>
      </c>
      <c r="AG489" s="382"/>
      <c r="AH489" s="370">
        <f>AF489-Z489</f>
        <v>-187838.22102009895</v>
      </c>
      <c r="AI489" s="503">
        <f>AH489/Z489</f>
        <v>-0.31011795788320468</v>
      </c>
      <c r="AJ489" s="379" t="s">
        <v>180</v>
      </c>
      <c r="AK489" s="380">
        <f>IF($AL$406=0,0,AL489/$AL$406)</f>
        <v>4.6900183692186286E-2</v>
      </c>
      <c r="AL489" s="383">
        <f>AL483</f>
        <v>636598.64999999898</v>
      </c>
      <c r="AM489" s="384"/>
      <c r="AN489" s="385">
        <f>AF489-AL489</f>
        <v>-218737.59999999852</v>
      </c>
      <c r="AO489" s="386">
        <f>IF(AL489=0,0,AN489/AL489)</f>
        <v>-0.34360361901489878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53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53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f>+SUM(START:END!Z491)</f>
        <v>62910</v>
      </c>
      <c r="AA491" s="279"/>
      <c r="AB491" s="287">
        <f t="shared" ref="AB490:AB497" si="157">IF(AC491=0,0,AC491/(G$13+G$97))</f>
        <v>0</v>
      </c>
      <c r="AC491" s="280">
        <f>+SUM(START:END!AC491)</f>
        <v>0</v>
      </c>
      <c r="AD491" s="279"/>
      <c r="AE491" s="287"/>
      <c r="AF491" s="280">
        <f>+SUM(START:END!AF491)</f>
        <v>62910</v>
      </c>
      <c r="AG491" s="279"/>
      <c r="AH491" s="282">
        <f t="shared" ref="AH491:AH498" si="158">AF491-Z491</f>
        <v>0</v>
      </c>
      <c r="AI491" s="306">
        <f t="shared" ref="AI491:AI497" si="159">IF(Z491=0,0,AH491/Z491)</f>
        <v>0</v>
      </c>
      <c r="AJ491" s="279"/>
      <c r="AK491" s="279"/>
      <c r="AL491" s="280">
        <f>+SUM(START:END!AL491)</f>
        <v>58560</v>
      </c>
      <c r="AM491" s="284"/>
      <c r="AN491" s="282">
        <f t="shared" ref="AN491:AN498" si="160">AF491-AL491</f>
        <v>4350</v>
      </c>
      <c r="AO491" s="289">
        <f t="shared" ref="AO491:AO498" si="161">IF(AL491=0,0,AN491/AL491)</f>
        <v>7.4282786885245908E-2</v>
      </c>
      <c r="AP491" s="246"/>
      <c r="AQ491" s="502"/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153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f>+SUM(START:END!Z492)</f>
        <v>0</v>
      </c>
      <c r="AA492" s="10"/>
      <c r="AB492" s="10">
        <f t="shared" si="157"/>
        <v>0</v>
      </c>
      <c r="AC492" s="280">
        <f>+SUM(START:END!AC492)</f>
        <v>0</v>
      </c>
      <c r="AD492" s="10"/>
      <c r="AE492" s="13"/>
      <c r="AF492" s="280">
        <f>+SUM(START:END!AF492)</f>
        <v>0</v>
      </c>
      <c r="AG492" s="10"/>
      <c r="AH492" s="282">
        <f t="shared" si="158"/>
        <v>0</v>
      </c>
      <c r="AI492" s="306">
        <f t="shared" si="159"/>
        <v>0</v>
      </c>
      <c r="AJ492" s="10"/>
      <c r="AK492" s="10"/>
      <c r="AL492" s="280">
        <f>+SUM(START:END!AL492)</f>
        <v>0</v>
      </c>
      <c r="AM492" s="393"/>
      <c r="AN492" s="282">
        <f t="shared" si="160"/>
        <v>0</v>
      </c>
      <c r="AO492" s="289">
        <f t="shared" si="161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153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f>+SUM(START:END!Z493)</f>
        <v>0</v>
      </c>
      <c r="AA493" s="10"/>
      <c r="AB493" s="10">
        <f t="shared" si="157"/>
        <v>0</v>
      </c>
      <c r="AC493" s="280">
        <f>+SUM(START:END!AC493)</f>
        <v>0</v>
      </c>
      <c r="AD493" s="10"/>
      <c r="AE493" s="13"/>
      <c r="AF493" s="280">
        <f>+SUM(START:END!AF493)</f>
        <v>0</v>
      </c>
      <c r="AG493" s="10"/>
      <c r="AH493" s="282">
        <f t="shared" si="158"/>
        <v>0</v>
      </c>
      <c r="AI493" s="306">
        <f t="shared" si="159"/>
        <v>0</v>
      </c>
      <c r="AJ493" s="10"/>
      <c r="AK493" s="10"/>
      <c r="AL493" s="280">
        <f>+SUM(START:END!AL493)</f>
        <v>0</v>
      </c>
      <c r="AM493" s="393"/>
      <c r="AN493" s="282">
        <f t="shared" si="160"/>
        <v>0</v>
      </c>
      <c r="AO493" s="289">
        <f t="shared" si="161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153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f>+SUM(START:END!Z494)</f>
        <v>0</v>
      </c>
      <c r="AA494" s="10"/>
      <c r="AB494" s="10">
        <f t="shared" si="157"/>
        <v>0</v>
      </c>
      <c r="AC494" s="280">
        <f>+SUM(START:END!AC494)</f>
        <v>0</v>
      </c>
      <c r="AD494" s="10"/>
      <c r="AE494" s="13"/>
      <c r="AF494" s="280">
        <f>+SUM(START:END!AF494)</f>
        <v>0</v>
      </c>
      <c r="AG494" s="10"/>
      <c r="AH494" s="282">
        <f t="shared" si="158"/>
        <v>0</v>
      </c>
      <c r="AI494" s="306">
        <f t="shared" si="159"/>
        <v>0</v>
      </c>
      <c r="AJ494" s="10"/>
      <c r="AK494" s="10"/>
      <c r="AL494" s="280">
        <f>+SUM(START:END!AL494)</f>
        <v>0</v>
      </c>
      <c r="AM494" s="393"/>
      <c r="AN494" s="282">
        <f t="shared" si="160"/>
        <v>0</v>
      </c>
      <c r="AO494" s="289">
        <f t="shared" si="161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53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+SUM(START:END!Z495)</f>
        <v>0</v>
      </c>
      <c r="AA495" s="279"/>
      <c r="AB495" s="279">
        <f t="shared" si="157"/>
        <v>0</v>
      </c>
      <c r="AC495" s="282">
        <f>+SUM(START:END!AC495)</f>
        <v>0</v>
      </c>
      <c r="AD495" s="288"/>
      <c r="AE495" s="287"/>
      <c r="AF495" s="280">
        <f>+SUM(START:END!AF495)</f>
        <v>0</v>
      </c>
      <c r="AG495" s="281"/>
      <c r="AH495" s="282">
        <f t="shared" si="158"/>
        <v>0</v>
      </c>
      <c r="AI495" s="283">
        <f t="shared" si="159"/>
        <v>0</v>
      </c>
      <c r="AJ495" s="288"/>
      <c r="AK495" s="279"/>
      <c r="AL495" s="280">
        <f>+SUM(START:END!AL495)</f>
        <v>0</v>
      </c>
      <c r="AM495" s="393"/>
      <c r="AN495" s="282">
        <f t="shared" si="160"/>
        <v>0</v>
      </c>
      <c r="AO495" s="289">
        <f t="shared" si="161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53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f>+SUM(START:END!Z496)</f>
        <v>-26976.775956284157</v>
      </c>
      <c r="AA496" s="279"/>
      <c r="AB496" s="279">
        <f t="shared" ref="AB496" si="162">IF(AC496=0,0,AC496/(G$13+G$97))</f>
        <v>0</v>
      </c>
      <c r="AC496" s="282">
        <f>+SUM(START:END!AC496)</f>
        <v>0</v>
      </c>
      <c r="AD496" s="288"/>
      <c r="AE496" s="287"/>
      <c r="AF496" s="280">
        <f>+SUM(START:END!AF496)</f>
        <v>-21302.23</v>
      </c>
      <c r="AG496" s="281"/>
      <c r="AH496" s="282">
        <f t="shared" si="158"/>
        <v>5674.545956284157</v>
      </c>
      <c r="AI496" s="283">
        <f t="shared" si="159"/>
        <v>-0.2103493006532639</v>
      </c>
      <c r="AJ496" s="288"/>
      <c r="AK496" s="279"/>
      <c r="AL496" s="280">
        <f>+SUM(START:END!AL496)</f>
        <v>0</v>
      </c>
      <c r="AM496" s="393"/>
      <c r="AN496" s="282">
        <f t="shared" si="160"/>
        <v>-21302.23</v>
      </c>
      <c r="AO496" s="289">
        <f t="shared" si="161"/>
        <v>0</v>
      </c>
      <c r="AP496" s="246"/>
      <c r="AQ496" s="246"/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53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+SUM(START:END!Z497)</f>
        <v>0</v>
      </c>
      <c r="AA497" s="279"/>
      <c r="AB497" s="279">
        <f t="shared" si="157"/>
        <v>0</v>
      </c>
      <c r="AC497" s="282">
        <f>+SUM(START:END!AC497)</f>
        <v>0</v>
      </c>
      <c r="AD497" s="288"/>
      <c r="AE497" s="287">
        <f t="shared" ref="AE490:AE497" si="163">IF(AF497=0,0,AF497/(J$13+J$97))</f>
        <v>0</v>
      </c>
      <c r="AF497" s="280">
        <f>+SUM(START:END!AF497)</f>
        <v>0</v>
      </c>
      <c r="AG497" s="281"/>
      <c r="AH497" s="282">
        <f t="shared" si="158"/>
        <v>0</v>
      </c>
      <c r="AI497" s="283">
        <f t="shared" si="159"/>
        <v>0</v>
      </c>
      <c r="AJ497" s="288"/>
      <c r="AK497" s="279">
        <f t="shared" ref="AK490:AK497" si="164">AL497/(O$13+O$97)</f>
        <v>0</v>
      </c>
      <c r="AL497" s="280">
        <f>+SUM(START:END!AL497)</f>
        <v>0</v>
      </c>
      <c r="AM497" s="393"/>
      <c r="AN497" s="282">
        <f t="shared" si="160"/>
        <v>0</v>
      </c>
      <c r="AO497" s="289">
        <f t="shared" si="161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53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3.9126500355563962E-2</v>
      </c>
      <c r="Z498" s="369">
        <f>Z489-Z491-Z492-Z493-Z497-Z494-Z495-Z496-Z497</f>
        <v>569766.04697638354</v>
      </c>
      <c r="AA498" s="367" t="s">
        <v>180</v>
      </c>
      <c r="AB498" s="368" t="e">
        <f>AC498/AC406</f>
        <v>#DIV/0!</v>
      </c>
      <c r="AC498" s="369">
        <f>AC489-AC491-AC492-AC493-AC497-AC494-AC495</f>
        <v>0</v>
      </c>
      <c r="AD498" s="367" t="s">
        <v>180</v>
      </c>
      <c r="AE498" s="368">
        <f>AF498/AF406</f>
        <v>2.6465349184511676E-2</v>
      </c>
      <c r="AF498" s="370">
        <f>AF489-AF491-AF492-AF493-AF497-AF494-AF495-AF496-AF497</f>
        <v>376253.28000000044</v>
      </c>
      <c r="AG498" s="371"/>
      <c r="AH498" s="370">
        <f t="shared" si="158"/>
        <v>-193512.76697638311</v>
      </c>
      <c r="AI498" s="503">
        <f>AH498/Z498</f>
        <v>-0.33963548372759406</v>
      </c>
      <c r="AJ498" s="373" t="s">
        <v>180</v>
      </c>
      <c r="AK498" s="368">
        <f>IF($AL$406=0,0,AL498/$AL$406)</f>
        <v>4.2585888088489302E-2</v>
      </c>
      <c r="AL498" s="370">
        <f>AL489-AL491-AL492-AL493-AL497-AL494-AL495-AL496-AL497</f>
        <v>578038.64999999898</v>
      </c>
      <c r="AM498" s="374"/>
      <c r="AN498" s="370">
        <f t="shared" si="160"/>
        <v>-201785.36999999854</v>
      </c>
      <c r="AO498" s="394">
        <f t="shared" si="161"/>
        <v>-0.34908629379713429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 t="shared" si="153"/>
        <v/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/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/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/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/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504"/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/>
      <c r="AE505" s="246"/>
      <c r="AF505" s="24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phoneticPr fontId="31" type="noConversion"/>
  <conditionalFormatting sqref="D31:D32">
    <cfRule type="expression" dxfId="350" priority="17" stopIfTrue="1">
      <formula>"esterreur(reference)"</formula>
    </cfRule>
  </conditionalFormatting>
  <conditionalFormatting sqref="D112:D113">
    <cfRule type="expression" dxfId="349" priority="12" stopIfTrue="1">
      <formula>"esterreur(reference)"</formula>
    </cfRule>
  </conditionalFormatting>
  <conditionalFormatting sqref="F5">
    <cfRule type="expression" dxfId="348" priority="78" stopIfTrue="1">
      <formula>"esterreur(reference)"</formula>
    </cfRule>
  </conditionalFormatting>
  <conditionalFormatting sqref="F184">
    <cfRule type="expression" dxfId="347" priority="88" stopIfTrue="1">
      <formula>"esterreur(reference)"</formula>
    </cfRule>
  </conditionalFormatting>
  <conditionalFormatting sqref="G31:G32">
    <cfRule type="expression" dxfId="346" priority="16" stopIfTrue="1">
      <formula>"esterreur(reference)"</formula>
    </cfRule>
  </conditionalFormatting>
  <conditionalFormatting sqref="G112:G113">
    <cfRule type="expression" dxfId="345" priority="13" stopIfTrue="1">
      <formula>"esterreur(reference)"</formula>
    </cfRule>
  </conditionalFormatting>
  <conditionalFormatting sqref="H136:H152">
    <cfRule type="expression" dxfId="344" priority="42" stopIfTrue="1">
      <formula>"esterreur(reference)"</formula>
    </cfRule>
  </conditionalFormatting>
  <conditionalFormatting sqref="H360">
    <cfRule type="expression" dxfId="343" priority="121" stopIfTrue="1">
      <formula>"esterreur(reference)"</formula>
    </cfRule>
  </conditionalFormatting>
  <conditionalFormatting sqref="H197:L197">
    <cfRule type="expression" dxfId="342" priority="123" stopIfTrue="1">
      <formula>"esterreur(reference)"</formula>
    </cfRule>
  </conditionalFormatting>
  <conditionalFormatting sqref="H396:L399">
    <cfRule type="expression" dxfId="341" priority="119" stopIfTrue="1">
      <formula>"esterreur(reference)"</formula>
    </cfRule>
  </conditionalFormatting>
  <conditionalFormatting sqref="I377:L377 H378:H395">
    <cfRule type="expression" dxfId="340" priority="120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85:L285 H288:L288 H289 J289:K289 H290:K290 L290:L292 H292:I292 K292 J292:J293 H294:L294 H304:L306 H309:L311 H313:L317 H349:L349 H352:L352 H353:H355 J353:K355 H361:L364 H365:H376 H400 J400:K400 H254:K284 H318:H348 J318:K348">
    <cfRule type="expression" dxfId="339" priority="113" stopIfTrue="1">
      <formula>"esterreur(reference)"</formula>
    </cfRule>
  </conditionalFormatting>
  <conditionalFormatting sqref="J55:K71">
    <cfRule type="expression" dxfId="338" priority="124" stopIfTrue="1">
      <formula>"esterreur(reference)"</formula>
    </cfRule>
  </conditionalFormatting>
  <conditionalFormatting sqref="J102:L104">
    <cfRule type="expression" dxfId="337" priority="109" stopIfTrue="1">
      <formula>"esterreur(reference)"</formula>
    </cfRule>
  </conditionalFormatting>
  <conditionalFormatting sqref="J149:L152">
    <cfRule type="expression" dxfId="336" priority="41" stopIfTrue="1">
      <formula>"esterreur(reference)"</formula>
    </cfRule>
  </conditionalFormatting>
  <conditionalFormatting sqref="J295:L303">
    <cfRule type="expression" dxfId="335" priority="105" stopIfTrue="1">
      <formula>"esterreur(reference)"</formula>
    </cfRule>
  </conditionalFormatting>
  <conditionalFormatting sqref="J307:L308">
    <cfRule type="expression" dxfId="334" priority="95" stopIfTrue="1">
      <formula>"esterreur(reference)"</formula>
    </cfRule>
  </conditionalFormatting>
  <conditionalFormatting sqref="J360:L360">
    <cfRule type="expression" dxfId="333" priority="87" stopIfTrue="1">
      <formula>"esterreur(reference)"</formula>
    </cfRule>
  </conditionalFormatting>
  <conditionalFormatting sqref="J365:L376">
    <cfRule type="expression" dxfId="332" priority="92" stopIfTrue="1">
      <formula>"esterreur(reference)"</formula>
    </cfRule>
  </conditionalFormatting>
  <conditionalFormatting sqref="J378:L394">
    <cfRule type="expression" dxfId="331" priority="91" stopIfTrue="1">
      <formula>"esterreur(reference)"</formula>
    </cfRule>
  </conditionalFormatting>
  <conditionalFormatting sqref="J312:M312">
    <cfRule type="expression" dxfId="330" priority="93" stopIfTrue="1">
      <formula>"esterreur(reference)"</formula>
    </cfRule>
  </conditionalFormatting>
  <conditionalFormatting sqref="J112:Q121">
    <cfRule type="expression" dxfId="329" priority="14" stopIfTrue="1">
      <formula>"esterreur(reference)"</formula>
    </cfRule>
  </conditionalFormatting>
  <conditionalFormatting sqref="J123:Q134">
    <cfRule type="expression" dxfId="328" priority="68" stopIfTrue="1">
      <formula>"esterreur(reference)"</formula>
    </cfRule>
  </conditionalFormatting>
  <conditionalFormatting sqref="K5">
    <cfRule type="expression" dxfId="327" priority="102" stopIfTrue="1">
      <formula>"esterreur(reference)"</formula>
    </cfRule>
  </conditionalFormatting>
  <conditionalFormatting sqref="K175">
    <cfRule type="expression" dxfId="326" priority="99" stopIfTrue="1">
      <formula>"esterreur(reference)"</formula>
    </cfRule>
  </conditionalFormatting>
  <conditionalFormatting sqref="K183:K184">
    <cfRule type="expression" dxfId="325" priority="101" stopIfTrue="1">
      <formula>"esterreur(reference)"</formula>
    </cfRule>
  </conditionalFormatting>
  <conditionalFormatting sqref="K287">
    <cfRule type="expression" dxfId="324" priority="85" stopIfTrue="1">
      <formula>"esterreur(reference)"</formula>
    </cfRule>
  </conditionalFormatting>
  <conditionalFormatting sqref="K395">
    <cfRule type="expression" dxfId="323" priority="122" stopIfTrue="1">
      <formula>"esterreur(reference)"</formula>
    </cfRule>
  </conditionalFormatting>
  <conditionalFormatting sqref="K93:L96">
    <cfRule type="expression" dxfId="322" priority="90" stopIfTrue="1">
      <formula>"esterreur(reference)"</formula>
    </cfRule>
  </conditionalFormatting>
  <conditionalFormatting sqref="K99:L100">
    <cfRule type="expression" dxfId="321" priority="110" stopIfTrue="1">
      <formula>"esterreur(reference)"</formula>
    </cfRule>
  </conditionalFormatting>
  <conditionalFormatting sqref="K171:L173">
    <cfRule type="expression" dxfId="320" priority="100" stopIfTrue="1">
      <formula>"esterreur(reference)"</formula>
    </cfRule>
  </conditionalFormatting>
  <conditionalFormatting sqref="K176:L182">
    <cfRule type="expression" dxfId="319" priority="98" stopIfTrue="1">
      <formula>"esterreur(reference)"</formula>
    </cfRule>
  </conditionalFormatting>
  <conditionalFormatting sqref="K185:L196">
    <cfRule type="expression" dxfId="318" priority="94" stopIfTrue="1">
      <formula>"esterreur(reference)"</formula>
    </cfRule>
  </conditionalFormatting>
  <conditionalFormatting sqref="K239:L241">
    <cfRule type="expression" dxfId="317" priority="89" stopIfTrue="1">
      <formula>"esterreur(reference)"</formula>
    </cfRule>
  </conditionalFormatting>
  <conditionalFormatting sqref="K244:L244">
    <cfRule type="expression" dxfId="316" priority="97" stopIfTrue="1">
      <formula>"esterreur(reference)"</formula>
    </cfRule>
  </conditionalFormatting>
  <conditionalFormatting sqref="K247:L247">
    <cfRule type="expression" dxfId="315" priority="96" stopIfTrue="1">
      <formula>"esterreur(reference)"</formula>
    </cfRule>
  </conditionalFormatting>
  <conditionalFormatting sqref="L16:L24">
    <cfRule type="expression" dxfId="314" priority="112" stopIfTrue="1">
      <formula>"esterreur(reference)"</formula>
    </cfRule>
  </conditionalFormatting>
  <conditionalFormatting sqref="L42:L48">
    <cfRule type="expression" dxfId="313" priority="111" stopIfTrue="1">
      <formula>"esterreur(reference)"</formula>
    </cfRule>
  </conditionalFormatting>
  <conditionalFormatting sqref="L55:L66">
    <cfRule type="expression" dxfId="312" priority="79" stopIfTrue="1">
      <formula>"esterreur(reference)"</formula>
    </cfRule>
  </conditionalFormatting>
  <conditionalFormatting sqref="L68:L71">
    <cfRule type="expression" dxfId="311" priority="43" stopIfTrue="1">
      <formula>"esterreur(reference)"</formula>
    </cfRule>
  </conditionalFormatting>
  <conditionalFormatting sqref="L75:L82">
    <cfRule type="expression" dxfId="310" priority="80" stopIfTrue="1">
      <formula>"esterreur(reference)"</formula>
    </cfRule>
  </conditionalFormatting>
  <conditionalFormatting sqref="L136:L147">
    <cfRule type="expression" dxfId="309" priority="84" stopIfTrue="1">
      <formula>"esterreur(reference)"</formula>
    </cfRule>
  </conditionalFormatting>
  <conditionalFormatting sqref="L174:L175">
    <cfRule type="expression" dxfId="308" priority="108" stopIfTrue="1">
      <formula>"esterreur(reference)"</formula>
    </cfRule>
  </conditionalFormatting>
  <conditionalFormatting sqref="L198:L209">
    <cfRule type="expression" dxfId="307" priority="107" stopIfTrue="1">
      <formula>"esterreur(reference)"</formula>
    </cfRule>
  </conditionalFormatting>
  <conditionalFormatting sqref="L211:L228">
    <cfRule type="expression" dxfId="306" priority="83" stopIfTrue="1">
      <formula>"esterreur(reference)"</formula>
    </cfRule>
  </conditionalFormatting>
  <conditionalFormatting sqref="L254:L265">
    <cfRule type="expression" dxfId="305" priority="106" stopIfTrue="1">
      <formula>"esterreur(reference)"</formula>
    </cfRule>
  </conditionalFormatting>
  <conditionalFormatting sqref="L267:L284">
    <cfRule type="expression" dxfId="304" priority="82" stopIfTrue="1">
      <formula>"esterreur(reference)"</formula>
    </cfRule>
  </conditionalFormatting>
  <conditionalFormatting sqref="L318:L329">
    <cfRule type="expression" dxfId="303" priority="104" stopIfTrue="1">
      <formula>"esterreur(reference)"</formula>
    </cfRule>
  </conditionalFormatting>
  <conditionalFormatting sqref="L331">
    <cfRule type="expression" dxfId="302" priority="81" stopIfTrue="1">
      <formula>"esterreur(reference)"</formula>
    </cfRule>
  </conditionalFormatting>
  <conditionalFormatting sqref="L334:L343 L345:L348">
    <cfRule type="expression" dxfId="301" priority="103" stopIfTrue="1">
      <formula>"esterreur(reference)"</formula>
    </cfRule>
  </conditionalFormatting>
  <conditionalFormatting sqref="L356:L357 H357:I357 K357 J357:J358 H359:L359">
    <cfRule type="expression" dxfId="300" priority="118" stopIfTrue="1">
      <formula>"esterreur(reference)"</formula>
    </cfRule>
  </conditionalFormatting>
  <conditionalFormatting sqref="L5:Q14">
    <cfRule type="expression" dxfId="299" priority="73" stopIfTrue="1">
      <formula>"esterreur(reference)"</formula>
    </cfRule>
  </conditionalFormatting>
  <conditionalFormatting sqref="L156:Q162">
    <cfRule type="expression" dxfId="298" priority="39" stopIfTrue="1">
      <formula>"esterreur(reference)"</formula>
    </cfRule>
  </conditionalFormatting>
  <conditionalFormatting sqref="M95:M97">
    <cfRule type="expression" dxfId="297" priority="114" stopIfTrue="1">
      <formula>"esterreur(reference)"</formula>
    </cfRule>
  </conditionalFormatting>
  <conditionalFormatting sqref="O13:O14 O16 O18:O24 O83:Q85">
    <cfRule type="expression" dxfId="296" priority="77" stopIfTrue="1">
      <formula>"esterreur(reference)"</formula>
    </cfRule>
  </conditionalFormatting>
  <conditionalFormatting sqref="O172:O196 Q183 O198:P229 O232:Q232 O233:P233">
    <cfRule type="expression" dxfId="295" priority="66" stopIfTrue="1">
      <formula>"esterreur(reference)"</formula>
    </cfRule>
  </conditionalFormatting>
  <conditionalFormatting sqref="O349:Q349 O352:Q352 O353:P353 O318:P348">
    <cfRule type="expression" dxfId="294" priority="50" stopIfTrue="1">
      <formula>"esterreur(reference)"</formula>
    </cfRule>
  </conditionalFormatting>
  <conditionalFormatting sqref="O25:Q72">
    <cfRule type="expression" dxfId="293" priority="15" stopIfTrue="1">
      <formula>"esterreur(reference)"</formula>
    </cfRule>
  </conditionalFormatting>
  <conditionalFormatting sqref="O97:Q98 O122:Q122 O156:P157 O164:Q164 O165:P165">
    <cfRule type="expression" dxfId="292" priority="72" stopIfTrue="1">
      <formula>"esterreur(reference)"</formula>
    </cfRule>
  </conditionalFormatting>
  <conditionalFormatting sqref="O101:Q111">
    <cfRule type="expression" dxfId="291" priority="70" stopIfTrue="1">
      <formula>"esterreur(reference)"</formula>
    </cfRule>
  </conditionalFormatting>
  <conditionalFormatting sqref="O135:Q153">
    <cfRule type="expression" dxfId="290" priority="40" stopIfTrue="1">
      <formula>"esterreur(reference)"</formula>
    </cfRule>
  </conditionalFormatting>
  <conditionalFormatting sqref="O197:Q197">
    <cfRule type="expression" dxfId="289" priority="67" stopIfTrue="1">
      <formula>"esterreur(reference)"</formula>
    </cfRule>
  </conditionalFormatting>
  <conditionalFormatting sqref="O243:Q243 O252:Q253 O285:Q285 O288:Q288 O289:P289 O254:P284">
    <cfRule type="expression" dxfId="288" priority="57" stopIfTrue="1">
      <formula>"esterreur(reference)"</formula>
    </cfRule>
  </conditionalFormatting>
  <conditionalFormatting sqref="O295:Q317">
    <cfRule type="expression" dxfId="287" priority="48" stopIfTrue="1">
      <formula>"esterreur(reference)"</formula>
    </cfRule>
  </conditionalFormatting>
  <conditionalFormatting sqref="O359:Q394">
    <cfRule type="expression" dxfId="286" priority="44" stopIfTrue="1">
      <formula>"esterreur(reference)"</formula>
    </cfRule>
  </conditionalFormatting>
  <conditionalFormatting sqref="O396:Q399">
    <cfRule type="expression" dxfId="285" priority="45" stopIfTrue="1">
      <formula>"esterreur(reference)"</formula>
    </cfRule>
  </conditionalFormatting>
  <conditionalFormatting sqref="P5">
    <cfRule type="expression" dxfId="284" priority="74" stopIfTrue="1">
      <formula>"esterreur(reference)"</formula>
    </cfRule>
  </conditionalFormatting>
  <conditionalFormatting sqref="P175">
    <cfRule type="expression" dxfId="283" priority="61" stopIfTrue="1">
      <formula>"esterreur(reference)"</formula>
    </cfRule>
  </conditionalFormatting>
  <conditionalFormatting sqref="P183:P184">
    <cfRule type="expression" dxfId="282" priority="63" stopIfTrue="1">
      <formula>"esterreur(reference)"</formula>
    </cfRule>
  </conditionalFormatting>
  <conditionalFormatting sqref="P287">
    <cfRule type="expression" dxfId="281" priority="52" stopIfTrue="1">
      <formula>"esterreur(reference)"</formula>
    </cfRule>
  </conditionalFormatting>
  <conditionalFormatting sqref="P395">
    <cfRule type="expression" dxfId="280" priority="46" stopIfTrue="1">
      <formula>"esterreur(reference)"</formula>
    </cfRule>
  </conditionalFormatting>
  <conditionalFormatting sqref="P93:Q96">
    <cfRule type="expression" dxfId="279" priority="69" stopIfTrue="1">
      <formula>"esterreur(reference)"</formula>
    </cfRule>
  </conditionalFormatting>
  <conditionalFormatting sqref="P99:Q100">
    <cfRule type="expression" dxfId="278" priority="71" stopIfTrue="1">
      <formula>"esterreur(reference)"</formula>
    </cfRule>
  </conditionalFormatting>
  <conditionalFormatting sqref="P172:Q173">
    <cfRule type="expression" dxfId="277" priority="62" stopIfTrue="1">
      <formula>"esterreur(reference)"</formula>
    </cfRule>
  </conditionalFormatting>
  <conditionalFormatting sqref="P176:Q182">
    <cfRule type="expression" dxfId="276" priority="60" stopIfTrue="1">
      <formula>"esterreur(reference)"</formula>
    </cfRule>
  </conditionalFormatting>
  <conditionalFormatting sqref="P185:Q196">
    <cfRule type="expression" dxfId="275" priority="59" stopIfTrue="1">
      <formula>"esterreur(reference)"</formula>
    </cfRule>
  </conditionalFormatting>
  <conditionalFormatting sqref="P241:Q241">
    <cfRule type="expression" dxfId="274" priority="53" stopIfTrue="1">
      <formula>"esterreur(reference)"</formula>
    </cfRule>
  </conditionalFormatting>
  <conditionalFormatting sqref="P244:Q244">
    <cfRule type="expression" dxfId="273" priority="55" stopIfTrue="1">
      <formula>"esterreur(reference)"</formula>
    </cfRule>
  </conditionalFormatting>
  <conditionalFormatting sqref="P247:Q247">
    <cfRule type="expression" dxfId="272" priority="54" stopIfTrue="1">
      <formula>"esterreur(reference)"</formula>
    </cfRule>
  </conditionalFormatting>
  <conditionalFormatting sqref="Q16:Q24">
    <cfRule type="expression" dxfId="271" priority="76" stopIfTrue="1">
      <formula>"esterreur(reference)"</formula>
    </cfRule>
  </conditionalFormatting>
  <conditionalFormatting sqref="Q75:Q82">
    <cfRule type="expression" dxfId="270" priority="75" stopIfTrue="1">
      <formula>"esterreur(reference)"</formula>
    </cfRule>
  </conditionalFormatting>
  <conditionalFormatting sqref="Q174:Q175">
    <cfRule type="expression" dxfId="269" priority="65" stopIfTrue="1">
      <formula>"esterreur(reference)"</formula>
    </cfRule>
  </conditionalFormatting>
  <conditionalFormatting sqref="Q198:Q209">
    <cfRule type="expression" dxfId="268" priority="64" stopIfTrue="1">
      <formula>"esterreur(reference)"</formula>
    </cfRule>
  </conditionalFormatting>
  <conditionalFormatting sqref="Q211:Q228">
    <cfRule type="expression" dxfId="267" priority="58" stopIfTrue="1">
      <formula>"esterreur(reference)"</formula>
    </cfRule>
  </conditionalFormatting>
  <conditionalFormatting sqref="Q254:Q265">
    <cfRule type="expression" dxfId="266" priority="56" stopIfTrue="1">
      <formula>"esterreur(reference)"</formula>
    </cfRule>
  </conditionalFormatting>
  <conditionalFormatting sqref="Q267:Q284">
    <cfRule type="expression" dxfId="265" priority="51" stopIfTrue="1">
      <formula>"esterreur(reference)"</formula>
    </cfRule>
  </conditionalFormatting>
  <conditionalFormatting sqref="Q318:Q329">
    <cfRule type="expression" dxfId="264" priority="49" stopIfTrue="1">
      <formula>"esterreur(reference)"</formula>
    </cfRule>
  </conditionalFormatting>
  <conditionalFormatting sqref="Q331:Q348">
    <cfRule type="expression" dxfId="263" priority="47" stopIfTrue="1">
      <formula>"esterreur(reference)"</formula>
    </cfRule>
  </conditionalFormatting>
  <conditionalFormatting sqref="R312">
    <cfRule type="expression" dxfId="262" priority="115" stopIfTrue="1">
      <formula>"esterreur(reference)"</formula>
    </cfRule>
  </conditionalFormatting>
  <conditionalFormatting sqref="S186">
    <cfRule type="expression" dxfId="261" priority="86" stopIfTrue="1">
      <formula>"esterreur(reference)"</formula>
    </cfRule>
  </conditionalFormatting>
  <conditionalFormatting sqref="Z425:Z427">
    <cfRule type="cellIs" dxfId="260" priority="35" operator="greaterThan">
      <formula>0</formula>
    </cfRule>
  </conditionalFormatting>
  <conditionalFormatting sqref="Z432">
    <cfRule type="cellIs" dxfId="259" priority="32" operator="greaterThan">
      <formula>0</formula>
    </cfRule>
  </conditionalFormatting>
  <conditionalFormatting sqref="Z449:Z451">
    <cfRule type="cellIs" dxfId="258" priority="28" operator="greaterThan">
      <formula>0</formula>
    </cfRule>
  </conditionalFormatting>
  <conditionalFormatting sqref="Z463:Z465">
    <cfRule type="cellIs" dxfId="257" priority="24" operator="greaterThan">
      <formula>0</formula>
    </cfRule>
  </conditionalFormatting>
  <conditionalFormatting sqref="Z478:Z479">
    <cfRule type="cellIs" dxfId="256" priority="21" operator="greaterThan">
      <formula>0</formula>
    </cfRule>
  </conditionalFormatting>
  <conditionalFormatting sqref="Z495:Z497">
    <cfRule type="cellIs" dxfId="255" priority="18" operator="greaterThan">
      <formula>0</formula>
    </cfRule>
  </conditionalFormatting>
  <conditionalFormatting sqref="AC425:AC427">
    <cfRule type="cellIs" dxfId="254" priority="36" operator="greaterThan">
      <formula>0</formula>
    </cfRule>
  </conditionalFormatting>
  <conditionalFormatting sqref="AC432">
    <cfRule type="cellIs" dxfId="253" priority="33" operator="greaterThan">
      <formula>0</formula>
    </cfRule>
  </conditionalFormatting>
  <conditionalFormatting sqref="AC449:AC451">
    <cfRule type="cellIs" dxfId="252" priority="29" operator="greaterThan">
      <formula>0</formula>
    </cfRule>
  </conditionalFormatting>
  <conditionalFormatting sqref="AC463:AC465">
    <cfRule type="cellIs" dxfId="251" priority="25" operator="greaterThan">
      <formula>0</formula>
    </cfRule>
  </conditionalFormatting>
  <conditionalFormatting sqref="AC478:AC479">
    <cfRule type="cellIs" dxfId="250" priority="22" operator="greaterThan">
      <formula>0</formula>
    </cfRule>
  </conditionalFormatting>
  <conditionalFormatting sqref="AC495:AC497">
    <cfRule type="cellIs" dxfId="249" priority="19" operator="greaterThan">
      <formula>0</formula>
    </cfRule>
  </conditionalFormatting>
  <conditionalFormatting sqref="AG409:AI418">
    <cfRule type="cellIs" dxfId="237" priority="9" operator="greaterThan">
      <formula>0</formula>
    </cfRule>
  </conditionalFormatting>
  <conditionalFormatting sqref="AH449:AH452">
    <cfRule type="cellIs" dxfId="236" priority="6" operator="greaterThan">
      <formula>0</formula>
    </cfRule>
  </conditionalFormatting>
  <conditionalFormatting sqref="AH461:AH466">
    <cfRule type="cellIs" dxfId="235" priority="4" operator="greaterThan">
      <formula>0</formula>
    </cfRule>
  </conditionalFormatting>
  <conditionalFormatting sqref="AH420:AI448">
    <cfRule type="cellIs" dxfId="234" priority="8" operator="greaterThan">
      <formula>0</formula>
    </cfRule>
  </conditionalFormatting>
  <conditionalFormatting sqref="AH453:AI460 AH467:AI468">
    <cfRule type="cellIs" dxfId="233" priority="10" operator="greaterThan">
      <formula>0</formula>
    </cfRule>
  </conditionalFormatting>
  <conditionalFormatting sqref="AH469:AI477 AH480:AI480">
    <cfRule type="cellIs" dxfId="232" priority="11" operator="lessThan">
      <formula>0</formula>
    </cfRule>
  </conditionalFormatting>
  <conditionalFormatting sqref="AH478:AI479">
    <cfRule type="cellIs" dxfId="231" priority="3" operator="greaterThan">
      <formula>0</formula>
    </cfRule>
  </conditionalFormatting>
  <conditionalFormatting sqref="AH491:AI497">
    <cfRule type="cellIs" dxfId="230" priority="2" operator="greaterThan">
      <formula>0</formula>
    </cfRule>
  </conditionalFormatting>
  <conditionalFormatting sqref="AI449:AI451">
    <cfRule type="cellIs" dxfId="229" priority="7" operator="greaterThan">
      <formula>0</formula>
    </cfRule>
  </conditionalFormatting>
  <conditionalFormatting sqref="AI463:AI465">
    <cfRule type="cellIs" dxfId="228" priority="5" operator="greaterThan">
      <formula>0</formula>
    </cfRule>
  </conditionalFormatting>
  <conditionalFormatting sqref="AO409:AO418">
    <cfRule type="cellIs" dxfId="226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02"/>
  <sheetViews>
    <sheetView zoomScale="60" zoomScaleNormal="60" workbookViewId="0">
      <selection activeCell="C1" sqref="C1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270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72" t="s">
        <v>2</v>
      </c>
      <c r="E2" s="472" t="s">
        <v>3</v>
      </c>
      <c r="F2" s="472" t="s">
        <v>4</v>
      </c>
      <c r="G2" s="472"/>
      <c r="H2" s="472"/>
      <c r="I2" s="472"/>
      <c r="J2" s="472" t="s">
        <v>211</v>
      </c>
      <c r="K2" s="472"/>
      <c r="L2" s="472" t="s">
        <v>212</v>
      </c>
      <c r="M2" s="473"/>
      <c r="N2" s="473"/>
      <c r="O2" s="472" t="s">
        <v>2</v>
      </c>
      <c r="P2" s="472" t="s">
        <v>3</v>
      </c>
      <c r="Q2" s="472" t="s">
        <v>4</v>
      </c>
      <c r="R2" s="10"/>
      <c r="S2" s="10"/>
      <c r="T2" s="10"/>
      <c r="U2" s="10"/>
    </row>
    <row r="3" spans="1:40" ht="21" thickTop="1">
      <c r="B3" s="11"/>
      <c r="C3" s="12"/>
      <c r="D3" s="463" t="s">
        <v>5</v>
      </c>
      <c r="E3" s="464"/>
      <c r="F3" s="465"/>
      <c r="G3" s="466"/>
      <c r="H3" s="464"/>
      <c r="I3" s="465"/>
      <c r="J3" s="466" t="s">
        <v>7</v>
      </c>
      <c r="K3" s="464"/>
      <c r="L3" s="465"/>
      <c r="M3" s="466" t="s">
        <v>213</v>
      </c>
      <c r="N3" s="465"/>
      <c r="O3" s="463" t="s">
        <v>8</v>
      </c>
      <c r="P3" s="464"/>
      <c r="Q3" s="465"/>
      <c r="R3" s="470" t="s">
        <v>214</v>
      </c>
      <c r="S3" s="471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3032403.5950516532</v>
      </c>
      <c r="G5" s="23"/>
      <c r="H5" s="21"/>
      <c r="I5" s="24"/>
      <c r="J5" s="23"/>
      <c r="K5" s="25"/>
      <c r="L5" s="22">
        <v>2814437.6399999997</v>
      </c>
      <c r="M5" s="26"/>
      <c r="N5" s="27"/>
      <c r="O5" s="23"/>
      <c r="P5" s="25"/>
      <c r="Q5" s="22">
        <v>2399882.7000000002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10</v>
      </c>
      <c r="E6" s="30">
        <f>IF(D6=0,0,F6/D6)</f>
        <v>5144.9382716049386</v>
      </c>
      <c r="F6" s="30">
        <v>51449.382716049382</v>
      </c>
      <c r="G6" s="31"/>
      <c r="H6" s="30"/>
      <c r="I6" s="30"/>
      <c r="J6" s="31">
        <v>13</v>
      </c>
      <c r="K6" s="30">
        <f>IF(J6=0,0,L6/J6)</f>
        <v>5336.7323076923158</v>
      </c>
      <c r="L6" s="32">
        <v>69377.520000000106</v>
      </c>
      <c r="M6" s="31">
        <f t="shared" ref="M6:M12" si="2">J6-D6</f>
        <v>3</v>
      </c>
      <c r="N6" s="33">
        <f t="shared" ref="N6:N12" si="3">L6-F6</f>
        <v>17928.137283950724</v>
      </c>
      <c r="O6" s="31">
        <v>9</v>
      </c>
      <c r="P6" s="30">
        <f t="shared" ref="P6:P12" si="4">IF(O6=0,0,Q6/O6)</f>
        <v>6333.3722222222104</v>
      </c>
      <c r="Q6" s="32">
        <v>57000.349999999897</v>
      </c>
      <c r="R6" s="31">
        <f>J6-O6</f>
        <v>4</v>
      </c>
      <c r="S6" s="34">
        <f>L6-Q6</f>
        <v>12377.170000000209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19</v>
      </c>
      <c r="E7" s="30">
        <f t="shared" ref="E7:E12" si="5">IF(D7=0,0,F7/D7)</f>
        <v>5386.4238410596026</v>
      </c>
      <c r="F7" s="30">
        <v>102342.05298013244</v>
      </c>
      <c r="G7" s="31"/>
      <c r="H7" s="30"/>
      <c r="I7" s="30"/>
      <c r="J7" s="31">
        <v>12</v>
      </c>
      <c r="K7" s="30">
        <f t="shared" ref="K7:K12" si="6">IF(J7=0,0,L7/J7)</f>
        <v>4634.9200000000083</v>
      </c>
      <c r="L7" s="32">
        <v>55619.040000000095</v>
      </c>
      <c r="M7" s="31">
        <f t="shared" si="2"/>
        <v>-7</v>
      </c>
      <c r="N7" s="33">
        <f t="shared" si="3"/>
        <v>-46723.012980132349</v>
      </c>
      <c r="O7" s="31">
        <v>14</v>
      </c>
      <c r="P7" s="30">
        <f t="shared" si="4"/>
        <v>6103.6800000000076</v>
      </c>
      <c r="Q7" s="32">
        <v>85451.520000000106</v>
      </c>
      <c r="R7" s="31">
        <f t="shared" ref="R7:R12" si="7">J7-O7</f>
        <v>-2</v>
      </c>
      <c r="S7" s="34">
        <f t="shared" ref="S7:S12" si="8">L7-Q7</f>
        <v>-29832.48000000001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91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29</v>
      </c>
      <c r="E13" s="36">
        <f>IF(D13&lt;=0,0,F13/D13)</f>
        <v>5303.1529550407531</v>
      </c>
      <c r="F13" s="37">
        <f>+SUM(F6:F12)</f>
        <v>153791.43569618184</v>
      </c>
      <c r="G13" s="38"/>
      <c r="H13" s="36"/>
      <c r="I13" s="37"/>
      <c r="J13" s="38">
        <f>+SUM(J6:J12)</f>
        <v>25</v>
      </c>
      <c r="K13" s="36">
        <f>IF(J13&lt;=0,0,L13/J13)</f>
        <v>4999.8624000000082</v>
      </c>
      <c r="L13" s="37">
        <f>+SUM(L6:L12)</f>
        <v>124996.5600000002</v>
      </c>
      <c r="M13" s="38">
        <f>+SUM(M6:M12)</f>
        <v>-4</v>
      </c>
      <c r="N13" s="37">
        <f t="shared" ref="N13" si="10">+SUM(N6:N12)</f>
        <v>-28794.875696181625</v>
      </c>
      <c r="O13" s="38">
        <f>+SUM(O6:O12)</f>
        <v>23</v>
      </c>
      <c r="P13" s="36">
        <f>IF(O13&lt;=0,0,Q13/O13)</f>
        <v>6193.5595652173915</v>
      </c>
      <c r="Q13" s="37">
        <f t="shared" ref="Q13" si="11">+SUM(Q6:Q12)</f>
        <v>142451.87</v>
      </c>
      <c r="R13" s="38">
        <f>+SUM(R6:R12)</f>
        <v>2</v>
      </c>
      <c r="S13" s="39">
        <f>+SUM(S6:S12)</f>
        <v>-17455.309999999801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-0.13793103448275862</v>
      </c>
      <c r="N14" s="43">
        <f>IF(F13=0,0,N13/F13)</f>
        <v>-0.18723328490844249</v>
      </c>
      <c r="O14" s="41"/>
      <c r="P14" s="30"/>
      <c r="Q14" s="40"/>
      <c r="R14" s="42">
        <f>R13/O13</f>
        <v>8.6956521739130432E-2</v>
      </c>
      <c r="S14" s="44">
        <f>IF(Q13=0,0,(S13/Q13))</f>
        <v>-0.12253479017158428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</v>
      </c>
      <c r="E15" s="25">
        <f>IF(D15=0,0,F15/D15)</f>
        <v>2500</v>
      </c>
      <c r="F15" s="22">
        <v>7500</v>
      </c>
      <c r="G15" s="46"/>
      <c r="H15" s="47"/>
      <c r="I15" s="48"/>
      <c r="J15" s="49">
        <v>5</v>
      </c>
      <c r="K15" s="50">
        <f>IF(J15=0,0,L15/J15)</f>
        <v>3098.8780000000029</v>
      </c>
      <c r="L15" s="50">
        <v>15494.390000000014</v>
      </c>
      <c r="M15" s="51">
        <f>J15-D15</f>
        <v>2</v>
      </c>
      <c r="N15" s="48">
        <f>L15-F15</f>
        <v>7994.390000000014</v>
      </c>
      <c r="O15" s="49">
        <v>0</v>
      </c>
      <c r="P15" s="50">
        <f>IF(O15=0,0,Q15/O15)</f>
        <v>0</v>
      </c>
      <c r="Q15" s="50">
        <v>0</v>
      </c>
      <c r="R15" s="51">
        <f>J15-O15</f>
        <v>5</v>
      </c>
      <c r="S15" s="52">
        <f>L15-Q15</f>
        <v>15494.390000000014</v>
      </c>
      <c r="T15" s="13"/>
      <c r="U15" s="13"/>
      <c r="V15" s="11"/>
      <c r="W15" s="474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1</v>
      </c>
      <c r="E17" s="30">
        <f>IF(D17=0,0,F17/D17)</f>
        <v>2500</v>
      </c>
      <c r="F17" s="30">
        <v>2500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-1</v>
      </c>
      <c r="N17" s="33">
        <f>L17-F17</f>
        <v>-2500</v>
      </c>
      <c r="O17" s="51">
        <v>1</v>
      </c>
      <c r="P17" s="30">
        <f>IF(O17=0,0,Q17/O17)</f>
        <v>5638.25</v>
      </c>
      <c r="Q17" s="33">
        <v>5638.25</v>
      </c>
      <c r="R17" s="31">
        <f>J17-O17</f>
        <v>-1</v>
      </c>
      <c r="S17" s="34">
        <f>L17-Q17</f>
        <v>-5638.25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5546.8032115753886</v>
      </c>
      <c r="G19" s="31"/>
      <c r="H19" s="30"/>
      <c r="I19" s="30"/>
      <c r="J19" s="46"/>
      <c r="K19" s="30"/>
      <c r="L19" s="33">
        <v>3495.3899999999994</v>
      </c>
      <c r="M19" s="31"/>
      <c r="N19" s="33">
        <f>L19-F19</f>
        <v>-2051.4132115753891</v>
      </c>
      <c r="O19" s="46"/>
      <c r="P19" s="30"/>
      <c r="Q19" s="33">
        <v>8990.9200000000092</v>
      </c>
      <c r="R19" s="31">
        <f>O19-K19</f>
        <v>0</v>
      </c>
      <c r="S19" s="34">
        <f>L19-Q19</f>
        <v>-5495.5300000000097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2720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-2720</v>
      </c>
      <c r="O21" s="31"/>
      <c r="P21" s="30"/>
      <c r="Q21" s="33">
        <v>1100</v>
      </c>
      <c r="R21" s="31">
        <f>O21-K21</f>
        <v>0</v>
      </c>
      <c r="S21" s="34">
        <f>L21-Q21</f>
        <v>-1100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32640</v>
      </c>
      <c r="G22" s="41"/>
      <c r="H22" s="30"/>
      <c r="I22" s="30"/>
      <c r="J22" s="31"/>
      <c r="K22" s="30">
        <f>IF(J13=0,0,L22/(J13+J15))</f>
        <v>1293.3413333333335</v>
      </c>
      <c r="L22" s="33">
        <v>38800.240000000005</v>
      </c>
      <c r="M22" s="31"/>
      <c r="N22" s="33">
        <f>L22-F22</f>
        <v>6160.2400000000052</v>
      </c>
      <c r="O22" s="31"/>
      <c r="P22" s="30"/>
      <c r="Q22" s="33">
        <v>32302.3299999999</v>
      </c>
      <c r="R22" s="31">
        <f>O22-K22</f>
        <v>-1293.3413333333335</v>
      </c>
      <c r="S22" s="34">
        <f>L22-Q22</f>
        <v>6497.9100000001054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15840</v>
      </c>
      <c r="G23" s="41"/>
      <c r="H23" s="30"/>
      <c r="I23" s="30"/>
      <c r="J23" s="31"/>
      <c r="K23" s="30">
        <f>IF(J13=0,0,L23/(J13+J15))</f>
        <v>448.63466666666676</v>
      </c>
      <c r="L23" s="33">
        <v>13459.040000000003</v>
      </c>
      <c r="M23" s="51"/>
      <c r="N23" s="33">
        <f>L23-F23</f>
        <v>-2380.9599999999973</v>
      </c>
      <c r="O23" s="31"/>
      <c r="P23" s="30"/>
      <c r="Q23" s="33">
        <v>10404.949999999901</v>
      </c>
      <c r="R23" s="31">
        <f>O23-K23</f>
        <v>-448.63466666666676</v>
      </c>
      <c r="S23" s="34">
        <f>L23-Q23</f>
        <v>3054.090000000102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32</v>
      </c>
      <c r="E24" s="36">
        <f>IF(D24&lt;=0,0,F24/D24)</f>
        <v>1600</v>
      </c>
      <c r="F24" s="37">
        <f>F21+F22+F23</f>
        <v>51200</v>
      </c>
      <c r="G24" s="38"/>
      <c r="H24" s="36"/>
      <c r="I24" s="37"/>
      <c r="J24" s="38">
        <f>+J15+J13</f>
        <v>30</v>
      </c>
      <c r="K24" s="36">
        <f>IF(J24&lt;=0,0,L24/J24)</f>
        <v>1741.9760000000001</v>
      </c>
      <c r="L24" s="37">
        <f>L21+L22+L23</f>
        <v>52259.280000000006</v>
      </c>
      <c r="M24" s="58">
        <f>J24-D24</f>
        <v>-2</v>
      </c>
      <c r="N24" s="37">
        <f>L24-F24</f>
        <v>1059.2800000000061</v>
      </c>
      <c r="O24" s="38">
        <f>+O15+O13</f>
        <v>23</v>
      </c>
      <c r="P24" s="36">
        <f>IF(O24&lt;=0,0,Q24/O24)</f>
        <v>1904.6643478260783</v>
      </c>
      <c r="Q24" s="37">
        <f>Q21+Q22+Q23</f>
        <v>43807.279999999802</v>
      </c>
      <c r="R24" s="56"/>
      <c r="S24" s="39">
        <f>L24-Q24</f>
        <v>8452.0000000002037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2.0689062500000119E-2</v>
      </c>
      <c r="O25" s="41"/>
      <c r="P25" s="13"/>
      <c r="Q25" s="59"/>
      <c r="R25" s="60"/>
      <c r="S25" s="44">
        <f>IF(Q24=0,0,(S24/Q24))</f>
        <v>0.19293596863352944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33</v>
      </c>
      <c r="E27" s="64">
        <f>IF(D27&lt;=0,0,F27/D27)</f>
        <v>6682.9769365987031</v>
      </c>
      <c r="F27" s="65">
        <f>F13+F17+F24+F19+F15</f>
        <v>220538.23890775722</v>
      </c>
      <c r="G27" s="66"/>
      <c r="H27" s="67"/>
      <c r="I27" s="65"/>
      <c r="J27" s="66">
        <f>+J13+J15+J17</f>
        <v>30</v>
      </c>
      <c r="K27" s="67">
        <f>IF(J27&lt;=0,0,L27/J27)</f>
        <v>6541.5206666666745</v>
      </c>
      <c r="L27" s="65">
        <f>L13+L17+L24+L19+L15</f>
        <v>196245.62000000023</v>
      </c>
      <c r="M27" s="66">
        <f>J27-D27</f>
        <v>-3</v>
      </c>
      <c r="N27" s="65">
        <f>L27-F27</f>
        <v>-24292.618907756987</v>
      </c>
      <c r="O27" s="66">
        <f>+O13+O15+O17</f>
        <v>24</v>
      </c>
      <c r="P27" s="67">
        <f>IF(O27&lt;=0,0,Q27/O27)</f>
        <v>8370.3466666666591</v>
      </c>
      <c r="Q27" s="65">
        <f>Q13+Q17+Q24+Q19+Q15</f>
        <v>200888.3199999998</v>
      </c>
      <c r="R27" s="66">
        <f>J27-O27</f>
        <v>6</v>
      </c>
      <c r="S27" s="68">
        <f>L27-Q27</f>
        <v>-4642.6999999995751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-9.0909090909090912E-2</v>
      </c>
      <c r="N28" s="74">
        <f>N27/F27</f>
        <v>-0.110151504918463</v>
      </c>
      <c r="O28" s="72"/>
      <c r="P28" s="70"/>
      <c r="Q28" s="71"/>
      <c r="R28" s="73">
        <f>R27/O27</f>
        <v>0.25</v>
      </c>
      <c r="S28" s="75">
        <f>IF(Q27=0,0,S27/Q27)</f>
        <v>-2.3110850844885254E-2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0.29022397761408575</v>
      </c>
      <c r="E31" s="82">
        <f t="shared" ref="E31:E36" si="12">F31/D$24</f>
        <v>1462.8325632135134</v>
      </c>
      <c r="F31" s="30">
        <v>46810.642022832428</v>
      </c>
      <c r="G31" s="157"/>
      <c r="H31" s="82"/>
      <c r="I31" s="30"/>
      <c r="J31" s="157">
        <f>L31/(L13+L15)</f>
        <v>0.26502027354786867</v>
      </c>
      <c r="K31" s="82">
        <f t="shared" ref="K31:K36" si="13">IF(L31=0,0,L31/J$24)</f>
        <v>1241.0983333333331</v>
      </c>
      <c r="L31" s="30">
        <v>37232.949999999997</v>
      </c>
      <c r="M31" s="41"/>
      <c r="N31" s="59">
        <f t="shared" ref="N31:N53" si="14">L31-F31</f>
        <v>-9577.6920228324307</v>
      </c>
      <c r="O31" s="157">
        <f>Q31/(Q13+Q15+Q17)</f>
        <v>0.27882643352574771</v>
      </c>
      <c r="P31" s="82">
        <f t="shared" ref="P31:P40" si="15">Q31/O$24</f>
        <v>1795.2800000000002</v>
      </c>
      <c r="Q31" s="33">
        <v>41291.440000000002</v>
      </c>
      <c r="R31" s="41"/>
      <c r="S31" s="85">
        <f t="shared" ref="S31:S41" si="16">L31-Q31</f>
        <v>-4058.4900000000052</v>
      </c>
      <c r="T31" s="13"/>
      <c r="U31" s="13"/>
      <c r="V31" s="11" t="s">
        <v>216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0.25</v>
      </c>
      <c r="E32" s="88">
        <f t="shared" si="12"/>
        <v>400</v>
      </c>
      <c r="F32" s="22">
        <v>12800</v>
      </c>
      <c r="G32" s="162"/>
      <c r="H32" s="90"/>
      <c r="I32" s="22"/>
      <c r="J32" s="162">
        <f>L32/L24</f>
        <v>0.40734219836170721</v>
      </c>
      <c r="K32" s="88">
        <f t="shared" si="13"/>
        <v>709.58033333333333</v>
      </c>
      <c r="L32" s="22">
        <v>21287.41</v>
      </c>
      <c r="M32" s="23"/>
      <c r="N32" s="91">
        <f t="shared" si="14"/>
        <v>8487.41</v>
      </c>
      <c r="O32" s="162">
        <f>Q32/Q24</f>
        <v>0.24755200505486871</v>
      </c>
      <c r="P32" s="88">
        <f t="shared" si="15"/>
        <v>471.50347826086954</v>
      </c>
      <c r="Q32" s="22">
        <v>10844.58</v>
      </c>
      <c r="R32" s="23"/>
      <c r="S32" s="92">
        <f t="shared" si="16"/>
        <v>10442.83</v>
      </c>
      <c r="T32" s="13"/>
      <c r="U32" s="13"/>
      <c r="V32" s="11" t="s">
        <v>217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2"/>
        <v>100</v>
      </c>
      <c r="F33" s="30">
        <v>3200</v>
      </c>
      <c r="G33" s="83"/>
      <c r="H33" s="82"/>
      <c r="I33" s="30"/>
      <c r="J33" s="41"/>
      <c r="K33" s="82">
        <f t="shared" si="13"/>
        <v>73.194666666666677</v>
      </c>
      <c r="L33" s="30">
        <v>2195.84</v>
      </c>
      <c r="M33" s="41"/>
      <c r="N33" s="59">
        <f t="shared" si="14"/>
        <v>-1004.1599999999999</v>
      </c>
      <c r="O33" s="41"/>
      <c r="P33" s="82">
        <f t="shared" si="15"/>
        <v>88.415217391304353</v>
      </c>
      <c r="Q33" s="33">
        <v>2033.55</v>
      </c>
      <c r="R33" s="41"/>
      <c r="S33" s="85">
        <f t="shared" si="16"/>
        <v>162.29000000000019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2"/>
        <v>45</v>
      </c>
      <c r="F34" s="30">
        <v>1440</v>
      </c>
      <c r="G34" s="83"/>
      <c r="H34" s="82"/>
      <c r="I34" s="30"/>
      <c r="J34" s="41"/>
      <c r="K34" s="82">
        <f t="shared" si="13"/>
        <v>26.899000000000001</v>
      </c>
      <c r="L34" s="30">
        <v>806.97</v>
      </c>
      <c r="M34" s="41"/>
      <c r="N34" s="59">
        <f t="shared" si="14"/>
        <v>-633.03</v>
      </c>
      <c r="O34" s="41"/>
      <c r="P34" s="82">
        <f t="shared" si="15"/>
        <v>32.10478260869565</v>
      </c>
      <c r="Q34" s="33">
        <v>738.41</v>
      </c>
      <c r="R34" s="41"/>
      <c r="S34" s="85">
        <f t="shared" si="16"/>
        <v>68.560000000000059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2"/>
        <v>44.6875</v>
      </c>
      <c r="F35" s="22">
        <v>1430</v>
      </c>
      <c r="G35" s="89"/>
      <c r="H35" s="90"/>
      <c r="I35" s="22"/>
      <c r="J35" s="23"/>
      <c r="K35" s="88">
        <f t="shared" si="13"/>
        <v>62.396000000000001</v>
      </c>
      <c r="L35" s="22">
        <v>1871.88</v>
      </c>
      <c r="M35" s="23"/>
      <c r="N35" s="91">
        <f t="shared" si="14"/>
        <v>441.88000000000011</v>
      </c>
      <c r="O35" s="23"/>
      <c r="P35" s="88">
        <f t="shared" si="15"/>
        <v>25.156521739130437</v>
      </c>
      <c r="Q35" s="33">
        <v>578.6</v>
      </c>
      <c r="R35" s="23"/>
      <c r="S35" s="92">
        <f t="shared" si="16"/>
        <v>1293.2800000000002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2"/>
        <v>496.609375</v>
      </c>
      <c r="F36" s="30">
        <v>15891.5</v>
      </c>
      <c r="G36" s="83"/>
      <c r="H36" s="82"/>
      <c r="I36" s="30"/>
      <c r="J36" s="41"/>
      <c r="K36" s="82">
        <f t="shared" si="13"/>
        <v>512.11266666666666</v>
      </c>
      <c r="L36" s="475">
        <v>15363.380000000001</v>
      </c>
      <c r="M36" s="13"/>
      <c r="N36" s="59">
        <f t="shared" si="14"/>
        <v>-528.11999999999898</v>
      </c>
      <c r="O36" s="41"/>
      <c r="P36" s="82">
        <f t="shared" si="15"/>
        <v>727.05478260869563</v>
      </c>
      <c r="Q36" s="55">
        <v>16722.259999999998</v>
      </c>
      <c r="R36" s="41"/>
      <c r="S36" s="85">
        <f t="shared" si="16"/>
        <v>-1358.8799999999974</v>
      </c>
      <c r="T36" s="13"/>
      <c r="U36" s="13"/>
      <c r="V36" s="11">
        <v>15363</v>
      </c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960.50061051781245</v>
      </c>
      <c r="F37" s="30">
        <v>30736.019536569998</v>
      </c>
      <c r="G37" s="83"/>
      <c r="H37" s="82"/>
      <c r="I37" s="30"/>
      <c r="J37" s="41"/>
      <c r="K37" s="82">
        <f>IF(L37=0,0,L37/J$24)</f>
        <v>1210.5003333333334</v>
      </c>
      <c r="L37" s="476">
        <v>36315.01</v>
      </c>
      <c r="M37" s="13"/>
      <c r="N37" s="59">
        <f t="shared" si="14"/>
        <v>5578.9904634300037</v>
      </c>
      <c r="O37" s="41"/>
      <c r="P37" s="82">
        <f t="shared" si="15"/>
        <v>227.60826086956521</v>
      </c>
      <c r="Q37" s="33">
        <v>5234.99</v>
      </c>
      <c r="R37" s="41"/>
      <c r="S37" s="85">
        <f>L37-Q37</f>
        <v>31080.020000000004</v>
      </c>
      <c r="T37" s="13"/>
      <c r="U37" s="13"/>
      <c r="V37" s="474">
        <v>36315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76">
        <v>0</v>
      </c>
      <c r="M38" s="13"/>
      <c r="N38" s="59">
        <f t="shared" si="14"/>
        <v>0</v>
      </c>
      <c r="O38" s="41"/>
      <c r="P38" s="82">
        <f t="shared" si="15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76">
        <v>0</v>
      </c>
      <c r="M39" s="13"/>
      <c r="N39" s="59">
        <f t="shared" si="14"/>
        <v>0</v>
      </c>
      <c r="O39" s="41"/>
      <c r="P39" s="82">
        <f t="shared" si="15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119" si="17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77">
        <v>0</v>
      </c>
      <c r="M40" s="13"/>
      <c r="N40" s="59">
        <f t="shared" si="14"/>
        <v>0</v>
      </c>
      <c r="O40" s="41"/>
      <c r="P40" s="82">
        <f t="shared" si="15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7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0.50924575309761433</v>
      </c>
      <c r="F41" s="96">
        <f>SUM(F31:F40)</f>
        <v>112308.16155940242</v>
      </c>
      <c r="G41" s="97"/>
      <c r="H41" s="95"/>
      <c r="I41" s="96"/>
      <c r="J41" s="97" t="s">
        <v>38</v>
      </c>
      <c r="K41" s="95">
        <f>L41/L$27</f>
        <v>0.58637456469092086</v>
      </c>
      <c r="L41" s="96">
        <f>SUM(L31:L40)</f>
        <v>115073.44</v>
      </c>
      <c r="M41" s="98"/>
      <c r="N41" s="96">
        <f t="shared" si="14"/>
        <v>2765.2784405975835</v>
      </c>
      <c r="O41" s="97" t="s">
        <v>38</v>
      </c>
      <c r="P41" s="95">
        <f>Q41/Q$27</f>
        <v>0.38550688263011057</v>
      </c>
      <c r="Q41" s="99">
        <f>SUM(Q31:Q40)</f>
        <v>77443.830000000016</v>
      </c>
      <c r="R41" s="100"/>
      <c r="S41" s="101">
        <f t="shared" ref="S41:S51" si="18">L41-Q41</f>
        <v>37629.609999999986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7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12551.695547073792</v>
      </c>
      <c r="G42" s="41"/>
      <c r="H42" s="13"/>
      <c r="I42" s="30"/>
      <c r="J42" s="41"/>
      <c r="K42" s="13"/>
      <c r="L42" s="33">
        <v>12302.2</v>
      </c>
      <c r="M42" s="41"/>
      <c r="N42" s="59">
        <f t="shared" si="14"/>
        <v>-249.49554707379139</v>
      </c>
      <c r="O42" s="41"/>
      <c r="P42" s="13"/>
      <c r="Q42" s="33">
        <v>13604.22</v>
      </c>
      <c r="R42" s="41"/>
      <c r="S42" s="85">
        <f t="shared" si="18"/>
        <v>-1302.0199999999986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7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8725.6839694656483</v>
      </c>
      <c r="G43" s="83"/>
      <c r="H43" s="13"/>
      <c r="I43" s="22"/>
      <c r="J43" s="41"/>
      <c r="K43" s="13"/>
      <c r="L43" s="33">
        <v>8037.27</v>
      </c>
      <c r="M43" s="41"/>
      <c r="N43" s="59">
        <f t="shared" si="14"/>
        <v>-688.41396946564782</v>
      </c>
      <c r="O43" s="41"/>
      <c r="P43" s="13"/>
      <c r="Q43" s="33">
        <v>6649.17</v>
      </c>
      <c r="R43" s="41"/>
      <c r="S43" s="85">
        <f t="shared" si="18"/>
        <v>1388.1000000000004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7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4"/>
        <v>0</v>
      </c>
      <c r="O44" s="107"/>
      <c r="P44" s="105"/>
      <c r="Q44" s="108">
        <v>342</v>
      </c>
      <c r="R44" s="107"/>
      <c r="S44" s="110">
        <f t="shared" si="18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7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4"/>
        <v>0</v>
      </c>
      <c r="O45" s="41"/>
      <c r="P45" s="13"/>
      <c r="Q45" s="33">
        <v>0</v>
      </c>
      <c r="R45" s="41"/>
      <c r="S45" s="85">
        <f t="shared" si="18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4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4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4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128" si="19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9076.1105071423463</v>
      </c>
      <c r="G49" s="83"/>
      <c r="H49" s="13"/>
      <c r="I49" s="22"/>
      <c r="J49" s="41"/>
      <c r="K49" s="13"/>
      <c r="L49" s="22">
        <v>4466.22</v>
      </c>
      <c r="M49" s="41"/>
      <c r="N49" s="59">
        <f t="shared" si="14"/>
        <v>-4609.890507142346</v>
      </c>
      <c r="O49" s="41"/>
      <c r="P49" s="13"/>
      <c r="Q49" s="22">
        <v>5562.25</v>
      </c>
      <c r="R49" s="41"/>
      <c r="S49" s="85">
        <f t="shared" ref="S49:S60" si="20">L49-Q49</f>
        <v>-1096.0299999999997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9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11970.580661415643</v>
      </c>
      <c r="G50" s="106"/>
      <c r="H50" s="105"/>
      <c r="I50" s="30"/>
      <c r="J50" s="107"/>
      <c r="K50" s="105"/>
      <c r="L50" s="33">
        <v>10796.69</v>
      </c>
      <c r="M50" s="107"/>
      <c r="N50" s="109">
        <f t="shared" si="14"/>
        <v>-1173.8906614156422</v>
      </c>
      <c r="O50" s="107"/>
      <c r="P50" s="105"/>
      <c r="Q50" s="33">
        <v>10343.44</v>
      </c>
      <c r="R50" s="107"/>
      <c r="S50" s="110">
        <f t="shared" si="20"/>
        <v>453.25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9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5457.1764779983077</v>
      </c>
      <c r="G51" s="83"/>
      <c r="H51" s="13"/>
      <c r="I51" s="30"/>
      <c r="J51" s="41"/>
      <c r="K51" s="13"/>
      <c r="L51" s="33">
        <v>4198.83</v>
      </c>
      <c r="M51" s="41"/>
      <c r="N51" s="59">
        <f t="shared" si="14"/>
        <v>-1258.3464779983078</v>
      </c>
      <c r="O51" s="41"/>
      <c r="P51" s="13"/>
      <c r="Q51" s="33">
        <v>3409.51</v>
      </c>
      <c r="R51" s="41"/>
      <c r="S51" s="85">
        <f t="shared" si="20"/>
        <v>789.31999999999971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9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1232.2656563221985</v>
      </c>
      <c r="G52" s="83"/>
      <c r="H52" s="13"/>
      <c r="I52" s="30"/>
      <c r="J52" s="41"/>
      <c r="K52" s="13"/>
      <c r="L52" s="33">
        <v>1249.8</v>
      </c>
      <c r="M52" s="41"/>
      <c r="N52" s="59">
        <f t="shared" si="14"/>
        <v>17.534343677801417</v>
      </c>
      <c r="O52" s="41"/>
      <c r="P52" s="13"/>
      <c r="Q52" s="33">
        <v>900.84</v>
      </c>
      <c r="R52" s="41"/>
      <c r="S52" s="85">
        <f t="shared" si="20"/>
        <v>348.95999999999992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9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4"/>
        <v>0</v>
      </c>
      <c r="O53" s="23"/>
      <c r="P53" s="111"/>
      <c r="Q53" s="33">
        <v>0</v>
      </c>
      <c r="R53" s="23"/>
      <c r="S53" s="92">
        <f t="shared" si="20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9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0.22379571481053437</v>
      </c>
      <c r="F54" s="96">
        <f>+SUM(F42:F53)</f>
        <v>49355.512819417927</v>
      </c>
      <c r="G54" s="97"/>
      <c r="H54" s="95"/>
      <c r="I54" s="96"/>
      <c r="J54" s="97" t="s">
        <v>38</v>
      </c>
      <c r="K54" s="95">
        <f>L54/L$27</f>
        <v>0.21092450369083376</v>
      </c>
      <c r="L54" s="96">
        <f>+SUM(L42:L53)</f>
        <v>41393.010000000009</v>
      </c>
      <c r="M54" s="100"/>
      <c r="N54" s="96">
        <f>+SUM(N42:N53)</f>
        <v>-7962.502819417934</v>
      </c>
      <c r="O54" s="97" t="s">
        <v>38</v>
      </c>
      <c r="P54" s="95">
        <f>Q54/Q$27</f>
        <v>0.20315481756231543</v>
      </c>
      <c r="Q54" s="96">
        <f>+SUM(Q42:Q53)</f>
        <v>40811.43</v>
      </c>
      <c r="R54" s="100"/>
      <c r="S54" s="101">
        <f>+SUM(S42:S53)</f>
        <v>581.58000000000163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9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21">L55-F55</f>
        <v>0</v>
      </c>
      <c r="O55" s="41"/>
      <c r="P55" s="13"/>
      <c r="Q55" s="33">
        <v>0</v>
      </c>
      <c r="R55" s="41"/>
      <c r="S55" s="85">
        <f t="shared" ref="S55:S71" si="22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9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21"/>
        <v>0</v>
      </c>
      <c r="O56" s="41"/>
      <c r="P56" s="13"/>
      <c r="Q56" s="33">
        <v>0</v>
      </c>
      <c r="R56" s="41"/>
      <c r="S56" s="85">
        <f t="shared" si="22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9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5080.0833333333339</v>
      </c>
      <c r="G57" s="89"/>
      <c r="H57" s="111"/>
      <c r="I57" s="22"/>
      <c r="J57" s="23"/>
      <c r="K57" s="111"/>
      <c r="L57" s="22">
        <v>4993.4399999999996</v>
      </c>
      <c r="M57" s="23"/>
      <c r="N57" s="91">
        <f t="shared" si="21"/>
        <v>-86.64333333333434</v>
      </c>
      <c r="O57" s="23"/>
      <c r="P57" s="111"/>
      <c r="Q57" s="22">
        <v>3938.31</v>
      </c>
      <c r="R57" s="23"/>
      <c r="S57" s="92">
        <f t="shared" si="22"/>
        <v>1055.1299999999997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9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4993.05</v>
      </c>
      <c r="G58" s="83"/>
      <c r="H58" s="13"/>
      <c r="I58" s="30"/>
      <c r="J58" s="41"/>
      <c r="K58" s="13"/>
      <c r="L58" s="33">
        <v>4537.54</v>
      </c>
      <c r="M58" s="41"/>
      <c r="N58" s="59">
        <f t="shared" si="21"/>
        <v>-455.51000000000022</v>
      </c>
      <c r="O58" s="41"/>
      <c r="P58" s="13"/>
      <c r="Q58" s="33">
        <v>4620.97</v>
      </c>
      <c r="R58" s="41"/>
      <c r="S58" s="85">
        <f t="shared" si="22"/>
        <v>-83.430000000000291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9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822.6</v>
      </c>
      <c r="G59" s="83"/>
      <c r="H59" s="13"/>
      <c r="I59" s="30"/>
      <c r="J59" s="41"/>
      <c r="K59" s="13"/>
      <c r="L59" s="33">
        <v>1481.23</v>
      </c>
      <c r="M59" s="41"/>
      <c r="N59" s="59">
        <f t="shared" si="21"/>
        <v>658.63</v>
      </c>
      <c r="O59" s="41"/>
      <c r="P59" s="13"/>
      <c r="Q59" s="33">
        <v>524.23</v>
      </c>
      <c r="R59" s="41"/>
      <c r="S59" s="85">
        <f t="shared" si="22"/>
        <v>957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9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2754.4500000000003</v>
      </c>
      <c r="G60" s="89"/>
      <c r="H60" s="111"/>
      <c r="I60" s="22"/>
      <c r="J60" s="23"/>
      <c r="K60" s="111"/>
      <c r="L60" s="22">
        <v>3008.26</v>
      </c>
      <c r="M60" s="23"/>
      <c r="N60" s="91">
        <f t="shared" si="21"/>
        <v>253.80999999999995</v>
      </c>
      <c r="O60" s="23"/>
      <c r="P60" s="111"/>
      <c r="Q60" s="22">
        <v>3346.33</v>
      </c>
      <c r="R60" s="23"/>
      <c r="S60" s="92">
        <f t="shared" si="22"/>
        <v>-338.06999999999971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9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100</v>
      </c>
      <c r="G61" s="83"/>
      <c r="H61" s="13"/>
      <c r="I61" s="30"/>
      <c r="J61" s="41"/>
      <c r="K61" s="13"/>
      <c r="L61" s="33">
        <v>2.4900000000000002</v>
      </c>
      <c r="M61" s="41"/>
      <c r="N61" s="59">
        <f t="shared" si="21"/>
        <v>-97.51</v>
      </c>
      <c r="O61" s="41"/>
      <c r="P61" s="13"/>
      <c r="Q61" s="33">
        <v>20.69</v>
      </c>
      <c r="R61" s="41"/>
      <c r="S61" s="85">
        <f t="shared" si="22"/>
        <v>-18.200000000000003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9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15</v>
      </c>
      <c r="G62" s="83"/>
      <c r="H62" s="13"/>
      <c r="I62" s="30"/>
      <c r="J62" s="41"/>
      <c r="K62" s="13"/>
      <c r="L62" s="33">
        <v>0</v>
      </c>
      <c r="M62" s="41"/>
      <c r="N62" s="59">
        <f t="shared" si="21"/>
        <v>-15</v>
      </c>
      <c r="O62" s="41"/>
      <c r="P62" s="13"/>
      <c r="Q62" s="33">
        <v>83.14</v>
      </c>
      <c r="R62" s="41"/>
      <c r="S62" s="85">
        <f t="shared" si="22"/>
        <v>-83.14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9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787.5</v>
      </c>
      <c r="G63" s="83"/>
      <c r="H63" s="13"/>
      <c r="I63" s="30"/>
      <c r="J63" s="41"/>
      <c r="K63" s="13"/>
      <c r="L63" s="32">
        <v>431.9</v>
      </c>
      <c r="M63" s="41"/>
      <c r="N63" s="59">
        <f t="shared" si="21"/>
        <v>-355.6</v>
      </c>
      <c r="O63" s="41"/>
      <c r="P63" s="13"/>
      <c r="Q63" s="32">
        <v>578.44000000000005</v>
      </c>
      <c r="R63" s="41"/>
      <c r="S63" s="85">
        <f t="shared" si="22"/>
        <v>-146.54000000000008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9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235.92</v>
      </c>
      <c r="M64" s="41"/>
      <c r="N64" s="59">
        <f t="shared" si="21"/>
        <v>25.519999999999982</v>
      </c>
      <c r="O64" s="41"/>
      <c r="P64" s="13"/>
      <c r="Q64" s="33">
        <v>173.28</v>
      </c>
      <c r="R64" s="41"/>
      <c r="S64" s="85">
        <f t="shared" si="22"/>
        <v>62.639999999999986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9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225</v>
      </c>
      <c r="G65" s="83"/>
      <c r="H65" s="13"/>
      <c r="I65" s="30"/>
      <c r="J65" s="41"/>
      <c r="K65" s="13"/>
      <c r="L65" s="33">
        <v>258.2</v>
      </c>
      <c r="M65" s="41"/>
      <c r="N65" s="59">
        <f t="shared" si="21"/>
        <v>33.199999999999989</v>
      </c>
      <c r="O65" s="41"/>
      <c r="P65" s="13"/>
      <c r="Q65" s="33">
        <v>295.54000000000002</v>
      </c>
      <c r="R65" s="41"/>
      <c r="S65" s="85">
        <f t="shared" si="22"/>
        <v>-37.340000000000032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9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836.1</v>
      </c>
      <c r="G66" s="83"/>
      <c r="H66" s="13"/>
      <c r="I66" s="30"/>
      <c r="J66" s="41"/>
      <c r="K66" s="13"/>
      <c r="L66" s="33">
        <v>832.95</v>
      </c>
      <c r="M66" s="41"/>
      <c r="N66" s="59">
        <f t="shared" si="21"/>
        <v>-3.1499999999999773</v>
      </c>
      <c r="O66" s="41"/>
      <c r="P66" s="13"/>
      <c r="Q66" s="33">
        <v>858.09</v>
      </c>
      <c r="R66" s="41"/>
      <c r="S66" s="85">
        <f t="shared" si="22"/>
        <v>-25.139999999999986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482.16381333333317</v>
      </c>
      <c r="G67" s="83"/>
      <c r="H67" s="13"/>
      <c r="I67" s="30"/>
      <c r="J67" s="41"/>
      <c r="K67" s="13"/>
      <c r="L67" s="59">
        <v>518.23</v>
      </c>
      <c r="M67" s="41"/>
      <c r="N67" s="59">
        <f t="shared" si="21"/>
        <v>36.066186666666852</v>
      </c>
      <c r="O67" s="41"/>
      <c r="P67" s="13"/>
      <c r="Q67" s="33">
        <v>260.10000000000002</v>
      </c>
      <c r="R67" s="41"/>
      <c r="S67" s="85">
        <f>L67-Q67</f>
        <v>258.13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3524.264134770599</v>
      </c>
      <c r="G68" s="83"/>
      <c r="H68" s="13"/>
      <c r="I68" s="30"/>
      <c r="J68" s="41"/>
      <c r="K68" s="13"/>
      <c r="L68" s="32">
        <v>4388.05</v>
      </c>
      <c r="M68" s="41"/>
      <c r="N68" s="59">
        <f t="shared" si="21"/>
        <v>863.78586522940122</v>
      </c>
      <c r="O68" s="41"/>
      <c r="P68" s="13"/>
      <c r="Q68" s="33">
        <v>3314.97</v>
      </c>
      <c r="R68" s="41"/>
      <c r="S68" s="85">
        <f>L68-Q68</f>
        <v>1073.0800000000004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21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149" si="23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21"/>
        <v>0</v>
      </c>
      <c r="O70" s="41"/>
      <c r="P70" s="13"/>
      <c r="Q70" s="33">
        <v>0</v>
      </c>
      <c r="R70" s="41"/>
      <c r="S70" s="85">
        <f t="shared" ref="S70:S86" si="24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3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21"/>
        <v>0</v>
      </c>
      <c r="O71" s="41"/>
      <c r="P71" s="13"/>
      <c r="Q71" s="33">
        <v>0</v>
      </c>
      <c r="R71" s="41"/>
      <c r="S71" s="85">
        <f t="shared" si="24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3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8.9919151343779716E-2</v>
      </c>
      <c r="F72" s="96">
        <f>+SUM(F55:F71)</f>
        <v>19830.611281437268</v>
      </c>
      <c r="G72" s="97"/>
      <c r="H72" s="95"/>
      <c r="I72" s="96"/>
      <c r="J72" s="97" t="s">
        <v>38</v>
      </c>
      <c r="K72" s="95">
        <f>L72/L$27</f>
        <v>0.10541998338612589</v>
      </c>
      <c r="L72" s="96">
        <f>+SUM(L55:L71)</f>
        <v>20688.21</v>
      </c>
      <c r="M72" s="100"/>
      <c r="N72" s="96">
        <f>+SUM(N55:N71)</f>
        <v>857.59871856273344</v>
      </c>
      <c r="O72" s="97" t="s">
        <v>38</v>
      </c>
      <c r="P72" s="95">
        <f>Q72/Q$27</f>
        <v>8.9672162124707008E-2</v>
      </c>
      <c r="Q72" s="96">
        <f>+SUM(Q55:Q71)</f>
        <v>18014.090000000004</v>
      </c>
      <c r="R72" s="100"/>
      <c r="S72" s="101">
        <f>+SUM(S55:S71)</f>
        <v>2674.12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3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3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0.82296061925192843</v>
      </c>
      <c r="F74" s="96">
        <f>F41+F54+F72</f>
        <v>181494.28566025762</v>
      </c>
      <c r="G74" s="97"/>
      <c r="H74" s="95"/>
      <c r="I74" s="96"/>
      <c r="J74" s="97" t="s">
        <v>38</v>
      </c>
      <c r="K74" s="95">
        <f>L74/L$27</f>
        <v>0.90271905176788048</v>
      </c>
      <c r="L74" s="96">
        <f>L41+L54+L72</f>
        <v>177154.66</v>
      </c>
      <c r="M74" s="100"/>
      <c r="N74" s="113">
        <f t="shared" ref="N74:N82" si="25">L74-F74</f>
        <v>-4339.6256602576177</v>
      </c>
      <c r="O74" s="97" t="s">
        <v>38</v>
      </c>
      <c r="P74" s="95">
        <f>Q74/Q$27</f>
        <v>0.67833386231713289</v>
      </c>
      <c r="Q74" s="96">
        <f>Q41+Q54+Q72</f>
        <v>136269.35</v>
      </c>
      <c r="R74" s="100"/>
      <c r="S74" s="114">
        <f>L74-Q74</f>
        <v>40885.31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3"/>
        <v>Véhicules neufsRBSC neuf</v>
      </c>
      <c r="B75" s="11" t="str">
        <f t="shared" si="0"/>
        <v>Véhicules neufs</v>
      </c>
      <c r="C75" s="29" t="s">
        <v>218</v>
      </c>
      <c r="D75" s="81"/>
      <c r="E75" s="13"/>
      <c r="F75" s="30">
        <v>48049.457076923092</v>
      </c>
      <c r="G75" s="83"/>
      <c r="H75" s="13"/>
      <c r="I75" s="30"/>
      <c r="J75" s="41"/>
      <c r="K75" s="13"/>
      <c r="L75" s="32">
        <v>56342.42</v>
      </c>
      <c r="M75" s="41"/>
      <c r="N75" s="59">
        <f t="shared" si="25"/>
        <v>8292.962923076906</v>
      </c>
      <c r="O75" s="41"/>
      <c r="P75" s="13"/>
      <c r="Q75" s="32">
        <v>44091.88</v>
      </c>
      <c r="R75" s="41"/>
      <c r="S75" s="85">
        <f>L75-Q75</f>
        <v>12250.54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>
      <c r="A76" t="str">
        <f t="shared" si="23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5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>
      <c r="A77" t="str">
        <f t="shared" si="23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5"/>
        <v>0</v>
      </c>
      <c r="O77" s="41"/>
      <c r="P77" s="13"/>
      <c r="Q77" s="32">
        <v>0</v>
      </c>
      <c r="R77" s="41"/>
      <c r="S77" s="85">
        <f t="shared" ref="S77:S82" si="26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3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54913.665230769249</v>
      </c>
      <c r="G78" s="83"/>
      <c r="H78" s="13"/>
      <c r="I78" s="30"/>
      <c r="J78" s="41"/>
      <c r="K78" s="13"/>
      <c r="L78" s="33">
        <v>47079</v>
      </c>
      <c r="M78" s="41"/>
      <c r="N78" s="59">
        <f t="shared" si="25"/>
        <v>-7834.6652307692493</v>
      </c>
      <c r="O78" s="41"/>
      <c r="P78" s="13"/>
      <c r="Q78" s="32">
        <v>48030.400000000001</v>
      </c>
      <c r="R78" s="41"/>
      <c r="S78" s="85">
        <f t="shared" si="26"/>
        <v>-951.40000000000146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5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5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5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161" si="27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18849.599999999999</v>
      </c>
      <c r="G82" s="83"/>
      <c r="H82" s="13"/>
      <c r="I82" s="30"/>
      <c r="J82" s="41"/>
      <c r="K82" s="13"/>
      <c r="L82" s="32">
        <v>17850</v>
      </c>
      <c r="M82" s="41"/>
      <c r="N82" s="59">
        <f t="shared" si="25"/>
        <v>-999.59999999999854</v>
      </c>
      <c r="O82" s="41"/>
      <c r="P82" s="13"/>
      <c r="Q82" s="32">
        <v>13685</v>
      </c>
      <c r="R82" s="41"/>
      <c r="S82" s="85">
        <f t="shared" ref="S82:S87" si="28">L82-Q82</f>
        <v>4165</v>
      </c>
      <c r="T82" s="13"/>
      <c r="U82" s="13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7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121812.72230769234</v>
      </c>
      <c r="G83" s="97"/>
      <c r="H83" s="95"/>
      <c r="I83" s="96"/>
      <c r="J83" s="97"/>
      <c r="K83" s="95"/>
      <c r="L83" s="96">
        <f>+SUM(L75:L82)</f>
        <v>121271.42</v>
      </c>
      <c r="M83" s="100"/>
      <c r="N83" s="96">
        <f>+SUM(N75:N82)</f>
        <v>-541.30230769234186</v>
      </c>
      <c r="O83" s="97"/>
      <c r="P83" s="95"/>
      <c r="Q83" s="96">
        <f>+SUM(Q75:Q82)</f>
        <v>105807.28</v>
      </c>
      <c r="R83" s="100"/>
      <c r="S83" s="101">
        <f>+SUM(S75:S82)</f>
        <v>15464.14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7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7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160856.67555519193</v>
      </c>
      <c r="G85" s="128"/>
      <c r="H85" s="126"/>
      <c r="I85" s="127"/>
      <c r="J85" s="128"/>
      <c r="K85" s="125"/>
      <c r="L85" s="127">
        <f>L27-L74+L83</f>
        <v>140362.38000000024</v>
      </c>
      <c r="M85" s="128"/>
      <c r="N85" s="127">
        <f>N27-N41-N54-N72+N83</f>
        <v>-20494.295555191715</v>
      </c>
      <c r="O85" s="128"/>
      <c r="P85" s="125"/>
      <c r="Q85" s="127">
        <f>Q27-Q74+Q83</f>
        <v>170426.2499999998</v>
      </c>
      <c r="R85" s="128"/>
      <c r="S85" s="129">
        <f>S27-S41-S54-S72+S83</f>
        <v>-30063.869999999566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Avril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63" t="s">
        <v>5</v>
      </c>
      <c r="E91" s="464"/>
      <c r="F91" s="465"/>
      <c r="G91" s="466"/>
      <c r="H91" s="464"/>
      <c r="I91" s="465"/>
      <c r="J91" s="466" t="s">
        <v>7</v>
      </c>
      <c r="K91" s="464"/>
      <c r="L91" s="465"/>
      <c r="M91" s="466" t="s">
        <v>213</v>
      </c>
      <c r="N91" s="465"/>
      <c r="O91" s="463" t="s">
        <v>8</v>
      </c>
      <c r="P91" s="464"/>
      <c r="Q91" s="465"/>
      <c r="R91" s="470" t="s">
        <v>214</v>
      </c>
      <c r="S91" s="471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219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9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1661741.3793103448</v>
      </c>
      <c r="G93" s="46"/>
      <c r="H93" s="25"/>
      <c r="I93" s="22"/>
      <c r="J93" s="23"/>
      <c r="K93" s="25"/>
      <c r="L93" s="22">
        <v>1837134.1600000001</v>
      </c>
      <c r="M93" s="137"/>
      <c r="N93" s="138"/>
      <c r="O93" s="23"/>
      <c r="P93" s="25"/>
      <c r="Q93" s="22">
        <v>1647548.1299999901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9"/>
        <v>Véhicules usagésCertifié</v>
      </c>
      <c r="B94" s="11" t="s">
        <v>70</v>
      </c>
      <c r="C94" s="29" t="s">
        <v>72</v>
      </c>
      <c r="D94" s="30">
        <v>7</v>
      </c>
      <c r="E94" s="30">
        <f>IF(D94=0,0,F94/D94)</f>
        <v>3000</v>
      </c>
      <c r="F94" s="30">
        <v>21000</v>
      </c>
      <c r="G94" s="31"/>
      <c r="H94" s="30"/>
      <c r="I94" s="30"/>
      <c r="J94" s="31">
        <v>7</v>
      </c>
      <c r="K94" s="30">
        <f>IF(J94=0,0,L94/J94)</f>
        <v>1622.3442857142848</v>
      </c>
      <c r="L94" s="33">
        <v>11356.409999999993</v>
      </c>
      <c r="M94" s="31">
        <f>J94-D94</f>
        <v>0</v>
      </c>
      <c r="N94" s="33">
        <f>L94-F94</f>
        <v>-9643.5900000000074</v>
      </c>
      <c r="O94" s="31">
        <v>3</v>
      </c>
      <c r="P94" s="30">
        <f t="shared" ref="P94:P96" si="30">IF(O94=0,0,Q94/O94)</f>
        <v>2381.7333333333368</v>
      </c>
      <c r="Q94" s="33">
        <v>7145.2000000000098</v>
      </c>
      <c r="R94" s="31">
        <f>J94-O94</f>
        <v>4</v>
      </c>
      <c r="S94" s="34">
        <f>L94-Q94</f>
        <v>4211.2099999999828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9"/>
        <v>Véhicules usagésNon Certifié</v>
      </c>
      <c r="B95" s="11" t="s">
        <v>70</v>
      </c>
      <c r="C95" s="29" t="s">
        <v>73</v>
      </c>
      <c r="D95" s="30">
        <v>5</v>
      </c>
      <c r="E95" s="30">
        <f t="shared" ref="E95:E105" si="31">IF(D95=0,0,F95/D95)</f>
        <v>2200</v>
      </c>
      <c r="F95" s="30">
        <v>11000</v>
      </c>
      <c r="G95" s="31"/>
      <c r="H95" s="30"/>
      <c r="I95" s="30"/>
      <c r="J95" s="31">
        <v>9</v>
      </c>
      <c r="K95" s="30">
        <f>IF(J95=0,0,L95/J95)</f>
        <v>1875.2299999999975</v>
      </c>
      <c r="L95" s="32">
        <v>16877.069999999978</v>
      </c>
      <c r="M95" s="31">
        <f>J95-D95</f>
        <v>4</v>
      </c>
      <c r="N95" s="33">
        <f>L95-F95</f>
        <v>5877.0699999999779</v>
      </c>
      <c r="O95" s="31">
        <v>14</v>
      </c>
      <c r="P95" s="30">
        <f t="shared" si="30"/>
        <v>2545.8421428571282</v>
      </c>
      <c r="Q95" s="32">
        <v>35641.789999999797</v>
      </c>
      <c r="R95" s="31">
        <f>J95-O95</f>
        <v>-5</v>
      </c>
      <c r="S95" s="34">
        <f>L95-Q95</f>
        <v>-18764.719999999819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9"/>
        <v>Véhicules usagésAutres marques</v>
      </c>
      <c r="B96" s="11" t="s">
        <v>70</v>
      </c>
      <c r="C96" s="29" t="s">
        <v>207</v>
      </c>
      <c r="D96" s="30">
        <v>9</v>
      </c>
      <c r="E96" s="25">
        <f t="shared" si="31"/>
        <v>1850</v>
      </c>
      <c r="F96" s="30">
        <v>16650</v>
      </c>
      <c r="G96" s="31"/>
      <c r="H96" s="30"/>
      <c r="I96" s="30"/>
      <c r="J96" s="31">
        <v>12</v>
      </c>
      <c r="K96" s="30">
        <f>IF(J96=0,0,L96/J96)</f>
        <v>862.97166666666851</v>
      </c>
      <c r="L96" s="32">
        <v>10355.660000000022</v>
      </c>
      <c r="M96" s="31">
        <f>J96-D96</f>
        <v>3</v>
      </c>
      <c r="N96" s="33">
        <f>L96-F96</f>
        <v>-6294.3399999999783</v>
      </c>
      <c r="O96" s="31">
        <v>0</v>
      </c>
      <c r="P96" s="30">
        <f t="shared" si="30"/>
        <v>0</v>
      </c>
      <c r="Q96" s="32">
        <v>0</v>
      </c>
      <c r="R96" s="31">
        <f>J96-O96</f>
        <v>12</v>
      </c>
      <c r="S96" s="34">
        <f>L96-Q96</f>
        <v>10355.660000000022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9"/>
        <v>Véhicules usagésTotal Usagés</v>
      </c>
      <c r="B97" s="11" t="s">
        <v>70</v>
      </c>
      <c r="C97" s="35" t="s">
        <v>74</v>
      </c>
      <c r="D97" s="36">
        <f>+D95+D94+D96</f>
        <v>21</v>
      </c>
      <c r="E97" s="30">
        <f t="shared" si="31"/>
        <v>2316.6666666666665</v>
      </c>
      <c r="F97" s="37">
        <f>+F94+F95+F96</f>
        <v>48650</v>
      </c>
      <c r="G97" s="38"/>
      <c r="H97" s="36"/>
      <c r="I97" s="37"/>
      <c r="J97" s="38">
        <f>+J94+J95+J96</f>
        <v>28</v>
      </c>
      <c r="K97" s="36">
        <f>IF(J97&lt;=0,0,L97/J97)</f>
        <v>1378.1835714285712</v>
      </c>
      <c r="L97" s="37">
        <f>+L94+L95+L96</f>
        <v>38589.139999999992</v>
      </c>
      <c r="M97" s="38">
        <f>J97-D97</f>
        <v>7</v>
      </c>
      <c r="N97" s="37">
        <f>L97-F97</f>
        <v>-10060.860000000008</v>
      </c>
      <c r="O97" s="38">
        <f>+O95+O94+O96</f>
        <v>17</v>
      </c>
      <c r="P97" s="36">
        <f>IF(O97=0,0,Q97/O97)</f>
        <v>2516.8817647058713</v>
      </c>
      <c r="Q97" s="37">
        <f>+Q94+Q95+Q96</f>
        <v>42786.989999999809</v>
      </c>
      <c r="R97" s="38">
        <f>R94+R95</f>
        <v>-1</v>
      </c>
      <c r="S97" s="39">
        <f>S94+S95</f>
        <v>-14553.509999999837</v>
      </c>
      <c r="T97" s="13"/>
      <c r="U97" s="13"/>
      <c r="V97" s="13"/>
      <c r="W97" s="478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9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0.33333333333333331</v>
      </c>
      <c r="N98" s="43">
        <f>N97/F97</f>
        <v>-0.2068008221993835</v>
      </c>
      <c r="O98" s="41"/>
      <c r="P98" s="13"/>
      <c r="Q98" s="40"/>
      <c r="R98" s="42">
        <f>R97/O97</f>
        <v>-5.8823529411764705E-2</v>
      </c>
      <c r="S98" s="44">
        <f>IF(Q97=0,0,(S97/Q97))</f>
        <v>-0.34013867299382128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9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9"/>
        <v>Véhicules usagésVentes au Gros</v>
      </c>
      <c r="B100" s="11" t="s">
        <v>70</v>
      </c>
      <c r="C100" s="29" t="s">
        <v>75</v>
      </c>
      <c r="D100" s="30">
        <v>23</v>
      </c>
      <c r="E100" s="30">
        <f t="shared" si="31"/>
        <v>375</v>
      </c>
      <c r="F100" s="30">
        <v>8625</v>
      </c>
      <c r="G100" s="31"/>
      <c r="H100" s="30"/>
      <c r="I100" s="30"/>
      <c r="J100" s="31">
        <v>16</v>
      </c>
      <c r="K100" s="30">
        <f>IF(J100=0,0,L100/J100)</f>
        <v>462.19374999999854</v>
      </c>
      <c r="L100" s="33">
        <v>7395.0999999999767</v>
      </c>
      <c r="M100" s="31">
        <f>J100-D100</f>
        <v>-7</v>
      </c>
      <c r="N100" s="33">
        <f>L100-F100</f>
        <v>-1229.9000000000233</v>
      </c>
      <c r="O100" s="31">
        <v>21</v>
      </c>
      <c r="P100" s="30">
        <f>IF(O100=0,0,Q100/O100)</f>
        <v>470.61238095238002</v>
      </c>
      <c r="Q100" s="33">
        <v>9882.8599999999806</v>
      </c>
      <c r="R100" s="31">
        <f>J100-O100</f>
        <v>-5</v>
      </c>
      <c r="S100" s="34">
        <f>L100-Q100</f>
        <v>-2487.7600000000039</v>
      </c>
      <c r="T100" s="13"/>
      <c r="U100" s="13"/>
      <c r="V100" s="13"/>
      <c r="W100" s="478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9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9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12" si="32">IF(D102=0,0,F102/D102)</f>
        <v>0</v>
      </c>
      <c r="F102" s="33">
        <v>12600</v>
      </c>
      <c r="G102" s="31"/>
      <c r="H102" s="30"/>
      <c r="I102" s="30"/>
      <c r="J102" s="31"/>
      <c r="K102" s="30">
        <f>IF(J97=0,0,L102/J97)</f>
        <v>469.70678571428573</v>
      </c>
      <c r="L102" s="33">
        <v>13151.79</v>
      </c>
      <c r="M102" s="31"/>
      <c r="N102" s="33">
        <f>L102-F102</f>
        <v>551.79000000000087</v>
      </c>
      <c r="O102" s="31"/>
      <c r="P102" s="30"/>
      <c r="Q102" s="33">
        <v>13597.2</v>
      </c>
      <c r="R102" s="31">
        <f>O102-K102</f>
        <v>-469.70678571428573</v>
      </c>
      <c r="S102" s="34">
        <f>L102-Q102</f>
        <v>-445.40999999999985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9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2"/>
        <v>0</v>
      </c>
      <c r="F103" s="33">
        <v>18480</v>
      </c>
      <c r="G103" s="31"/>
      <c r="H103" s="30"/>
      <c r="I103" s="30"/>
      <c r="J103" s="31"/>
      <c r="K103" s="30">
        <f>IF(J97=0,0,L103/J97)</f>
        <v>654.39285714285711</v>
      </c>
      <c r="L103" s="33">
        <v>18323</v>
      </c>
      <c r="M103" s="31"/>
      <c r="N103" s="33">
        <f>L103-F103</f>
        <v>-157</v>
      </c>
      <c r="O103" s="31"/>
      <c r="P103" s="30"/>
      <c r="Q103" s="33">
        <v>12765.89</v>
      </c>
      <c r="R103" s="31">
        <f>O103-K103</f>
        <v>-654.39285714285711</v>
      </c>
      <c r="S103" s="34">
        <f>L103-Q103</f>
        <v>5557.1100000000006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9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2"/>
        <v>0</v>
      </c>
      <c r="F104" s="33">
        <v>3570</v>
      </c>
      <c r="G104" s="31"/>
      <c r="H104" s="47"/>
      <c r="I104" s="30"/>
      <c r="J104" s="31"/>
      <c r="K104" s="47">
        <f>IF(J97=0,0,L104/J97)</f>
        <v>152.21428571428572</v>
      </c>
      <c r="L104" s="33">
        <v>4262</v>
      </c>
      <c r="M104" s="51"/>
      <c r="N104" s="33">
        <f>L104-F104</f>
        <v>692</v>
      </c>
      <c r="O104" s="31"/>
      <c r="P104" s="47"/>
      <c r="Q104" s="33">
        <v>2900.99</v>
      </c>
      <c r="R104" s="31">
        <f>O104-K104</f>
        <v>-152.21428571428572</v>
      </c>
      <c r="S104" s="34">
        <f>L104-Q104</f>
        <v>1361.0100000000002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9"/>
        <v>Véhicules usagésTotal F&amp;I</v>
      </c>
      <c r="B105" s="11" t="s">
        <v>70</v>
      </c>
      <c r="C105" s="35" t="s">
        <v>27</v>
      </c>
      <c r="D105" s="36">
        <f>D97</f>
        <v>21</v>
      </c>
      <c r="E105" s="30">
        <f t="shared" si="32"/>
        <v>1650</v>
      </c>
      <c r="F105" s="37">
        <f>F102+F103+F104</f>
        <v>34650</v>
      </c>
      <c r="G105" s="38"/>
      <c r="H105" s="36"/>
      <c r="I105" s="37"/>
      <c r="J105" s="38">
        <f>J97</f>
        <v>28</v>
      </c>
      <c r="K105" s="36">
        <f>IF(J105&lt;=0,0,L105/J105)</f>
        <v>1276.3139285714285</v>
      </c>
      <c r="L105" s="37">
        <f>L102+L103+L104</f>
        <v>35736.79</v>
      </c>
      <c r="M105" s="31">
        <f>J105-D105</f>
        <v>7</v>
      </c>
      <c r="N105" s="37">
        <f>L105-F105</f>
        <v>1086.7900000000009</v>
      </c>
      <c r="O105" s="38">
        <f>O97</f>
        <v>17</v>
      </c>
      <c r="P105" s="36">
        <f t="shared" ref="P105" si="33">IF(O105=0,0,Q105/O105)</f>
        <v>1721.4164705882354</v>
      </c>
      <c r="Q105" s="37">
        <f>Q102+Q103+Q104</f>
        <v>29264.080000000002</v>
      </c>
      <c r="R105" s="56"/>
      <c r="S105" s="39">
        <f>L105-Q105</f>
        <v>6472.7099999999991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9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3.136479076479079E-2</v>
      </c>
      <c r="O106" s="41"/>
      <c r="P106" s="13"/>
      <c r="Q106" s="59"/>
      <c r="R106" s="60"/>
      <c r="S106" s="44">
        <f>IF(Q105=0,0,(S105/Q105))</f>
        <v>0.22118276057200495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9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9"/>
        <v>Véhicules usagésTotal Dépt. Usagés</v>
      </c>
      <c r="B108" s="11" t="s">
        <v>70</v>
      </c>
      <c r="C108" s="62" t="s">
        <v>76</v>
      </c>
      <c r="D108" s="63">
        <f>D97+D100</f>
        <v>44</v>
      </c>
      <c r="E108" s="67">
        <f>IF(D108&lt;=0,0,F108/D108)</f>
        <v>2089.2045454545455</v>
      </c>
      <c r="F108" s="65">
        <f>F97+F105+F100</f>
        <v>91925</v>
      </c>
      <c r="G108" s="66"/>
      <c r="H108" s="67"/>
      <c r="I108" s="65"/>
      <c r="J108" s="66">
        <f>J97+J100</f>
        <v>44</v>
      </c>
      <c r="K108" s="67">
        <f>IF(J108&lt;=0,0,L108/J108)</f>
        <v>1857.2961363636357</v>
      </c>
      <c r="L108" s="65">
        <f>L97+L105+L100</f>
        <v>81721.02999999997</v>
      </c>
      <c r="M108" s="66">
        <f>J108-D108</f>
        <v>0</v>
      </c>
      <c r="N108" s="65">
        <f>L108-F108</f>
        <v>-10203.97000000003</v>
      </c>
      <c r="O108" s="66">
        <f>O97+O100</f>
        <v>38</v>
      </c>
      <c r="P108" s="67">
        <f>IF(O108&lt;=0,0,Q108/O108)</f>
        <v>2156.1560526315734</v>
      </c>
      <c r="Q108" s="65">
        <f>Q97+Q105+Q100</f>
        <v>81933.929999999789</v>
      </c>
      <c r="R108" s="66">
        <f>J108-O108</f>
        <v>6</v>
      </c>
      <c r="S108" s="68">
        <f>L108-Q108</f>
        <v>-212.89999999981956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9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0</v>
      </c>
      <c r="N109" s="74">
        <f>N108/F108</f>
        <v>-0.11100320913788447</v>
      </c>
      <c r="O109" s="72"/>
      <c r="P109" s="70"/>
      <c r="Q109" s="71"/>
      <c r="R109" s="73">
        <f>O108/R108</f>
        <v>6.333333333333333</v>
      </c>
      <c r="S109" s="145">
        <f>IF(Q108=0,0,(S108/Q108))</f>
        <v>-2.5984351049659171E-3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9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9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9"/>
        <v>Véhicules usagésComm. vendeurs</v>
      </c>
      <c r="B112" s="11" t="s">
        <v>70</v>
      </c>
      <c r="C112" s="29" t="s">
        <v>30</v>
      </c>
      <c r="D112" s="148">
        <f>F112/(F97+F105)</f>
        <v>0.1935563538392456</v>
      </c>
      <c r="E112" s="82">
        <f t="shared" ref="E112:E121" si="34">F112/D$97</f>
        <v>767.77353689567428</v>
      </c>
      <c r="F112" s="30">
        <v>16123.24427480916</v>
      </c>
      <c r="G112" s="157"/>
      <c r="H112" s="82"/>
      <c r="I112" s="30"/>
      <c r="J112" s="157">
        <f>L112/L97</f>
        <v>0.4991642726425104</v>
      </c>
      <c r="K112" s="82">
        <f>IF($J$97=0,0,L112/(J$94+J$95+J96))</f>
        <v>687.93999999999994</v>
      </c>
      <c r="L112" s="33">
        <v>19262.32</v>
      </c>
      <c r="M112" s="41"/>
      <c r="N112" s="59">
        <f t="shared" ref="N112:N153" si="35">L112-F112</f>
        <v>3139.0757251908399</v>
      </c>
      <c r="O112" s="157">
        <f>Q112/Q97</f>
        <v>0.2818043522108018</v>
      </c>
      <c r="P112" s="82">
        <f t="shared" ref="P112:P121" si="36">Q112/O$97</f>
        <v>709.26823529411763</v>
      </c>
      <c r="Q112" s="33">
        <v>12057.56</v>
      </c>
      <c r="R112" s="41"/>
      <c r="S112" s="85">
        <f t="shared" ref="S112:S122" si="37">L112-Q112</f>
        <v>7204.76</v>
      </c>
      <c r="T112" s="13"/>
      <c r="U112" s="13"/>
      <c r="V112" s="11" t="s">
        <v>220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9"/>
        <v>Véhicules usagésComm. F&amp;I</v>
      </c>
      <c r="B113" s="11" t="s">
        <v>70</v>
      </c>
      <c r="C113" s="86" t="s">
        <v>31</v>
      </c>
      <c r="D113" s="218">
        <f>F113/(F105+F19)</f>
        <v>0.21550221181532858</v>
      </c>
      <c r="E113" s="88">
        <f t="shared" si="34"/>
        <v>412.5</v>
      </c>
      <c r="F113" s="22">
        <v>8662.5</v>
      </c>
      <c r="G113" s="162"/>
      <c r="H113" s="88"/>
      <c r="I113" s="22"/>
      <c r="J113" s="162">
        <f>L113/L105</f>
        <v>0.28886869805598098</v>
      </c>
      <c r="K113" s="88">
        <f>IF($J$97=0,0,L113/(J$94+J$95+J96))</f>
        <v>368.68714285714287</v>
      </c>
      <c r="L113" s="33">
        <v>10323.24</v>
      </c>
      <c r="M113" s="23"/>
      <c r="N113" s="91">
        <f t="shared" si="35"/>
        <v>1660.7399999999998</v>
      </c>
      <c r="O113" s="162">
        <f>Q113/(Q105+Q19)</f>
        <v>0.1837806822637563</v>
      </c>
      <c r="P113" s="88">
        <f t="shared" si="36"/>
        <v>413.56058823529412</v>
      </c>
      <c r="Q113" s="33">
        <v>7030.53</v>
      </c>
      <c r="R113" s="23"/>
      <c r="S113" s="92">
        <f t="shared" si="37"/>
        <v>3292.71</v>
      </c>
      <c r="T113" s="13"/>
      <c r="U113" s="13"/>
      <c r="V113" s="11" t="s">
        <v>221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9"/>
        <v>Véhicules usagésFrais de livraison</v>
      </c>
      <c r="B114" s="11" t="s">
        <v>70</v>
      </c>
      <c r="C114" s="29" t="s">
        <v>32</v>
      </c>
      <c r="D114" s="81"/>
      <c r="E114" s="82">
        <f t="shared" si="34"/>
        <v>110</v>
      </c>
      <c r="F114" s="30">
        <v>2310</v>
      </c>
      <c r="G114" s="83"/>
      <c r="H114" s="82"/>
      <c r="I114" s="30"/>
      <c r="J114" s="41"/>
      <c r="K114" s="82">
        <f>IF($J$97=0,0,L114/(J$94+J$95+J96))</f>
        <v>65.156785714285718</v>
      </c>
      <c r="L114" s="108">
        <v>1824.39</v>
      </c>
      <c r="M114" s="41"/>
      <c r="N114" s="59">
        <f t="shared" si="35"/>
        <v>-485.6099999999999</v>
      </c>
      <c r="O114" s="41"/>
      <c r="P114" s="82">
        <f t="shared" si="36"/>
        <v>127.70882352941177</v>
      </c>
      <c r="Q114" s="108">
        <v>2171.0500000000002</v>
      </c>
      <c r="R114" s="41"/>
      <c r="S114" s="85">
        <f t="shared" si="37"/>
        <v>-346.66000000000008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9"/>
        <v>Véhicules usagésService gratuit 1</v>
      </c>
      <c r="B115" s="11" t="s">
        <v>70</v>
      </c>
      <c r="C115" s="29" t="s">
        <v>33</v>
      </c>
      <c r="D115" s="81"/>
      <c r="E115" s="82">
        <f t="shared" si="34"/>
        <v>90</v>
      </c>
      <c r="F115" s="30">
        <v>1890</v>
      </c>
      <c r="G115" s="83"/>
      <c r="H115" s="82"/>
      <c r="I115" s="30"/>
      <c r="J115" s="41"/>
      <c r="K115" s="82">
        <f>IF($J$97=0,0,L115/(J$94+J$95+J96))</f>
        <v>19.081785714285711</v>
      </c>
      <c r="L115" s="33">
        <v>534.29</v>
      </c>
      <c r="M115" s="41"/>
      <c r="N115" s="59">
        <f t="shared" si="35"/>
        <v>-1355.71</v>
      </c>
      <c r="O115" s="41"/>
      <c r="P115" s="82">
        <f t="shared" si="36"/>
        <v>67.367647058823536</v>
      </c>
      <c r="Q115" s="33">
        <v>1145.25</v>
      </c>
      <c r="R115" s="41"/>
      <c r="S115" s="85">
        <f t="shared" si="37"/>
        <v>-610.96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9"/>
        <v>Véhicules usagésEntretien stock</v>
      </c>
      <c r="B116" s="11" t="s">
        <v>70</v>
      </c>
      <c r="C116" s="86" t="s">
        <v>34</v>
      </c>
      <c r="D116" s="87"/>
      <c r="E116" s="88">
        <f t="shared" si="34"/>
        <v>101.19047619047619</v>
      </c>
      <c r="F116" s="22">
        <v>2125</v>
      </c>
      <c r="G116" s="89"/>
      <c r="H116" s="88"/>
      <c r="I116" s="22"/>
      <c r="J116" s="23"/>
      <c r="K116" s="88">
        <f>IF($J$97=0,0,L116/(J$94+J$95+J96))</f>
        <v>64.977499999999992</v>
      </c>
      <c r="L116" s="48">
        <v>1819.37</v>
      </c>
      <c r="M116" s="23"/>
      <c r="N116" s="91">
        <f t="shared" si="35"/>
        <v>-305.63000000000011</v>
      </c>
      <c r="O116" s="23"/>
      <c r="P116" s="88">
        <f t="shared" si="36"/>
        <v>135.79117647058823</v>
      </c>
      <c r="Q116" s="48">
        <v>2308.4499999999998</v>
      </c>
      <c r="R116" s="23"/>
      <c r="S116" s="92">
        <f t="shared" si="37"/>
        <v>-489.07999999999993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9"/>
        <v>Véhicules usagésPublicité 1</v>
      </c>
      <c r="B117" s="11" t="s">
        <v>70</v>
      </c>
      <c r="C117" s="29" t="s">
        <v>35</v>
      </c>
      <c r="D117" s="81"/>
      <c r="E117" s="82">
        <f t="shared" si="34"/>
        <v>301.71825396825398</v>
      </c>
      <c r="F117" s="30">
        <v>6336.0833333333339</v>
      </c>
      <c r="G117" s="83"/>
      <c r="H117" s="82"/>
      <c r="I117" s="30"/>
      <c r="J117" s="41"/>
      <c r="K117" s="82">
        <f>IF($J$97=0,0,L117/(J$94+J$95+J96))</f>
        <v>210.97571428571428</v>
      </c>
      <c r="L117" s="33">
        <v>5907.32</v>
      </c>
      <c r="M117" s="41"/>
      <c r="N117" s="59">
        <f t="shared" si="35"/>
        <v>-428.76333333333423</v>
      </c>
      <c r="O117" s="41"/>
      <c r="P117" s="82">
        <f t="shared" si="36"/>
        <v>407.39058823529354</v>
      </c>
      <c r="Q117" s="33">
        <v>6925.6399999999903</v>
      </c>
      <c r="R117" s="41"/>
      <c r="S117" s="85">
        <f t="shared" si="37"/>
        <v>-1018.3199999999906</v>
      </c>
      <c r="T117" s="13"/>
      <c r="U117" s="13"/>
      <c r="V117" s="13">
        <f>3476+50-2336+1517+4200-1000</f>
        <v>5907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4"/>
        <v>414.04408416372019</v>
      </c>
      <c r="F118" s="30">
        <v>8694.9257674381242</v>
      </c>
      <c r="G118" s="83"/>
      <c r="H118" s="82"/>
      <c r="I118" s="30"/>
      <c r="J118" s="41"/>
      <c r="K118" s="82">
        <f>IF($J$97=0,0,L118/(J$94+J$95+J96))</f>
        <v>296.82071428571425</v>
      </c>
      <c r="L118" s="33">
        <v>8310.98</v>
      </c>
      <c r="M118" s="41"/>
      <c r="N118" s="59">
        <f t="shared" si="35"/>
        <v>-383.94576743812468</v>
      </c>
      <c r="O118" s="41"/>
      <c r="P118" s="82">
        <f t="shared" si="36"/>
        <v>377.58588235294116</v>
      </c>
      <c r="Q118" s="33">
        <v>6418.96</v>
      </c>
      <c r="R118" s="41"/>
      <c r="S118" s="85">
        <f>L118-Q118</f>
        <v>1892.0199999999995</v>
      </c>
      <c r="T118" s="13"/>
      <c r="U118" s="13"/>
      <c r="V118" s="13">
        <v>8311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4"/>
        <v>0</v>
      </c>
      <c r="F119" s="30">
        <v>0</v>
      </c>
      <c r="G119" s="83"/>
      <c r="H119" s="82"/>
      <c r="I119" s="30"/>
      <c r="J119" s="41"/>
      <c r="K119" s="82">
        <f t="shared" ref="K119:K121" si="38">IF($J$97=0,0,L119/(J$94+J$95))</f>
        <v>0</v>
      </c>
      <c r="L119" s="33">
        <v>0</v>
      </c>
      <c r="M119" s="41"/>
      <c r="N119" s="59">
        <f t="shared" si="35"/>
        <v>0</v>
      </c>
      <c r="O119" s="41"/>
      <c r="P119" s="82">
        <f t="shared" si="36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4"/>
        <v>0</v>
      </c>
      <c r="F120" s="30">
        <v>0</v>
      </c>
      <c r="G120" s="83"/>
      <c r="H120" s="82"/>
      <c r="I120" s="30"/>
      <c r="J120" s="41"/>
      <c r="K120" s="82">
        <f t="shared" si="38"/>
        <v>0</v>
      </c>
      <c r="L120" s="33">
        <v>0</v>
      </c>
      <c r="M120" s="41"/>
      <c r="N120" s="59">
        <f t="shared" si="35"/>
        <v>0</v>
      </c>
      <c r="O120" s="41"/>
      <c r="P120" s="82">
        <f t="shared" si="36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4"/>
        <v>0</v>
      </c>
      <c r="F121" s="30">
        <v>0</v>
      </c>
      <c r="G121" s="83"/>
      <c r="H121" s="82"/>
      <c r="I121" s="30"/>
      <c r="J121" s="41"/>
      <c r="K121" s="82">
        <f t="shared" si="38"/>
        <v>0</v>
      </c>
      <c r="L121" s="33">
        <v>0</v>
      </c>
      <c r="M121" s="41"/>
      <c r="N121" s="59">
        <f t="shared" si="35"/>
        <v>0</v>
      </c>
      <c r="O121" s="41"/>
      <c r="P121" s="82">
        <f t="shared" si="36"/>
        <v>0</v>
      </c>
      <c r="Q121" s="33">
        <v>0</v>
      </c>
      <c r="R121" s="41"/>
      <c r="S121" s="85">
        <f t="shared" ref="S121:S131" si="39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87" si="40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0.50194999592690359</v>
      </c>
      <c r="F122" s="96">
        <f>SUM(F112:F121)</f>
        <v>46141.753375580614</v>
      </c>
      <c r="G122" s="97"/>
      <c r="H122" s="95"/>
      <c r="I122" s="96"/>
      <c r="J122" s="97" t="s">
        <v>38</v>
      </c>
      <c r="K122" s="95">
        <f>L122/L$108</f>
        <v>0.58714274648765463</v>
      </c>
      <c r="L122" s="96">
        <f>SUM(L112:L121)</f>
        <v>47981.91</v>
      </c>
      <c r="M122" s="100"/>
      <c r="N122" s="96">
        <f t="shared" si="35"/>
        <v>1840.1566244193891</v>
      </c>
      <c r="O122" s="97" t="s">
        <v>38</v>
      </c>
      <c r="P122" s="95">
        <f>Q122/Q$108</f>
        <v>0.46448937576898952</v>
      </c>
      <c r="Q122" s="96">
        <f>SUM(Q112:Q121)</f>
        <v>38057.439999999988</v>
      </c>
      <c r="R122" s="100"/>
      <c r="S122" s="101">
        <f t="shared" si="39"/>
        <v>9924.4700000000157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40"/>
        <v>Véhicules usagésSalaires cadres</v>
      </c>
      <c r="B123" s="11" t="s">
        <v>70</v>
      </c>
      <c r="C123" s="102" t="s">
        <v>40</v>
      </c>
      <c r="D123" s="13"/>
      <c r="E123" s="13"/>
      <c r="F123" s="30">
        <v>5026.5783715012722</v>
      </c>
      <c r="G123" s="41"/>
      <c r="H123" s="13"/>
      <c r="I123" s="30"/>
      <c r="J123" s="41"/>
      <c r="K123" s="13"/>
      <c r="L123" s="33">
        <v>4165.3100000000004</v>
      </c>
      <c r="M123" s="41"/>
      <c r="N123" s="59">
        <f t="shared" si="35"/>
        <v>-861.26837150127176</v>
      </c>
      <c r="O123" s="41"/>
      <c r="P123" s="13"/>
      <c r="Q123" s="33">
        <v>1417.1</v>
      </c>
      <c r="R123" s="41"/>
      <c r="S123" s="85">
        <f t="shared" si="39"/>
        <v>2748.2100000000005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0"/>
        <v>Véhicules usagésSalaires commis</v>
      </c>
      <c r="B124" s="11" t="s">
        <v>70</v>
      </c>
      <c r="C124" s="103" t="s">
        <v>41</v>
      </c>
      <c r="D124" s="81"/>
      <c r="E124" s="13"/>
      <c r="F124" s="22">
        <v>2725.1480916030532</v>
      </c>
      <c r="G124" s="83"/>
      <c r="H124" s="13"/>
      <c r="I124" s="22"/>
      <c r="J124" s="41"/>
      <c r="K124" s="13"/>
      <c r="L124" s="22">
        <v>2612.09</v>
      </c>
      <c r="M124" s="41"/>
      <c r="N124" s="59">
        <f t="shared" si="35"/>
        <v>-113.05809160305307</v>
      </c>
      <c r="O124" s="41"/>
      <c r="P124" s="13"/>
      <c r="Q124" s="22">
        <v>6021.82</v>
      </c>
      <c r="R124" s="41"/>
      <c r="S124" s="85">
        <f t="shared" si="39"/>
        <v>-3409.7299999999996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0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5"/>
        <v>0</v>
      </c>
      <c r="O125" s="107"/>
      <c r="P125" s="105"/>
      <c r="Q125" s="33">
        <v>2809</v>
      </c>
      <c r="R125" s="107"/>
      <c r="S125" s="110">
        <f t="shared" si="39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4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5"/>
        <v>0</v>
      </c>
      <c r="O126" s="41"/>
      <c r="P126" s="13"/>
      <c r="Q126" s="33">
        <v>0</v>
      </c>
      <c r="R126" s="41"/>
      <c r="S126" s="85">
        <f t="shared" si="39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5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5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5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95" si="41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3800.3306124461737</v>
      </c>
      <c r="G130" s="83"/>
      <c r="H130" s="13"/>
      <c r="I130" s="30"/>
      <c r="J130" s="41"/>
      <c r="K130" s="13"/>
      <c r="L130" s="33">
        <v>2091.5100000000002</v>
      </c>
      <c r="M130" s="41"/>
      <c r="N130" s="59">
        <f t="shared" si="35"/>
        <v>-1708.8206124461735</v>
      </c>
      <c r="O130" s="41"/>
      <c r="P130" s="13"/>
      <c r="Q130" s="33">
        <v>3924.92</v>
      </c>
      <c r="R130" s="41"/>
      <c r="S130" s="85">
        <f>L130-Q130</f>
        <v>-1833.4099999999999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41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5012.2972941475828</v>
      </c>
      <c r="G131" s="106"/>
      <c r="H131" s="105"/>
      <c r="I131" s="54"/>
      <c r="J131" s="107"/>
      <c r="K131" s="105"/>
      <c r="L131" s="55">
        <v>4566.9399999999996</v>
      </c>
      <c r="M131" s="107"/>
      <c r="N131" s="109">
        <f t="shared" si="35"/>
        <v>-445.35729414758316</v>
      </c>
      <c r="O131" s="107"/>
      <c r="P131" s="105"/>
      <c r="Q131" s="55">
        <v>6790.19</v>
      </c>
      <c r="R131" s="107"/>
      <c r="S131" s="110">
        <f t="shared" ref="S131:S148" si="42">L131-Q131</f>
        <v>-2223.25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41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2285.0178840966919</v>
      </c>
      <c r="G132" s="83"/>
      <c r="H132" s="13"/>
      <c r="I132" s="30"/>
      <c r="J132" s="41"/>
      <c r="K132" s="13"/>
      <c r="L132" s="33">
        <v>1987.58</v>
      </c>
      <c r="M132" s="41"/>
      <c r="N132" s="59">
        <f t="shared" si="35"/>
        <v>-297.43788409669196</v>
      </c>
      <c r="O132" s="41"/>
      <c r="P132" s="13"/>
      <c r="Q132" s="33">
        <v>2055.31</v>
      </c>
      <c r="R132" s="41"/>
      <c r="S132" s="85">
        <f t="shared" si="42"/>
        <v>-67.730000000000018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41"/>
        <v>Véhicules usagésCsst</v>
      </c>
      <c r="B133" s="11" t="s">
        <v>70</v>
      </c>
      <c r="C133" s="102" t="s">
        <v>47</v>
      </c>
      <c r="D133" s="81"/>
      <c r="E133" s="13"/>
      <c r="F133" s="30">
        <v>515.97178027989821</v>
      </c>
      <c r="G133" s="83"/>
      <c r="H133" s="13"/>
      <c r="I133" s="30"/>
      <c r="J133" s="41"/>
      <c r="K133" s="13"/>
      <c r="L133" s="33">
        <v>590.58000000000004</v>
      </c>
      <c r="M133" s="41"/>
      <c r="N133" s="59">
        <f t="shared" si="35"/>
        <v>74.608219720101829</v>
      </c>
      <c r="O133" s="41"/>
      <c r="P133" s="13"/>
      <c r="Q133" s="33">
        <v>776.85</v>
      </c>
      <c r="R133" s="41"/>
      <c r="S133" s="85">
        <f t="shared" si="42"/>
        <v>-186.26999999999998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41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5"/>
        <v>0</v>
      </c>
      <c r="O134" s="23"/>
      <c r="P134" s="111"/>
      <c r="Q134" s="33">
        <v>0</v>
      </c>
      <c r="R134" s="23"/>
      <c r="S134" s="92">
        <f t="shared" si="42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41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0.24122212710442939</v>
      </c>
      <c r="F135" s="96">
        <f>+SUM(F123:F134)</f>
        <v>22174.344034074671</v>
      </c>
      <c r="G135" s="97"/>
      <c r="H135" s="95"/>
      <c r="I135" s="96"/>
      <c r="J135" s="97" t="s">
        <v>38</v>
      </c>
      <c r="K135" s="95">
        <f>L135/L$108</f>
        <v>0.2303325104933211</v>
      </c>
      <c r="L135" s="96">
        <f>SUM(L123:L134)</f>
        <v>18823.010000000002</v>
      </c>
      <c r="M135" s="479"/>
      <c r="N135" s="480">
        <f t="shared" si="35"/>
        <v>-3351.334034074669</v>
      </c>
      <c r="O135" s="97" t="s">
        <v>38</v>
      </c>
      <c r="P135" s="95">
        <f>Q135/Q$108</f>
        <v>0.29041924389566154</v>
      </c>
      <c r="Q135" s="96">
        <f>+SUM(Q123:Q134)</f>
        <v>23795.19</v>
      </c>
      <c r="R135" s="147"/>
      <c r="S135" s="114">
        <f t="shared" si="42"/>
        <v>-4972.1799999999967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41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5"/>
        <v>0</v>
      </c>
      <c r="O136" s="41"/>
      <c r="P136" s="13"/>
      <c r="Q136" s="33">
        <v>0</v>
      </c>
      <c r="R136" s="41"/>
      <c r="S136" s="85">
        <f t="shared" si="42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41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5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41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857.83333333333326</v>
      </c>
      <c r="G138" s="89"/>
      <c r="H138" s="111"/>
      <c r="I138" s="22"/>
      <c r="J138" s="23"/>
      <c r="K138" s="111"/>
      <c r="L138" s="22">
        <v>1083.7</v>
      </c>
      <c r="M138" s="23"/>
      <c r="N138" s="91">
        <f t="shared" si="35"/>
        <v>225.86666666666679</v>
      </c>
      <c r="O138" s="23"/>
      <c r="P138" s="111"/>
      <c r="Q138" s="22">
        <v>712.29</v>
      </c>
      <c r="R138" s="23"/>
      <c r="S138" s="92">
        <f t="shared" si="42"/>
        <v>371.41000000000008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41"/>
        <v>Véhicules usagésInformatique</v>
      </c>
      <c r="B139" s="11" t="s">
        <v>70</v>
      </c>
      <c r="C139" s="29" t="s">
        <v>52</v>
      </c>
      <c r="D139" s="81"/>
      <c r="E139" s="13"/>
      <c r="F139" s="30">
        <v>1419.9</v>
      </c>
      <c r="G139" s="83"/>
      <c r="H139" s="13"/>
      <c r="I139" s="30"/>
      <c r="J139" s="41"/>
      <c r="K139" s="13"/>
      <c r="L139" s="33">
        <v>1295.0999999999999</v>
      </c>
      <c r="M139" s="41"/>
      <c r="N139" s="59">
        <f t="shared" si="35"/>
        <v>-124.80000000000018</v>
      </c>
      <c r="O139" s="41"/>
      <c r="P139" s="13"/>
      <c r="Q139" s="33">
        <v>1294.67</v>
      </c>
      <c r="R139" s="41"/>
      <c r="S139" s="85">
        <f t="shared" si="42"/>
        <v>0.42999999999983629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41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182.8</v>
      </c>
      <c r="G140" s="83"/>
      <c r="H140" s="13"/>
      <c r="I140" s="30"/>
      <c r="J140" s="41"/>
      <c r="K140" s="13"/>
      <c r="L140" s="33">
        <v>394.46</v>
      </c>
      <c r="M140" s="41"/>
      <c r="N140" s="59">
        <f t="shared" si="35"/>
        <v>211.65999999999997</v>
      </c>
      <c r="O140" s="41"/>
      <c r="P140" s="13"/>
      <c r="Q140" s="33">
        <v>152.80000000000001</v>
      </c>
      <c r="R140" s="41"/>
      <c r="S140" s="85">
        <f t="shared" si="42"/>
        <v>241.65999999999997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41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612.1</v>
      </c>
      <c r="G141" s="89"/>
      <c r="H141" s="111"/>
      <c r="I141" s="22"/>
      <c r="J141" s="23"/>
      <c r="K141" s="111"/>
      <c r="L141" s="22">
        <v>758.85</v>
      </c>
      <c r="M141" s="23"/>
      <c r="N141" s="91">
        <f t="shared" si="35"/>
        <v>146.75</v>
      </c>
      <c r="O141" s="23"/>
      <c r="P141" s="111"/>
      <c r="Q141" s="22">
        <v>772.97</v>
      </c>
      <c r="R141" s="23"/>
      <c r="S141" s="92">
        <f t="shared" si="42"/>
        <v>-14.120000000000005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41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46.32352941176471</v>
      </c>
      <c r="G142" s="83"/>
      <c r="H142" s="13"/>
      <c r="I142" s="30"/>
      <c r="J142" s="41"/>
      <c r="K142" s="13"/>
      <c r="L142" s="33">
        <v>0</v>
      </c>
      <c r="M142" s="41"/>
      <c r="N142" s="59">
        <f t="shared" si="35"/>
        <v>-46.32352941176471</v>
      </c>
      <c r="O142" s="41"/>
      <c r="P142" s="13"/>
      <c r="Q142" s="33">
        <v>8.14</v>
      </c>
      <c r="R142" s="41"/>
      <c r="S142" s="85">
        <f t="shared" si="42"/>
        <v>-8.14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41"/>
        <v>Véhicules usagésUniformes</v>
      </c>
      <c r="B143" s="11" t="s">
        <v>70</v>
      </c>
      <c r="C143" s="29" t="s">
        <v>56</v>
      </c>
      <c r="D143" s="81"/>
      <c r="E143" s="13"/>
      <c r="F143" s="30">
        <v>5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5"/>
        <v>-5</v>
      </c>
      <c r="O143" s="41"/>
      <c r="P143" s="13"/>
      <c r="Q143" s="33">
        <v>18.48</v>
      </c>
      <c r="R143" s="41"/>
      <c r="S143" s="85">
        <f t="shared" si="42"/>
        <v>-18.48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41"/>
        <v>Véhicules usagésPapeterie</v>
      </c>
      <c r="B144" s="11" t="s">
        <v>70</v>
      </c>
      <c r="C144" s="29" t="s">
        <v>57</v>
      </c>
      <c r="D144" s="81"/>
      <c r="E144" s="13"/>
      <c r="F144" s="30">
        <v>175</v>
      </c>
      <c r="G144" s="83"/>
      <c r="H144" s="13"/>
      <c r="I144" s="30"/>
      <c r="J144" s="41"/>
      <c r="K144" s="13"/>
      <c r="L144" s="32">
        <v>104.08</v>
      </c>
      <c r="M144" s="41"/>
      <c r="N144" s="59">
        <f t="shared" si="35"/>
        <v>-70.92</v>
      </c>
      <c r="O144" s="41"/>
      <c r="P144" s="13"/>
      <c r="Q144" s="32">
        <v>276.89</v>
      </c>
      <c r="R144" s="41"/>
      <c r="S144" s="85">
        <f t="shared" si="42"/>
        <v>-172.81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41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81.98</v>
      </c>
      <c r="M145" s="41"/>
      <c r="N145" s="59">
        <f t="shared" si="35"/>
        <v>18.78</v>
      </c>
      <c r="O145" s="41"/>
      <c r="P145" s="13"/>
      <c r="Q145" s="33">
        <v>38.51</v>
      </c>
      <c r="R145" s="41"/>
      <c r="S145" s="85">
        <f t="shared" si="42"/>
        <v>43.470000000000006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41"/>
        <v>Véhicules usagésFrais postaux</v>
      </c>
      <c r="B146" s="11" t="s">
        <v>70</v>
      </c>
      <c r="C146" s="29" t="s">
        <v>59</v>
      </c>
      <c r="D146" s="81"/>
      <c r="E146" s="13"/>
      <c r="F146" s="30">
        <v>50</v>
      </c>
      <c r="G146" s="83"/>
      <c r="H146" s="13"/>
      <c r="I146" s="30"/>
      <c r="J146" s="41"/>
      <c r="K146" s="13"/>
      <c r="L146" s="33">
        <v>96.34</v>
      </c>
      <c r="M146" s="41"/>
      <c r="N146" s="59">
        <f t="shared" si="35"/>
        <v>46.34</v>
      </c>
      <c r="O146" s="41"/>
      <c r="P146" s="13"/>
      <c r="Q146" s="33">
        <v>57.21</v>
      </c>
      <c r="R146" s="41"/>
      <c r="S146" s="85">
        <f t="shared" si="42"/>
        <v>39.130000000000003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41"/>
        <v>Véhicules usagésDivers</v>
      </c>
      <c r="B147" s="11" t="s">
        <v>70</v>
      </c>
      <c r="C147" s="29" t="s">
        <v>60</v>
      </c>
      <c r="D147" s="81"/>
      <c r="E147" s="13"/>
      <c r="F147" s="30">
        <v>185.8</v>
      </c>
      <c r="G147" s="83"/>
      <c r="H147" s="13"/>
      <c r="I147" s="30"/>
      <c r="J147" s="41"/>
      <c r="K147" s="13"/>
      <c r="L147" s="33">
        <v>185.1</v>
      </c>
      <c r="M147" s="41"/>
      <c r="N147" s="59">
        <f t="shared" si="35"/>
        <v>-0.70000000000001705</v>
      </c>
      <c r="O147" s="41"/>
      <c r="P147" s="13"/>
      <c r="Q147" s="33">
        <v>179.57</v>
      </c>
      <c r="R147" s="41"/>
      <c r="S147" s="85">
        <f t="shared" si="42"/>
        <v>5.5300000000000011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41"/>
        <v>Véhicules usagésFormation</v>
      </c>
      <c r="B148" s="11" t="s">
        <v>70</v>
      </c>
      <c r="C148" s="29" t="s">
        <v>61</v>
      </c>
      <c r="D148" s="81"/>
      <c r="E148" s="13"/>
      <c r="F148" s="30">
        <v>137.24010666666663</v>
      </c>
      <c r="G148" s="83"/>
      <c r="H148" s="13"/>
      <c r="I148" s="30"/>
      <c r="J148" s="41"/>
      <c r="K148" s="13"/>
      <c r="L148" s="59">
        <v>65.39</v>
      </c>
      <c r="M148" s="41"/>
      <c r="N148" s="59">
        <f t="shared" si="35"/>
        <v>-71.850106666666633</v>
      </c>
      <c r="O148" s="41"/>
      <c r="P148" s="13"/>
      <c r="Q148" s="33">
        <v>57.8</v>
      </c>
      <c r="R148" s="41"/>
      <c r="S148" s="85">
        <f t="shared" si="42"/>
        <v>7.5900000000000034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783.16980772679972</v>
      </c>
      <c r="G149" s="83"/>
      <c r="H149" s="13"/>
      <c r="I149" s="30"/>
      <c r="J149" s="41"/>
      <c r="K149" s="13"/>
      <c r="L149" s="33">
        <v>975.13</v>
      </c>
      <c r="M149" s="41"/>
      <c r="N149" s="59">
        <f t="shared" si="35"/>
        <v>191.96019227320028</v>
      </c>
      <c r="O149" s="41"/>
      <c r="P149" s="13"/>
      <c r="Q149" s="33">
        <v>736.66</v>
      </c>
      <c r="R149" s="41"/>
      <c r="S149" s="85">
        <f>L149-Q149</f>
        <v>238.47000000000003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5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5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5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218" si="43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4.915275253890198E-2</v>
      </c>
      <c r="F153" s="96">
        <f>+SUM(F136:F152)</f>
        <v>4518.3667771385644</v>
      </c>
      <c r="G153" s="97"/>
      <c r="H153" s="95"/>
      <c r="I153" s="96"/>
      <c r="J153" s="97" t="s">
        <v>38</v>
      </c>
      <c r="K153" s="95">
        <f>L153/L$108</f>
        <v>6.1674822258114E-2</v>
      </c>
      <c r="L153" s="96">
        <f>+SUM(L136:L152)</f>
        <v>5040.13</v>
      </c>
      <c r="M153" s="100"/>
      <c r="N153" s="96">
        <f t="shared" si="35"/>
        <v>521.76322286143568</v>
      </c>
      <c r="O153" s="97" t="s">
        <v>38</v>
      </c>
      <c r="P153" s="95">
        <f>Q153/Q$108</f>
        <v>5.2554417931618948E-2</v>
      </c>
      <c r="Q153" s="96">
        <f>+SUM(Q136:Q152)</f>
        <v>4305.9900000000007</v>
      </c>
      <c r="R153" s="100"/>
      <c r="S153" s="101">
        <f>L153-Q153</f>
        <v>734.13999999999942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3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3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0.7923248755702349</v>
      </c>
      <c r="F155" s="96">
        <f>F122+F135+F153</f>
        <v>72834.464186793848</v>
      </c>
      <c r="G155" s="97"/>
      <c r="H155" s="95"/>
      <c r="I155" s="96"/>
      <c r="J155" s="97" t="s">
        <v>38</v>
      </c>
      <c r="K155" s="95">
        <f>L155/L$108</f>
        <v>0.87915007923908994</v>
      </c>
      <c r="L155" s="96">
        <f>L122+L135+L153</f>
        <v>71845.050000000017</v>
      </c>
      <c r="M155" s="100"/>
      <c r="N155" s="113">
        <f t="shared" ref="N155:N162" si="44">L155-F155</f>
        <v>-989.41418679383059</v>
      </c>
      <c r="O155" s="97" t="s">
        <v>38</v>
      </c>
      <c r="P155" s="95">
        <f>Q155/Q$108</f>
        <v>0.80746303759627014</v>
      </c>
      <c r="Q155" s="96">
        <f>Q122+Q135+Q153</f>
        <v>66158.62</v>
      </c>
      <c r="R155" s="100"/>
      <c r="S155" s="114">
        <f t="shared" ref="S155:S162" si="45">L155-Q155</f>
        <v>5686.4300000000221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3"/>
        <v>Véhicules usagésRBSC used</v>
      </c>
      <c r="B156" s="11" t="s">
        <v>70</v>
      </c>
      <c r="C156" s="29" t="s">
        <v>222</v>
      </c>
      <c r="D156" s="149"/>
      <c r="E156" s="150"/>
      <c r="F156" s="30">
        <v>2625</v>
      </c>
      <c r="G156" s="151"/>
      <c r="H156" s="150"/>
      <c r="I156" s="30"/>
      <c r="J156" s="151"/>
      <c r="K156" s="150"/>
      <c r="L156" s="32">
        <v>2625</v>
      </c>
      <c r="M156" s="41"/>
      <c r="N156" s="59">
        <f t="shared" si="44"/>
        <v>0</v>
      </c>
      <c r="O156" s="151"/>
      <c r="P156" s="150"/>
      <c r="Q156" s="33">
        <v>1500</v>
      </c>
      <c r="R156" s="41"/>
      <c r="S156" s="85">
        <f t="shared" si="45"/>
        <v>1125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3"/>
        <v>Véhicules usagésProgramme 360</v>
      </c>
      <c r="B157" s="11" t="s">
        <v>70</v>
      </c>
      <c r="C157" s="29" t="s">
        <v>223</v>
      </c>
      <c r="D157" s="149"/>
      <c r="E157" s="150"/>
      <c r="F157" s="30">
        <v>1822.0588235294119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4"/>
        <v>-1822.0588235294119</v>
      </c>
      <c r="O157" s="151"/>
      <c r="P157" s="150"/>
      <c r="Q157" s="33">
        <v>0</v>
      </c>
      <c r="R157" s="41"/>
      <c r="S157" s="85">
        <f t="shared" si="45"/>
        <v>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>
      <c r="A158" t="str">
        <f t="shared" si="43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4"/>
        <v>0</v>
      </c>
      <c r="O158" s="41"/>
      <c r="P158" s="13"/>
      <c r="Q158" s="33">
        <v>0</v>
      </c>
      <c r="R158" s="41"/>
      <c r="S158" s="85">
        <f t="shared" si="45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10620.75</v>
      </c>
      <c r="G159" s="83"/>
      <c r="H159" s="13"/>
      <c r="I159" s="30"/>
      <c r="J159" s="41"/>
      <c r="K159" s="13"/>
      <c r="L159" s="32">
        <v>13090</v>
      </c>
      <c r="M159" s="41"/>
      <c r="N159" s="59">
        <f t="shared" si="44"/>
        <v>2469.25</v>
      </c>
      <c r="O159" s="41"/>
      <c r="P159" s="13"/>
      <c r="Q159" s="33">
        <v>7735</v>
      </c>
      <c r="R159" s="41"/>
      <c r="S159" s="85">
        <f t="shared" si="45"/>
        <v>5355</v>
      </c>
      <c r="T159" s="112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15067.808823529413</v>
      </c>
      <c r="G163" s="97"/>
      <c r="H163" s="95"/>
      <c r="I163" s="96"/>
      <c r="J163" s="97"/>
      <c r="K163" s="95"/>
      <c r="L163" s="96">
        <f>+SUM(L156:L162)</f>
        <v>15715</v>
      </c>
      <c r="M163" s="100"/>
      <c r="N163" s="96">
        <f>SUM(N156:N159)</f>
        <v>647.19117647058806</v>
      </c>
      <c r="O163" s="97"/>
      <c r="P163" s="95"/>
      <c r="Q163" s="96">
        <f>+SUM(Q156:Q162)</f>
        <v>9235</v>
      </c>
      <c r="R163" s="100"/>
      <c r="S163" s="101">
        <f>+SUM(S156:S162)</f>
        <v>6480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34158.344636735565</v>
      </c>
      <c r="G165" s="153"/>
      <c r="H165" s="125"/>
      <c r="I165" s="127"/>
      <c r="J165" s="154"/>
      <c r="K165" s="126"/>
      <c r="L165" s="127">
        <f>L108-L155+L163</f>
        <v>25590.979999999952</v>
      </c>
      <c r="M165" s="154"/>
      <c r="N165" s="127">
        <f>L165-F165</f>
        <v>-8567.3646367356123</v>
      </c>
      <c r="O165" s="154"/>
      <c r="P165" s="126"/>
      <c r="Q165" s="127">
        <f>Q108-Q155+Q163</f>
        <v>25010.309999999794</v>
      </c>
      <c r="R165" s="154"/>
      <c r="S165" s="129">
        <f>L165-Q165</f>
        <v>580.67000000015832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Avril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63" t="s">
        <v>5</v>
      </c>
      <c r="E170" s="464"/>
      <c r="F170" s="465"/>
      <c r="G170" s="466"/>
      <c r="H170" s="464"/>
      <c r="I170" s="465"/>
      <c r="J170" s="466" t="s">
        <v>7</v>
      </c>
      <c r="K170" s="464"/>
      <c r="L170" s="465"/>
      <c r="M170" s="466" t="s">
        <v>213</v>
      </c>
      <c r="N170" s="465"/>
      <c r="O170" s="463" t="s">
        <v>8</v>
      </c>
      <c r="P170" s="464"/>
      <c r="Q170" s="465"/>
      <c r="R170" s="470" t="s">
        <v>214</v>
      </c>
      <c r="S170" s="471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46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224</v>
      </c>
      <c r="N171" s="134" t="s">
        <v>219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6"/>
        <v>ServiceM/O Client</v>
      </c>
      <c r="B172" s="11" t="s">
        <v>78</v>
      </c>
      <c r="C172" s="29" t="s">
        <v>81</v>
      </c>
      <c r="D172" s="13">
        <v>0</v>
      </c>
      <c r="E172" s="82">
        <v>91459.310732889295</v>
      </c>
      <c r="F172" s="82">
        <v>72801.611343379889</v>
      </c>
      <c r="G172" s="156"/>
      <c r="H172" s="82"/>
      <c r="I172" s="82"/>
      <c r="J172" s="60">
        <v>296</v>
      </c>
      <c r="K172" s="30">
        <v>84593.209999999992</v>
      </c>
      <c r="L172" s="33">
        <v>66593.14</v>
      </c>
      <c r="M172" s="157">
        <f>(K172-E172)/E172</f>
        <v>-7.5072736475590054E-2</v>
      </c>
      <c r="N172" s="59">
        <f>L172-F172</f>
        <v>-6208.4713433798897</v>
      </c>
      <c r="O172" s="60">
        <v>323</v>
      </c>
      <c r="P172" s="30">
        <v>83273.84</v>
      </c>
      <c r="Q172" s="33">
        <v>66604.429999999993</v>
      </c>
      <c r="R172" s="157">
        <f>IF(O172=0,0,J172/O172)</f>
        <v>0.91640866873065019</v>
      </c>
      <c r="S172" s="85">
        <f>L172-Q172</f>
        <v>-11.289999999993597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6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0.79600000000000015</v>
      </c>
      <c r="G173" s="41"/>
      <c r="H173" s="144"/>
      <c r="I173" s="158"/>
      <c r="J173" s="60"/>
      <c r="K173" s="13"/>
      <c r="L173" s="158">
        <f>IF(L172=0,0,L172/K172)</f>
        <v>0.78721613708712557</v>
      </c>
      <c r="M173" s="157"/>
      <c r="N173" s="59"/>
      <c r="O173" s="60"/>
      <c r="P173" s="13"/>
      <c r="Q173" s="158">
        <f>Q172/P172</f>
        <v>0.79982417047178311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6"/>
        <v>Service</v>
      </c>
      <c r="B174" s="11" t="s">
        <v>78</v>
      </c>
      <c r="C174" s="86"/>
      <c r="D174" s="111"/>
      <c r="E174" s="159">
        <f>IFERROR(E172/D172,0)</f>
        <v>0</v>
      </c>
      <c r="F174" s="160"/>
      <c r="G174" s="23"/>
      <c r="H174" s="159"/>
      <c r="I174" s="160"/>
      <c r="J174" s="161"/>
      <c r="K174" s="481">
        <f>IFERROR(K172/J172,0)</f>
        <v>285.7878716216216</v>
      </c>
      <c r="L174" s="160"/>
      <c r="M174" s="162"/>
      <c r="N174" s="91"/>
      <c r="O174" s="161"/>
      <c r="P174" s="481">
        <f>IFERROR(P172/O172,0)</f>
        <v>257.81374613003095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6"/>
        <v>ServiceM/O Garantie</v>
      </c>
      <c r="B175" s="11" t="s">
        <v>78</v>
      </c>
      <c r="C175" s="14" t="s">
        <v>83</v>
      </c>
      <c r="D175" s="163">
        <v>0</v>
      </c>
      <c r="E175" s="82">
        <v>27921.832539270315</v>
      </c>
      <c r="F175" s="82">
        <v>20131.641260813896</v>
      </c>
      <c r="G175" s="164"/>
      <c r="H175" s="82"/>
      <c r="I175" s="82"/>
      <c r="J175" s="164">
        <v>151</v>
      </c>
      <c r="K175" s="165">
        <v>19987.38</v>
      </c>
      <c r="L175" s="33">
        <v>12979.78</v>
      </c>
      <c r="M175" s="157">
        <f>(K175-E175)/E175</f>
        <v>-0.28416661148980826</v>
      </c>
      <c r="N175" s="109">
        <f>L175-F175</f>
        <v>-7151.8612608138956</v>
      </c>
      <c r="O175" s="164">
        <v>180</v>
      </c>
      <c r="P175" s="165">
        <v>24617.9899999999</v>
      </c>
      <c r="Q175" s="33">
        <v>17286.63</v>
      </c>
      <c r="R175" s="157">
        <f>IF(O175=0,0,J175/O175)</f>
        <v>0.83888888888888891</v>
      </c>
      <c r="S175" s="85">
        <f>L175-Q175</f>
        <v>-4306.8500000000004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6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/>
      <c r="J176" s="41"/>
      <c r="K176" s="13"/>
      <c r="L176" s="158">
        <f>IF(L175=0,0,L175/K175)</f>
        <v>0.64939877062426388</v>
      </c>
      <c r="M176" s="42"/>
      <c r="N176" s="43"/>
      <c r="O176" s="41"/>
      <c r="P176" s="13"/>
      <c r="Q176" s="158">
        <f>Q175/P175</f>
        <v>0.70219502079577056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6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136.76661111111056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6"/>
        <v>ServiceM/O Interne</v>
      </c>
      <c r="B178" s="11" t="s">
        <v>78</v>
      </c>
      <c r="C178" s="29" t="s">
        <v>84</v>
      </c>
      <c r="D178" s="13">
        <v>0</v>
      </c>
      <c r="E178" s="82">
        <v>47824.028760260728</v>
      </c>
      <c r="F178" s="82">
        <v>29555.249773841129</v>
      </c>
      <c r="G178" s="41"/>
      <c r="H178" s="82"/>
      <c r="I178" s="82"/>
      <c r="J178" s="60">
        <v>188</v>
      </c>
      <c r="K178" s="165">
        <v>41586.22</v>
      </c>
      <c r="L178" s="33">
        <v>23730.2</v>
      </c>
      <c r="M178" s="157">
        <f>(K178-E178)/E178</f>
        <v>-0.13043252360712906</v>
      </c>
      <c r="N178" s="59">
        <f>L178-F178</f>
        <v>-5825.0497738411286</v>
      </c>
      <c r="O178" s="60">
        <v>169</v>
      </c>
      <c r="P178" s="165">
        <v>33571.619999999901</v>
      </c>
      <c r="Q178" s="33">
        <v>21721.85</v>
      </c>
      <c r="R178" s="157">
        <f>IF(O178=0,0,J178/O178)</f>
        <v>1.1124260355029585</v>
      </c>
      <c r="S178" s="85">
        <f>L178-Q178</f>
        <v>2008.3500000000022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6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0.61799999999999999</v>
      </c>
      <c r="G179" s="41"/>
      <c r="H179" s="144"/>
      <c r="I179" s="158"/>
      <c r="J179" s="60"/>
      <c r="K179" s="144"/>
      <c r="L179" s="158">
        <f>IF(L178=0,0,L178/K178)</f>
        <v>0.57062652003476155</v>
      </c>
      <c r="M179" s="157"/>
      <c r="N179" s="59">
        <f>L179-F179</f>
        <v>-4.7373479965238441E-2</v>
      </c>
      <c r="O179" s="60"/>
      <c r="P179" s="144"/>
      <c r="Q179" s="158">
        <f>Q178/P178</f>
        <v>0.64703014033877615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6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198.64863905325385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6"/>
        <v>ServiceM/O Esthétique</v>
      </c>
      <c r="B181" s="11" t="s">
        <v>78</v>
      </c>
      <c r="C181" s="14" t="s">
        <v>85</v>
      </c>
      <c r="D181" s="105">
        <v>0</v>
      </c>
      <c r="E181" s="82">
        <v>19291.158745703557</v>
      </c>
      <c r="F181" s="82">
        <v>7716.4634982814232</v>
      </c>
      <c r="G181" s="107"/>
      <c r="H181" s="82"/>
      <c r="I181" s="82"/>
      <c r="J181" s="164">
        <v>129</v>
      </c>
      <c r="K181" s="165">
        <v>28303.97</v>
      </c>
      <c r="L181" s="108">
        <v>11603.560000000001</v>
      </c>
      <c r="M181" s="173">
        <f>IF(E181=0,0,(K181-E181)/E181)</f>
        <v>0.46719906114005405</v>
      </c>
      <c r="N181" s="109">
        <f>L181-F181</f>
        <v>3887.0965017185781</v>
      </c>
      <c r="O181" s="164">
        <v>107</v>
      </c>
      <c r="P181" s="165">
        <v>20548.03</v>
      </c>
      <c r="Q181" s="108">
        <v>8942.52</v>
      </c>
      <c r="R181" s="157">
        <f>IF(O181=0,0,J181/O181)</f>
        <v>1.205607476635514</v>
      </c>
      <c r="S181" s="110">
        <f>L181-Q181</f>
        <v>2661.0400000000009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6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0.4099622773766366</v>
      </c>
      <c r="M182" s="60">
        <f>J182-D182</f>
        <v>0</v>
      </c>
      <c r="N182" s="176"/>
      <c r="O182" s="175"/>
      <c r="P182" s="174"/>
      <c r="Q182" s="158">
        <f>IFERROR(Q181/P181,0)</f>
        <v>0.43520084407118353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6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192.03766355140186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6"/>
        <v>ServiceAjustement M/O</v>
      </c>
      <c r="B184" s="11" t="s">
        <v>78</v>
      </c>
      <c r="C184" s="29" t="s">
        <v>86</v>
      </c>
      <c r="D184" s="13"/>
      <c r="E184" s="13"/>
      <c r="F184" s="59">
        <v>-2814.5682450903769</v>
      </c>
      <c r="G184" s="41"/>
      <c r="H184" s="82"/>
      <c r="I184" s="82"/>
      <c r="J184" s="60"/>
      <c r="K184" s="82"/>
      <c r="L184" s="82">
        <v>-4926.28</v>
      </c>
      <c r="M184" s="175"/>
      <c r="N184" s="59">
        <f>L184-F184</f>
        <v>-2111.7117549096229</v>
      </c>
      <c r="O184" s="60"/>
      <c r="P184" s="82"/>
      <c r="Q184" s="82">
        <v>-2221.81</v>
      </c>
      <c r="R184" s="184"/>
      <c r="S184" s="85">
        <f>L184-Q184</f>
        <v>-2704.47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6"/>
        <v>ServiceSous-total M/O</v>
      </c>
      <c r="B185" s="11" t="s">
        <v>78</v>
      </c>
      <c r="C185" s="185" t="s">
        <v>87</v>
      </c>
      <c r="D185" s="186">
        <f>D172+D175+D178+D181+D184</f>
        <v>0</v>
      </c>
      <c r="E185" s="186">
        <f>E172+E175+E178+E181+E184</f>
        <v>186496.3307781239</v>
      </c>
      <c r="F185" s="187">
        <f>F172+F175+F178+F181+F184</f>
        <v>127390.39763122596</v>
      </c>
      <c r="G185" s="188"/>
      <c r="H185" s="186"/>
      <c r="I185" s="187"/>
      <c r="J185" s="188">
        <f>J172+J175+J178+J181+J184</f>
        <v>764</v>
      </c>
      <c r="K185" s="186">
        <f>K172+K175+K178+K181+K184</f>
        <v>174470.78</v>
      </c>
      <c r="L185" s="187">
        <f>L172+L175+L178+L181+L184</f>
        <v>109980.4</v>
      </c>
      <c r="M185" s="189">
        <f>(K185-E185)/E185</f>
        <v>-6.4481433645098299E-2</v>
      </c>
      <c r="N185" s="187">
        <f>L185-F185</f>
        <v>-17409.997631225968</v>
      </c>
      <c r="O185" s="188">
        <f t="shared" ref="O185:Q185" si="47">O172+O175+O178+O181+O184</f>
        <v>779</v>
      </c>
      <c r="P185" s="186">
        <f t="shared" si="47"/>
        <v>162011.47999999981</v>
      </c>
      <c r="Q185" s="187">
        <f t="shared" si="47"/>
        <v>112333.62000000001</v>
      </c>
      <c r="R185" s="42">
        <f>IF(O185=0,0,J185/O185)</f>
        <v>0.98074454428754809</v>
      </c>
      <c r="S185" s="190">
        <f>L185-Q185</f>
        <v>-2353.2200000000157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6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0.68307187117146706</v>
      </c>
      <c r="G186" s="194"/>
      <c r="H186" s="192"/>
      <c r="I186" s="43"/>
      <c r="J186" s="194"/>
      <c r="K186" s="443">
        <f>IF(J185=0,0,K185/J185)</f>
        <v>228.36489528795812</v>
      </c>
      <c r="L186" s="43">
        <f>IF(L185=0,0,L185/K185)</f>
        <v>0.63036572657037471</v>
      </c>
      <c r="M186" s="194"/>
      <c r="N186" s="193">
        <f>N185/F185</f>
        <v>-0.13666648314910687</v>
      </c>
      <c r="O186" s="194"/>
      <c r="P186" s="443">
        <f>IF(O185=0,0,P185/O185)</f>
        <v>207.97365853658511</v>
      </c>
      <c r="Q186" s="43">
        <f>Q185/P185</f>
        <v>0.69336827242118981</v>
      </c>
      <c r="R186" s="194"/>
      <c r="S186" s="44">
        <f>IF(R185=0,0,S185/R185)</f>
        <v>-2399.4219633508014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6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6"/>
        <v>ServiceSous-traitement</v>
      </c>
      <c r="B188" s="11" t="s">
        <v>78</v>
      </c>
      <c r="C188" s="29" t="s">
        <v>89</v>
      </c>
      <c r="D188" s="82"/>
      <c r="E188" s="82">
        <v>3723.0847765048825</v>
      </c>
      <c r="F188" s="82">
        <v>636.647496782335</v>
      </c>
      <c r="G188" s="60"/>
      <c r="H188" s="82"/>
      <c r="I188" s="82"/>
      <c r="J188" s="60"/>
      <c r="K188" s="30">
        <v>2037.93</v>
      </c>
      <c r="L188" s="33">
        <v>18.720000000000027</v>
      </c>
      <c r="M188" s="84">
        <f>IF(E188=0,0,(K188-E188)/E188)</f>
        <v>-0.45262326207002301</v>
      </c>
      <c r="N188" s="59">
        <f>L188-F188</f>
        <v>-617.92749678233497</v>
      </c>
      <c r="O188" s="60"/>
      <c r="P188" s="30">
        <v>5154.13</v>
      </c>
      <c r="Q188" s="33">
        <v>493.9</v>
      </c>
      <c r="R188" s="157">
        <f>IF(O188=0,0,J188/O188)</f>
        <v>0</v>
      </c>
      <c r="S188" s="85">
        <f>L188-Q188</f>
        <v>-475.17999999999995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6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0.17100000000000001</v>
      </c>
      <c r="G189" s="41"/>
      <c r="H189" s="144"/>
      <c r="I189" s="158"/>
      <c r="J189" s="175"/>
      <c r="K189" s="174"/>
      <c r="L189" s="158">
        <f>IF(L188=0,0,L188/K188)</f>
        <v>9.1857914648687776E-3</v>
      </c>
      <c r="M189" s="175"/>
      <c r="N189" s="176"/>
      <c r="O189" s="175"/>
      <c r="P189" s="174"/>
      <c r="Q189" s="158">
        <f>IFERROR(Q188/P188,0)</f>
        <v>9.5826065698769725E-2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>
      <c r="A190" t="str">
        <f t="shared" si="46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>
      <c r="A191" t="str">
        <f t="shared" si="46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>
      <c r="A192" t="str">
        <f t="shared" si="46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6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6"/>
        <v>ServiceTotal Mécanique</v>
      </c>
      <c r="B194" s="11" t="s">
        <v>78</v>
      </c>
      <c r="C194" s="62" t="s">
        <v>91</v>
      </c>
      <c r="D194" s="63"/>
      <c r="E194" s="63">
        <f>E185+E188+E191</f>
        <v>190219.41555462879</v>
      </c>
      <c r="F194" s="65">
        <f>F185+F188+F191</f>
        <v>128027.04512800829</v>
      </c>
      <c r="G194" s="66"/>
      <c r="H194" s="63"/>
      <c r="I194" s="65"/>
      <c r="J194" s="66"/>
      <c r="K194" s="63">
        <f>K185+K188+K191</f>
        <v>176508.71</v>
      </c>
      <c r="L194" s="65">
        <f>L185+L188+L191</f>
        <v>109999.12</v>
      </c>
      <c r="M194" s="206">
        <f>L195-F195</f>
        <v>-4.9855581096507229E-2</v>
      </c>
      <c r="N194" s="65">
        <f>L194-F194</f>
        <v>-18027.925128008297</v>
      </c>
      <c r="O194" s="66"/>
      <c r="P194" s="63">
        <f t="shared" ref="P194:Q194" si="48">P185+P188+P191</f>
        <v>167165.60999999981</v>
      </c>
      <c r="Q194" s="65">
        <f t="shared" si="48"/>
        <v>112827.52</v>
      </c>
      <c r="R194" s="206">
        <f>L195-Q195</f>
        <v>-5.1750843170722205E-2</v>
      </c>
      <c r="S194" s="68">
        <f>L194-Q194</f>
        <v>-2828.4000000000087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6"/>
        <v>Service</v>
      </c>
      <c r="B195" s="11" t="s">
        <v>78</v>
      </c>
      <c r="C195" s="69"/>
      <c r="D195" s="70"/>
      <c r="E195" s="70"/>
      <c r="F195" s="74">
        <f>F194/E194</f>
        <v>0.6730493033779742</v>
      </c>
      <c r="G195" s="72"/>
      <c r="H195" s="70"/>
      <c r="I195" s="74"/>
      <c r="J195" s="72"/>
      <c r="K195" s="70"/>
      <c r="L195" s="74">
        <f>L194/K194</f>
        <v>0.62319372228146697</v>
      </c>
      <c r="M195" s="73"/>
      <c r="N195" s="74">
        <f>N194/F194</f>
        <v>-0.14081341258780919</v>
      </c>
      <c r="O195" s="72"/>
      <c r="P195" s="70"/>
      <c r="Q195" s="74">
        <f>Q194/P194</f>
        <v>0.67494456545218917</v>
      </c>
      <c r="R195" s="73"/>
      <c r="S195" s="75">
        <f>L194/S194</f>
        <v>-38.890934804129422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6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82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6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6"/>
        <v>ServiceSalaires cadres</v>
      </c>
      <c r="B198" s="11" t="s">
        <v>78</v>
      </c>
      <c r="C198" s="102" t="s">
        <v>40</v>
      </c>
      <c r="D198" s="13"/>
      <c r="E198" s="13"/>
      <c r="F198" s="30">
        <v>9703.5640585241727</v>
      </c>
      <c r="G198" s="41"/>
      <c r="H198" s="13"/>
      <c r="I198" s="30"/>
      <c r="J198" s="41"/>
      <c r="K198" s="13"/>
      <c r="L198" s="33">
        <v>8159.54</v>
      </c>
      <c r="M198" s="41"/>
      <c r="N198" s="59">
        <f t="shared" ref="N198:N229" si="49">L198-F198</f>
        <v>-1544.0240585241727</v>
      </c>
      <c r="O198" s="41"/>
      <c r="P198" s="13"/>
      <c r="Q198" s="33">
        <v>8017.16</v>
      </c>
      <c r="R198" s="41"/>
      <c r="S198" s="85">
        <f t="shared" ref="S198:S228" si="50">L198-Q198</f>
        <v>142.38000000000011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6"/>
        <v>ServiceSalaires commis</v>
      </c>
      <c r="B199" s="11" t="s">
        <v>78</v>
      </c>
      <c r="C199" s="103" t="s">
        <v>41</v>
      </c>
      <c r="D199" s="81"/>
      <c r="E199" s="13"/>
      <c r="F199" s="22">
        <v>5070.0260814249359</v>
      </c>
      <c r="G199" s="83"/>
      <c r="H199" s="13"/>
      <c r="I199" s="22"/>
      <c r="J199" s="41"/>
      <c r="K199" s="13"/>
      <c r="L199" s="33">
        <v>4621.95</v>
      </c>
      <c r="M199" s="41"/>
      <c r="N199" s="59">
        <f t="shared" si="49"/>
        <v>-448.07608142493609</v>
      </c>
      <c r="O199" s="41"/>
      <c r="P199" s="13"/>
      <c r="Q199" s="33">
        <v>4395.41</v>
      </c>
      <c r="R199" s="41"/>
      <c r="S199" s="85">
        <f t="shared" si="50"/>
        <v>226.53999999999996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6"/>
        <v>ServiceSalaires autres</v>
      </c>
      <c r="B200" s="11" t="s">
        <v>78</v>
      </c>
      <c r="C200" s="102" t="s">
        <v>42</v>
      </c>
      <c r="D200" s="104"/>
      <c r="E200" s="105"/>
      <c r="F200" s="30">
        <v>4472.1755725190842</v>
      </c>
      <c r="G200" s="106"/>
      <c r="H200" s="105"/>
      <c r="I200" s="30"/>
      <c r="J200" s="107"/>
      <c r="K200" s="105"/>
      <c r="L200" s="108">
        <v>8534</v>
      </c>
      <c r="M200" s="107"/>
      <c r="N200" s="109">
        <f t="shared" si="49"/>
        <v>4061.8244274809158</v>
      </c>
      <c r="O200" s="107"/>
      <c r="P200" s="105"/>
      <c r="Q200" s="108">
        <v>6608.1</v>
      </c>
      <c r="R200" s="107"/>
      <c r="S200" s="110">
        <f t="shared" si="50"/>
        <v>1925.8999999999996</v>
      </c>
      <c r="T200" s="13"/>
      <c r="U200" s="13"/>
      <c r="V200" s="13" t="s">
        <v>225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6"/>
        <v>ServiceSalaires spécialistes</v>
      </c>
      <c r="B201" s="11" t="s">
        <v>78</v>
      </c>
      <c r="C201" s="102" t="s">
        <v>43</v>
      </c>
      <c r="D201" s="81"/>
      <c r="E201" s="13"/>
      <c r="F201" s="30">
        <v>13563.745330702255</v>
      </c>
      <c r="G201" s="83"/>
      <c r="H201" s="13"/>
      <c r="I201" s="30"/>
      <c r="J201" s="41"/>
      <c r="K201" s="13"/>
      <c r="L201" s="33">
        <v>12116.41</v>
      </c>
      <c r="M201" s="41"/>
      <c r="N201" s="59">
        <f t="shared" si="49"/>
        <v>-1447.3353307022553</v>
      </c>
      <c r="O201" s="41"/>
      <c r="P201" s="13"/>
      <c r="Q201" s="33">
        <v>11493.78</v>
      </c>
      <c r="R201" s="41"/>
      <c r="S201" s="85">
        <f t="shared" si="50"/>
        <v>622.6299999999992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6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9"/>
        <v>0</v>
      </c>
      <c r="O202" s="41"/>
      <c r="P202" s="13"/>
      <c r="Q202" s="33">
        <v>0</v>
      </c>
      <c r="R202" s="41"/>
      <c r="S202" s="85">
        <f t="shared" si="50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6"/>
        <v>ServiceSalaires en absences</v>
      </c>
      <c r="B205" s="11" t="s">
        <v>78</v>
      </c>
      <c r="C205" s="103" t="s">
        <v>44</v>
      </c>
      <c r="D205" s="81"/>
      <c r="E205" s="13"/>
      <c r="F205" s="30">
        <v>7772.8074175562506</v>
      </c>
      <c r="G205" s="83"/>
      <c r="H205" s="13"/>
      <c r="I205" s="30"/>
      <c r="J205" s="41"/>
      <c r="K205" s="13"/>
      <c r="L205" s="33">
        <v>3656.35</v>
      </c>
      <c r="M205" s="41"/>
      <c r="N205" s="59">
        <f t="shared" si="49"/>
        <v>-4116.4574175562502</v>
      </c>
      <c r="O205" s="41"/>
      <c r="P205" s="13"/>
      <c r="Q205" s="33">
        <v>5249.73</v>
      </c>
      <c r="R205" s="41"/>
      <c r="S205" s="85">
        <f>L205-Q205</f>
        <v>-1593.3799999999997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6"/>
        <v>ServiceDéduction à la source</v>
      </c>
      <c r="B206" s="11" t="s">
        <v>78</v>
      </c>
      <c r="C206" s="102" t="s">
        <v>45</v>
      </c>
      <c r="D206" s="104"/>
      <c r="E206" s="105"/>
      <c r="F206" s="55">
        <v>10251.640070301715</v>
      </c>
      <c r="G206" s="106"/>
      <c r="H206" s="105"/>
      <c r="I206" s="55"/>
      <c r="J206" s="107"/>
      <c r="K206" s="105"/>
      <c r="L206" s="108">
        <v>9937.5</v>
      </c>
      <c r="M206" s="107"/>
      <c r="N206" s="109">
        <f t="shared" si="49"/>
        <v>-314.14007030171524</v>
      </c>
      <c r="O206" s="107"/>
      <c r="P206" s="105"/>
      <c r="Q206" s="108">
        <v>9760.92</v>
      </c>
      <c r="R206" s="107"/>
      <c r="S206" s="110">
        <f t="shared" ref="S206:S236" si="51">L206-Q206</f>
        <v>176.57999999999993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6"/>
        <v>ServiceBénéfices marginaux</v>
      </c>
      <c r="B207" s="11" t="s">
        <v>78</v>
      </c>
      <c r="C207" s="102" t="s">
        <v>46</v>
      </c>
      <c r="D207" s="81"/>
      <c r="E207" s="13"/>
      <c r="F207" s="30">
        <v>4673.5417967551939</v>
      </c>
      <c r="G207" s="83"/>
      <c r="H207" s="13"/>
      <c r="I207" s="30"/>
      <c r="J207" s="41"/>
      <c r="K207" s="13"/>
      <c r="L207" s="33">
        <v>4285.6000000000004</v>
      </c>
      <c r="M207" s="41"/>
      <c r="N207" s="59">
        <f t="shared" si="49"/>
        <v>-387.94179675519354</v>
      </c>
      <c r="O207" s="41"/>
      <c r="P207" s="13"/>
      <c r="Q207" s="33">
        <v>3933.57</v>
      </c>
      <c r="R207" s="41"/>
      <c r="S207" s="85">
        <f t="shared" si="51"/>
        <v>352.0300000000002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6"/>
        <v>ServiceCsst</v>
      </c>
      <c r="B208" s="11" t="s">
        <v>78</v>
      </c>
      <c r="C208" s="102" t="s">
        <v>47</v>
      </c>
      <c r="D208" s="81"/>
      <c r="E208" s="13"/>
      <c r="F208" s="30">
        <v>1055.3158895898825</v>
      </c>
      <c r="G208" s="83"/>
      <c r="H208" s="13"/>
      <c r="I208" s="30"/>
      <c r="J208" s="41"/>
      <c r="K208" s="13"/>
      <c r="L208" s="33">
        <v>1263.33</v>
      </c>
      <c r="M208" s="483"/>
      <c r="N208" s="146">
        <f t="shared" si="49"/>
        <v>208.01411041011738</v>
      </c>
      <c r="O208" s="483"/>
      <c r="P208" s="484"/>
      <c r="Q208" s="22">
        <v>1030.92</v>
      </c>
      <c r="R208" s="483"/>
      <c r="S208" s="485">
        <f t="shared" si="51"/>
        <v>232.40999999999985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6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9"/>
        <v>0</v>
      </c>
      <c r="O209" s="23"/>
      <c r="P209" s="111"/>
      <c r="Q209" s="33">
        <v>0</v>
      </c>
      <c r="R209" s="23"/>
      <c r="S209" s="92">
        <f t="shared" si="51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6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0.44180365297675156</v>
      </c>
      <c r="F210" s="96">
        <f>+SUM(F198:F209)</f>
        <v>56562.816217373489</v>
      </c>
      <c r="G210" s="97"/>
      <c r="H210" s="95"/>
      <c r="I210" s="96"/>
      <c r="J210" s="97" t="s">
        <v>92</v>
      </c>
      <c r="K210" s="95">
        <f>L210/L$194</f>
        <v>0.47795546000731637</v>
      </c>
      <c r="L210" s="96">
        <f>+SUM(L198:L209)</f>
        <v>52574.679999999993</v>
      </c>
      <c r="M210" s="147"/>
      <c r="N210" s="113">
        <f t="shared" si="49"/>
        <v>-3988.136217373496</v>
      </c>
      <c r="O210" s="97" t="s">
        <v>92</v>
      </c>
      <c r="P210" s="95">
        <f>Q210/Q$194</f>
        <v>0.44749357249011579</v>
      </c>
      <c r="Q210" s="96">
        <f>+SUM(Q198:Q209)</f>
        <v>50489.589999999989</v>
      </c>
      <c r="R210" s="147"/>
      <c r="S210" s="114">
        <f t="shared" si="51"/>
        <v>2085.0900000000038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6"/>
        <v>ServicePublicité 2</v>
      </c>
      <c r="B211" s="11" t="s">
        <v>78</v>
      </c>
      <c r="C211" s="29" t="s">
        <v>49</v>
      </c>
      <c r="D211" s="81"/>
      <c r="E211" s="13"/>
      <c r="F211" s="30">
        <v>5906.8019975352545</v>
      </c>
      <c r="G211" s="83"/>
      <c r="H211" s="13"/>
      <c r="I211" s="30"/>
      <c r="J211" s="41"/>
      <c r="K211" s="13"/>
      <c r="L211" s="33">
        <v>7062.93</v>
      </c>
      <c r="M211" s="41"/>
      <c r="N211" s="59">
        <f t="shared" si="49"/>
        <v>1156.1280024647458</v>
      </c>
      <c r="O211" s="41"/>
      <c r="P211" s="13"/>
      <c r="Q211" s="33">
        <v>7161.73</v>
      </c>
      <c r="R211" s="41"/>
      <c r="S211" s="85">
        <f t="shared" si="51"/>
        <v>-98.799999999999272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6"/>
        <v>ServiceService gratuit 2</v>
      </c>
      <c r="B212" s="11" t="s">
        <v>78</v>
      </c>
      <c r="C212" s="29" t="s">
        <v>50</v>
      </c>
      <c r="D212" s="81"/>
      <c r="E212" s="13"/>
      <c r="F212" s="30">
        <v>3700</v>
      </c>
      <c r="G212" s="83"/>
      <c r="H212" s="13"/>
      <c r="I212" s="30"/>
      <c r="J212" s="41"/>
      <c r="K212" s="13"/>
      <c r="L212" s="33">
        <v>2513.5</v>
      </c>
      <c r="M212" s="41"/>
      <c r="N212" s="59">
        <f t="shared" si="49"/>
        <v>-1186.5</v>
      </c>
      <c r="O212" s="41"/>
      <c r="P212" s="13"/>
      <c r="Q212" s="33">
        <v>2346.87</v>
      </c>
      <c r="R212" s="41"/>
      <c r="S212" s="85">
        <f t="shared" si="51"/>
        <v>166.63000000000011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6"/>
        <v>ServiceFrais véhicules de cie</v>
      </c>
      <c r="B213" s="11" t="s">
        <v>78</v>
      </c>
      <c r="C213" s="86" t="s">
        <v>51</v>
      </c>
      <c r="D213" s="87"/>
      <c r="E213" s="111"/>
      <c r="F213" s="22">
        <v>4822.7083333333339</v>
      </c>
      <c r="G213" s="89"/>
      <c r="H213" s="111"/>
      <c r="I213" s="22"/>
      <c r="J213" s="23"/>
      <c r="K213" s="111"/>
      <c r="L213" s="33">
        <v>4922.0499999999993</v>
      </c>
      <c r="M213" s="23"/>
      <c r="N213" s="91">
        <f t="shared" si="49"/>
        <v>99.341666666665333</v>
      </c>
      <c r="O213" s="23"/>
      <c r="P213" s="111"/>
      <c r="Q213" s="33">
        <v>6115.07</v>
      </c>
      <c r="R213" s="23"/>
      <c r="S213" s="92">
        <f t="shared" si="51"/>
        <v>-1193.0200000000004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6"/>
        <v>ServiceInformatique</v>
      </c>
      <c r="B214" s="11" t="s">
        <v>78</v>
      </c>
      <c r="C214" s="29" t="s">
        <v>52</v>
      </c>
      <c r="D214" s="81"/>
      <c r="E214" s="13"/>
      <c r="F214" s="30">
        <v>5527.0249999999996</v>
      </c>
      <c r="G214" s="83"/>
      <c r="H214" s="13"/>
      <c r="I214" s="30"/>
      <c r="J214" s="41"/>
      <c r="K214" s="13"/>
      <c r="L214" s="108">
        <v>5548.89</v>
      </c>
      <c r="M214" s="41"/>
      <c r="N214" s="59">
        <f t="shared" si="49"/>
        <v>21.865000000000691</v>
      </c>
      <c r="O214" s="41"/>
      <c r="P214" s="13"/>
      <c r="Q214" s="108">
        <v>4709.49</v>
      </c>
      <c r="R214" s="41"/>
      <c r="S214" s="85">
        <f t="shared" si="51"/>
        <v>839.40000000000055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6"/>
        <v>ServiceFrais de déplacement</v>
      </c>
      <c r="B215" s="11" t="s">
        <v>78</v>
      </c>
      <c r="C215" s="29" t="s">
        <v>53</v>
      </c>
      <c r="D215" s="81"/>
      <c r="E215" s="13"/>
      <c r="F215" s="30">
        <v>411.3</v>
      </c>
      <c r="G215" s="83"/>
      <c r="H215" s="13"/>
      <c r="I215" s="30"/>
      <c r="J215" s="41"/>
      <c r="K215" s="13"/>
      <c r="L215" s="33">
        <v>885.31</v>
      </c>
      <c r="M215" s="41"/>
      <c r="N215" s="59">
        <f t="shared" si="49"/>
        <v>474.00999999999993</v>
      </c>
      <c r="O215" s="41"/>
      <c r="P215" s="13"/>
      <c r="Q215" s="33">
        <v>333.52</v>
      </c>
      <c r="R215" s="41"/>
      <c r="S215" s="85">
        <f t="shared" si="51"/>
        <v>551.79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6"/>
        <v>ServiceServices extérieurs</v>
      </c>
      <c r="B216" s="11" t="s">
        <v>78</v>
      </c>
      <c r="C216" s="86" t="s">
        <v>54</v>
      </c>
      <c r="D216" s="87"/>
      <c r="E216" s="111"/>
      <c r="F216" s="22">
        <v>5452.2250000000004</v>
      </c>
      <c r="G216" s="89"/>
      <c r="H216" s="111"/>
      <c r="I216" s="22"/>
      <c r="J216" s="23"/>
      <c r="K216" s="111"/>
      <c r="L216" s="33">
        <v>5229</v>
      </c>
      <c r="M216" s="23"/>
      <c r="N216" s="91">
        <f t="shared" si="49"/>
        <v>-223.22500000000036</v>
      </c>
      <c r="O216" s="23"/>
      <c r="P216" s="111"/>
      <c r="Q216" s="33">
        <v>7336.84</v>
      </c>
      <c r="R216" s="23"/>
      <c r="S216" s="92">
        <f t="shared" si="51"/>
        <v>-2107.84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108">
        <v>0</v>
      </c>
      <c r="M217" s="41"/>
      <c r="N217" s="59">
        <f t="shared" si="49"/>
        <v>0</v>
      </c>
      <c r="O217" s="41"/>
      <c r="P217" s="13"/>
      <c r="Q217" s="108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75" si="52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1231.3253012048192</v>
      </c>
      <c r="G218" s="83"/>
      <c r="H218" s="13"/>
      <c r="I218" s="30"/>
      <c r="J218" s="41"/>
      <c r="K218" s="13"/>
      <c r="L218" s="33">
        <v>-28.96</v>
      </c>
      <c r="M218" s="41"/>
      <c r="N218" s="59">
        <f t="shared" si="49"/>
        <v>-1260.2853012048192</v>
      </c>
      <c r="O218" s="41"/>
      <c r="P218" s="13"/>
      <c r="Q218" s="33">
        <v>853.88</v>
      </c>
      <c r="R218" s="41"/>
      <c r="S218" s="85">
        <f t="shared" ref="S218:S248" si="53">L218-Q218</f>
        <v>-882.84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2"/>
        <v>ServiceUniformes</v>
      </c>
      <c r="B219" s="11" t="s">
        <v>78</v>
      </c>
      <c r="C219" s="29" t="s">
        <v>56</v>
      </c>
      <c r="D219" s="81"/>
      <c r="E219" s="13"/>
      <c r="F219" s="30">
        <v>950</v>
      </c>
      <c r="G219" s="83"/>
      <c r="H219" s="13"/>
      <c r="I219" s="30"/>
      <c r="J219" s="41"/>
      <c r="K219" s="13"/>
      <c r="L219" s="33">
        <v>1182</v>
      </c>
      <c r="M219" s="41"/>
      <c r="N219" s="59">
        <f t="shared" si="49"/>
        <v>232</v>
      </c>
      <c r="O219" s="41"/>
      <c r="P219" s="13"/>
      <c r="Q219" s="33">
        <v>1079.75</v>
      </c>
      <c r="R219" s="41"/>
      <c r="S219" s="85">
        <f t="shared" si="53"/>
        <v>102.25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2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464.49</v>
      </c>
      <c r="M220" s="41"/>
      <c r="N220" s="59">
        <f t="shared" si="49"/>
        <v>70.740000000000009</v>
      </c>
      <c r="O220" s="41"/>
      <c r="P220" s="13"/>
      <c r="Q220" s="32">
        <v>347.68</v>
      </c>
      <c r="R220" s="41"/>
      <c r="S220" s="85">
        <f t="shared" si="53"/>
        <v>116.81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2"/>
        <v>ServiceTéléphone</v>
      </c>
      <c r="B221" s="11" t="s">
        <v>78</v>
      </c>
      <c r="C221" s="29" t="s">
        <v>58</v>
      </c>
      <c r="D221" s="81"/>
      <c r="E221" s="13"/>
      <c r="F221" s="30">
        <v>111.2</v>
      </c>
      <c r="G221" s="83"/>
      <c r="H221" s="13"/>
      <c r="I221" s="30"/>
      <c r="J221" s="41"/>
      <c r="K221" s="13"/>
      <c r="L221" s="33">
        <v>114.27</v>
      </c>
      <c r="M221" s="41"/>
      <c r="N221" s="59">
        <f t="shared" si="49"/>
        <v>3.0699999999999932</v>
      </c>
      <c r="O221" s="41"/>
      <c r="P221" s="13"/>
      <c r="Q221" s="33">
        <v>166.65</v>
      </c>
      <c r="R221" s="41"/>
      <c r="S221" s="85">
        <f t="shared" si="53"/>
        <v>-52.38000000000001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2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158.36000000000001</v>
      </c>
      <c r="M222" s="41"/>
      <c r="N222" s="59">
        <f t="shared" si="49"/>
        <v>45.860000000000014</v>
      </c>
      <c r="O222" s="41"/>
      <c r="P222" s="13"/>
      <c r="Q222" s="33">
        <v>233.87</v>
      </c>
      <c r="R222" s="41"/>
      <c r="S222" s="85">
        <f t="shared" si="53"/>
        <v>-75.509999999999991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2"/>
        <v>ServiceDivers</v>
      </c>
      <c r="B223" s="11" t="s">
        <v>78</v>
      </c>
      <c r="C223" s="29" t="s">
        <v>60</v>
      </c>
      <c r="D223" s="81"/>
      <c r="E223" s="13"/>
      <c r="F223" s="30">
        <v>418.05</v>
      </c>
      <c r="G223" s="83"/>
      <c r="H223" s="13"/>
      <c r="I223" s="30"/>
      <c r="J223" s="41"/>
      <c r="K223" s="13"/>
      <c r="L223" s="33">
        <v>416.49</v>
      </c>
      <c r="M223" s="41"/>
      <c r="N223" s="59">
        <f t="shared" si="49"/>
        <v>-1.5600000000000023</v>
      </c>
      <c r="O223" s="41"/>
      <c r="P223" s="13"/>
      <c r="Q223" s="33">
        <v>404.05</v>
      </c>
      <c r="R223" s="41"/>
      <c r="S223" s="85">
        <f t="shared" si="53"/>
        <v>12.439999999999998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2"/>
        <v>ServiceFormation</v>
      </c>
      <c r="B224" s="11" t="s">
        <v>78</v>
      </c>
      <c r="C224" s="29" t="s">
        <v>61</v>
      </c>
      <c r="D224" s="81"/>
      <c r="E224" s="13"/>
      <c r="F224" s="30">
        <v>1728.5819066666668</v>
      </c>
      <c r="G224" s="83"/>
      <c r="H224" s="13"/>
      <c r="I224" s="30"/>
      <c r="J224" s="41"/>
      <c r="K224" s="13"/>
      <c r="L224" s="33">
        <v>147.12</v>
      </c>
      <c r="M224" s="41"/>
      <c r="N224" s="59">
        <f t="shared" si="49"/>
        <v>-1581.4619066666669</v>
      </c>
      <c r="O224" s="41"/>
      <c r="P224" s="13"/>
      <c r="Q224" s="33">
        <v>3760.83</v>
      </c>
      <c r="R224" s="41"/>
      <c r="S224" s="85">
        <f t="shared" si="53"/>
        <v>-3613.71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2"/>
        <v>ServiceFrais bancaires</v>
      </c>
      <c r="B225" s="11" t="s">
        <v>78</v>
      </c>
      <c r="C225" s="29" t="s">
        <v>62</v>
      </c>
      <c r="D225" s="81"/>
      <c r="E225" s="13"/>
      <c r="F225" s="30">
        <v>1762.1320673852995</v>
      </c>
      <c r="G225" s="83"/>
      <c r="H225" s="13"/>
      <c r="I225" s="30"/>
      <c r="J225" s="41"/>
      <c r="K225" s="13"/>
      <c r="L225" s="33">
        <v>2194.0300000000002</v>
      </c>
      <c r="M225" s="41"/>
      <c r="N225" s="59">
        <f t="shared" si="49"/>
        <v>431.89793261470072</v>
      </c>
      <c r="O225" s="41"/>
      <c r="P225" s="13"/>
      <c r="Q225" s="33">
        <v>1657.48</v>
      </c>
      <c r="R225" s="41"/>
      <c r="S225" s="85">
        <f t="shared" si="53"/>
        <v>536.55000000000018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2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9"/>
        <v>0</v>
      </c>
      <c r="O226" s="41"/>
      <c r="P226" s="13"/>
      <c r="Q226" s="33">
        <v>0</v>
      </c>
      <c r="R226" s="41"/>
      <c r="S226" s="85">
        <f t="shared" si="53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:A285" si="54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 t="shared" ref="S228:S258" si="55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0.25406818983912766</v>
      </c>
      <c r="F229" s="96">
        <f>+SUM(F211:F228)</f>
        <v>32527.599606125375</v>
      </c>
      <c r="G229" s="97"/>
      <c r="H229" s="95"/>
      <c r="I229" s="96"/>
      <c r="J229" s="97" t="s">
        <v>92</v>
      </c>
      <c r="K229" s="95">
        <f>L229/L$194</f>
        <v>0.28008842252556204</v>
      </c>
      <c r="L229" s="96">
        <f>+SUM(L211:L228)</f>
        <v>30809.480000000003</v>
      </c>
      <c r="M229" s="100"/>
      <c r="N229" s="96">
        <f t="shared" si="49"/>
        <v>-1718.1196061253722</v>
      </c>
      <c r="O229" s="97" t="s">
        <v>92</v>
      </c>
      <c r="P229" s="95">
        <f>Q229/Q$194</f>
        <v>0.32357096921034867</v>
      </c>
      <c r="Q229" s="96">
        <f>+SUM(Q211:Q228)</f>
        <v>36507.71</v>
      </c>
      <c r="R229" s="100"/>
      <c r="S229" s="101">
        <f>L229-Q229</f>
        <v>-5698.2299999999959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0.69587184281587922</v>
      </c>
      <c r="F231" s="96">
        <f>F210+F229</f>
        <v>89090.415823498857</v>
      </c>
      <c r="G231" s="97"/>
      <c r="H231" s="95"/>
      <c r="I231" s="96"/>
      <c r="J231" s="97" t="s">
        <v>38</v>
      </c>
      <c r="K231" s="95">
        <f>L231/L$194</f>
        <v>0.75804388253287847</v>
      </c>
      <c r="L231" s="96">
        <f>L210+L229</f>
        <v>83384.160000000003</v>
      </c>
      <c r="M231" s="100"/>
      <c r="N231" s="113">
        <f>L231-F231</f>
        <v>-5706.2558234988537</v>
      </c>
      <c r="O231" s="97" t="s">
        <v>38</v>
      </c>
      <c r="P231" s="95">
        <f>Q231/Q$194</f>
        <v>0.77106454170046446</v>
      </c>
      <c r="Q231" s="96">
        <f>Q210+Q229</f>
        <v>86997.299999999988</v>
      </c>
      <c r="R231" s="100"/>
      <c r="S231" s="114">
        <f>L231-Q231</f>
        <v>-3613.1399999999849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38936.629304509435</v>
      </c>
      <c r="G233" s="153"/>
      <c r="H233" s="125"/>
      <c r="I233" s="127"/>
      <c r="J233" s="154"/>
      <c r="K233" s="126"/>
      <c r="L233" s="127">
        <f>L194-L231</f>
        <v>26614.959999999992</v>
      </c>
      <c r="M233" s="154"/>
      <c r="N233" s="127">
        <f>L233-F233</f>
        <v>-12321.669304509443</v>
      </c>
      <c r="O233" s="154"/>
      <c r="P233" s="126"/>
      <c r="Q233" s="127">
        <f>Q194-Q231</f>
        <v>25830.220000000016</v>
      </c>
      <c r="R233" s="154"/>
      <c r="S233" s="129">
        <f>L233-Q233</f>
        <v>784.73999999997613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Avril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63" t="s">
        <v>5</v>
      </c>
      <c r="E238" s="464"/>
      <c r="F238" s="465"/>
      <c r="G238" s="466"/>
      <c r="H238" s="464"/>
      <c r="I238" s="465"/>
      <c r="J238" s="466" t="s">
        <v>7</v>
      </c>
      <c r="K238" s="464"/>
      <c r="L238" s="465"/>
      <c r="M238" s="466" t="s">
        <v>213</v>
      </c>
      <c r="N238" s="465"/>
      <c r="O238" s="463" t="s">
        <v>8</v>
      </c>
      <c r="P238" s="464"/>
      <c r="Q238" s="465"/>
      <c r="R238" s="470" t="s">
        <v>214</v>
      </c>
      <c r="S238" s="471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56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219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6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6"/>
        <v>CarrosserieM/O Sous-traitement</v>
      </c>
      <c r="B241" s="11" t="s">
        <v>94</v>
      </c>
      <c r="C241" s="29" t="s">
        <v>95</v>
      </c>
      <c r="D241" s="80">
        <v>0</v>
      </c>
      <c r="E241" s="82">
        <v>1565.8512052804426</v>
      </c>
      <c r="F241" s="82">
        <v>281.85321695047969</v>
      </c>
      <c r="G241" s="156"/>
      <c r="H241" s="82"/>
      <c r="I241" s="82"/>
      <c r="J241" s="60">
        <v>1</v>
      </c>
      <c r="K241" s="30">
        <v>349.28</v>
      </c>
      <c r="L241" s="33">
        <v>33.75</v>
      </c>
      <c r="M241" s="157">
        <f>IFERROR((K241-E241)/E241,0)</f>
        <v>-0.77693921438886382</v>
      </c>
      <c r="N241" s="59">
        <f>L241-F241</f>
        <v>-248.10321695047969</v>
      </c>
      <c r="O241" s="60">
        <v>12</v>
      </c>
      <c r="P241" s="30">
        <v>2141.08</v>
      </c>
      <c r="Q241" s="33">
        <v>432.099999999999</v>
      </c>
      <c r="R241" s="157">
        <f>IF(O241=0,0,J241/O241)</f>
        <v>8.3333333333333329E-2</v>
      </c>
      <c r="S241" s="85">
        <f>L241-Q241</f>
        <v>-398.349999999999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6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0.18000000000000002</v>
      </c>
      <c r="G242" s="41"/>
      <c r="H242" s="144"/>
      <c r="I242" s="158"/>
      <c r="J242" s="60"/>
      <c r="K242" s="13"/>
      <c r="L242" s="158">
        <f>IFERROR(L241/K241,0)</f>
        <v>9.6627347686669723E-2</v>
      </c>
      <c r="M242" s="157"/>
      <c r="N242" s="486">
        <f>IFERROR(N241/M241,0)</f>
        <v>319.33414140466101</v>
      </c>
      <c r="O242" s="60"/>
      <c r="P242" s="13"/>
      <c r="Q242" s="158">
        <f>IFERROR(Q241/P241,0)</f>
        <v>0.20181403777532789</v>
      </c>
      <c r="R242" s="60"/>
      <c r="S242" s="85">
        <f>IFERROR(S241/R241,0)</f>
        <v>-4780.199999999988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6"/>
        <v>Carrosserie</v>
      </c>
      <c r="B243" s="11" t="s">
        <v>94</v>
      </c>
      <c r="C243" s="29"/>
      <c r="D243" s="80"/>
      <c r="E243" s="207"/>
      <c r="F243" s="487"/>
      <c r="G243" s="135"/>
      <c r="H243" s="207"/>
      <c r="I243" s="487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6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6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6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6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6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6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6"/>
        <v>CarrosserieTotal Mécanique</v>
      </c>
      <c r="B250" s="11" t="s">
        <v>94</v>
      </c>
      <c r="C250" s="62" t="s">
        <v>91</v>
      </c>
      <c r="D250" s="63"/>
      <c r="E250" s="63">
        <f>E244+E247+E241</f>
        <v>1565.8512052804426</v>
      </c>
      <c r="F250" s="65">
        <f>F244+F247+F241</f>
        <v>281.85321695047969</v>
      </c>
      <c r="G250" s="66"/>
      <c r="H250" s="63"/>
      <c r="I250" s="65"/>
      <c r="J250" s="66"/>
      <c r="K250" s="63">
        <f>K244+K247+K241</f>
        <v>349.28</v>
      </c>
      <c r="L250" s="65">
        <f>L244+L247+L241</f>
        <v>33.75</v>
      </c>
      <c r="M250" s="206">
        <f>L251-F251</f>
        <v>-8.3372652313330298E-2</v>
      </c>
      <c r="N250" s="65">
        <f>L250-F250</f>
        <v>-248.10321695047969</v>
      </c>
      <c r="O250" s="66"/>
      <c r="P250" s="63">
        <f t="shared" ref="P250:Q250" si="57">P244+P247+P241</f>
        <v>2141.08</v>
      </c>
      <c r="Q250" s="65">
        <f t="shared" si="57"/>
        <v>432.099999999999</v>
      </c>
      <c r="R250" s="206">
        <f>L251-Q251</f>
        <v>-0.10518669008865816</v>
      </c>
      <c r="S250" s="68">
        <f>L250-Q250</f>
        <v>-398.349999999999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6"/>
        <v>Carrosserie</v>
      </c>
      <c r="B251" s="11" t="s">
        <v>94</v>
      </c>
      <c r="C251" s="69"/>
      <c r="D251" s="70"/>
      <c r="E251" s="70"/>
      <c r="F251" s="74">
        <f>F250/E250</f>
        <v>0.18000000000000002</v>
      </c>
      <c r="G251" s="72"/>
      <c r="H251" s="70"/>
      <c r="I251" s="74"/>
      <c r="J251" s="72"/>
      <c r="K251" s="70"/>
      <c r="L251" s="74">
        <f>IF(K250=0,0,L250/K250)</f>
        <v>9.6627347686669723E-2</v>
      </c>
      <c r="M251" s="73"/>
      <c r="N251" s="74">
        <f>N250/F250</f>
        <v>-0.8802568217416169</v>
      </c>
      <c r="O251" s="72"/>
      <c r="P251" s="70"/>
      <c r="Q251" s="74">
        <f>Q250/P250</f>
        <v>0.20181403777532789</v>
      </c>
      <c r="R251" s="73"/>
      <c r="S251" s="75">
        <f>IF(R250=0,0,S250/R250)</f>
        <v>3787.0760993072772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6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6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6"/>
        <v>CarrosserieSalaires cadres</v>
      </c>
      <c r="B254" s="11" t="s">
        <v>94</v>
      </c>
      <c r="C254" s="102" t="s">
        <v>40</v>
      </c>
      <c r="D254" s="13"/>
      <c r="E254" s="13"/>
      <c r="F254" s="30">
        <v>304.27500000000003</v>
      </c>
      <c r="G254" s="41"/>
      <c r="H254" s="13"/>
      <c r="I254" s="30"/>
      <c r="J254" s="41"/>
      <c r="K254" s="13"/>
      <c r="L254" s="33">
        <v>304.27</v>
      </c>
      <c r="M254" s="41"/>
      <c r="N254" s="59">
        <f t="shared" ref="N254:N284" si="58">L254-F254</f>
        <v>-5.0000000000522959E-3</v>
      </c>
      <c r="O254" s="41"/>
      <c r="P254" s="13"/>
      <c r="Q254" s="33">
        <v>304.27</v>
      </c>
      <c r="R254" s="41"/>
      <c r="S254" s="85">
        <f t="shared" ref="S254:S265" si="59"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6"/>
        <v>CarrosserieSalaires commis</v>
      </c>
      <c r="B255" s="11" t="s">
        <v>94</v>
      </c>
      <c r="C255" s="103" t="s">
        <v>41</v>
      </c>
      <c r="D255" s="81"/>
      <c r="E255" s="13"/>
      <c r="F255" s="22">
        <v>346.66030534351142</v>
      </c>
      <c r="G255" s="83"/>
      <c r="H255" s="13"/>
      <c r="I255" s="22"/>
      <c r="J255" s="41"/>
      <c r="K255" s="13"/>
      <c r="L255" s="33">
        <v>301.39</v>
      </c>
      <c r="M255" s="41"/>
      <c r="N255" s="59">
        <f t="shared" si="58"/>
        <v>-45.270305343511438</v>
      </c>
      <c r="O255" s="41"/>
      <c r="P255" s="13"/>
      <c r="Q255" s="33">
        <v>302.54000000000002</v>
      </c>
      <c r="R255" s="41"/>
      <c r="S255" s="85">
        <f>L255-Q255</f>
        <v>-1.1500000000000341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6"/>
        <v>CarrosserieSalaires autres</v>
      </c>
      <c r="B256" s="11" t="s">
        <v>94</v>
      </c>
      <c r="C256" s="102" t="s">
        <v>42</v>
      </c>
      <c r="D256" s="104"/>
      <c r="E256" s="105"/>
      <c r="F256" s="30">
        <v>19</v>
      </c>
      <c r="G256" s="106"/>
      <c r="H256" s="105"/>
      <c r="I256" s="30"/>
      <c r="J256" s="107"/>
      <c r="K256" s="105"/>
      <c r="L256" s="108">
        <v>19</v>
      </c>
      <c r="M256" s="107"/>
      <c r="N256" s="109">
        <f t="shared" si="58"/>
        <v>0</v>
      </c>
      <c r="O256" s="107"/>
      <c r="P256" s="105"/>
      <c r="Q256" s="108">
        <v>19</v>
      </c>
      <c r="R256" s="107"/>
      <c r="S256" s="110">
        <f t="shared" ref="S256:S272" si="60">L256-Q256</f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6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8"/>
        <v>0</v>
      </c>
      <c r="O257" s="41"/>
      <c r="P257" s="13"/>
      <c r="Q257" s="33">
        <v>0</v>
      </c>
      <c r="R257" s="41"/>
      <c r="S257" s="85">
        <f t="shared" si="60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6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6"/>
        <v>CarrosserieSalaires en absences</v>
      </c>
      <c r="B261" s="11" t="s">
        <v>94</v>
      </c>
      <c r="C261" s="103" t="s">
        <v>44</v>
      </c>
      <c r="D261" s="81"/>
      <c r="E261" s="13"/>
      <c r="F261" s="22">
        <v>107.97205855536799</v>
      </c>
      <c r="G261" s="83"/>
      <c r="H261" s="13"/>
      <c r="I261" s="22"/>
      <c r="J261" s="41"/>
      <c r="K261" s="13"/>
      <c r="L261" s="33">
        <v>55.04</v>
      </c>
      <c r="M261" s="41"/>
      <c r="N261" s="59">
        <f t="shared" si="58"/>
        <v>-52.932058555367995</v>
      </c>
      <c r="O261" s="41"/>
      <c r="P261" s="13"/>
      <c r="Q261" s="33">
        <v>47.58</v>
      </c>
      <c r="R261" s="41"/>
      <c r="S261" s="85">
        <f t="shared" si="60"/>
        <v>7.4600000000000009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6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142.40551997455472</v>
      </c>
      <c r="G262" s="106"/>
      <c r="H262" s="105"/>
      <c r="I262" s="30"/>
      <c r="J262" s="107"/>
      <c r="K262" s="105"/>
      <c r="L262" s="108">
        <v>219</v>
      </c>
      <c r="M262" s="107"/>
      <c r="N262" s="109">
        <f t="shared" si="58"/>
        <v>76.594480025445279</v>
      </c>
      <c r="O262" s="107"/>
      <c r="P262" s="105"/>
      <c r="Q262" s="108">
        <v>212.96</v>
      </c>
      <c r="R262" s="107"/>
      <c r="S262" s="110">
        <f t="shared" si="60"/>
        <v>6.039999999999992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6"/>
        <v>CarrosserieBénéfices marginaux</v>
      </c>
      <c r="B263" s="11" t="s">
        <v>94</v>
      </c>
      <c r="C263" s="102" t="s">
        <v>46</v>
      </c>
      <c r="D263" s="81"/>
      <c r="E263" s="13"/>
      <c r="F263" s="30">
        <v>64.920163517811702</v>
      </c>
      <c r="G263" s="83"/>
      <c r="H263" s="13"/>
      <c r="I263" s="30"/>
      <c r="J263" s="41"/>
      <c r="K263" s="13"/>
      <c r="L263" s="33">
        <v>48.02</v>
      </c>
      <c r="M263" s="41"/>
      <c r="N263" s="59">
        <f t="shared" si="58"/>
        <v>-16.900163517811698</v>
      </c>
      <c r="O263" s="41"/>
      <c r="P263" s="13"/>
      <c r="Q263" s="33">
        <v>38.49</v>
      </c>
      <c r="R263" s="41"/>
      <c r="S263" s="85">
        <f t="shared" si="60"/>
        <v>9.5300000000000011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6"/>
        <v>CarrosserieCsst</v>
      </c>
      <c r="B264" s="11" t="s">
        <v>94</v>
      </c>
      <c r="C264" s="102" t="s">
        <v>47</v>
      </c>
      <c r="D264" s="81"/>
      <c r="E264" s="13"/>
      <c r="F264" s="30">
        <v>14.659391762086514</v>
      </c>
      <c r="G264" s="83"/>
      <c r="H264" s="13"/>
      <c r="I264" s="30"/>
      <c r="J264" s="41"/>
      <c r="K264" s="13"/>
      <c r="L264" s="33">
        <v>14.46</v>
      </c>
      <c r="M264" s="483"/>
      <c r="N264" s="146">
        <f t="shared" si="58"/>
        <v>-0.19939176208651332</v>
      </c>
      <c r="O264" s="41"/>
      <c r="P264" s="13"/>
      <c r="Q264" s="33">
        <v>3.64</v>
      </c>
      <c r="R264" s="41"/>
      <c r="S264" s="85">
        <f t="shared" si="60"/>
        <v>10.82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6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8"/>
        <v>0</v>
      </c>
      <c r="O265" s="23"/>
      <c r="P265" s="111"/>
      <c r="Q265" s="33">
        <v>0</v>
      </c>
      <c r="R265" s="23"/>
      <c r="S265" s="92">
        <f t="shared" si="60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6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999.89243915333248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961.18</v>
      </c>
      <c r="M266" s="147"/>
      <c r="N266" s="113">
        <f t="shared" si="58"/>
        <v>-38.712439153332525</v>
      </c>
      <c r="O266" s="97" t="s">
        <v>38</v>
      </c>
      <c r="P266" s="95">
        <f>IF(Q244=0,0,Q266/Q$244)</f>
        <v>0</v>
      </c>
      <c r="Q266" s="96">
        <f>+SUM(Q254:Q265)</f>
        <v>928.48</v>
      </c>
      <c r="R266" s="147"/>
      <c r="S266" s="114">
        <f t="shared" si="60"/>
        <v>32.699999999999932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6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12.5</v>
      </c>
      <c r="M267" s="41"/>
      <c r="N267" s="59">
        <f t="shared" si="58"/>
        <v>12.5</v>
      </c>
      <c r="O267" s="41"/>
      <c r="P267" s="13"/>
      <c r="Q267" s="33">
        <v>12.97</v>
      </c>
      <c r="R267" s="41"/>
      <c r="S267" s="85">
        <f t="shared" si="60"/>
        <v>-0.47000000000000064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6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35.700000000000003</v>
      </c>
      <c r="M268" s="41"/>
      <c r="N268" s="59">
        <f t="shared" si="58"/>
        <v>35.700000000000003</v>
      </c>
      <c r="O268" s="41"/>
      <c r="P268" s="13"/>
      <c r="Q268" s="33">
        <v>2.99</v>
      </c>
      <c r="R268" s="41"/>
      <c r="S268" s="85">
        <f t="shared" si="60"/>
        <v>32.71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6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119.375</v>
      </c>
      <c r="G269" s="89"/>
      <c r="H269" s="111"/>
      <c r="I269" s="22"/>
      <c r="J269" s="23"/>
      <c r="K269" s="111"/>
      <c r="L269" s="33">
        <v>144.5</v>
      </c>
      <c r="M269" s="23"/>
      <c r="N269" s="91">
        <f t="shared" si="58"/>
        <v>25.125</v>
      </c>
      <c r="O269" s="23"/>
      <c r="P269" s="111"/>
      <c r="Q269" s="33">
        <v>130.34</v>
      </c>
      <c r="R269" s="23"/>
      <c r="S269" s="92">
        <f t="shared" si="60"/>
        <v>14.159999999999997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6"/>
        <v>CarrosserieInformatique</v>
      </c>
      <c r="B270" s="11" t="s">
        <v>94</v>
      </c>
      <c r="C270" s="102" t="s">
        <v>52</v>
      </c>
      <c r="D270" s="81"/>
      <c r="E270" s="13"/>
      <c r="F270" s="30">
        <v>239.22500000000002</v>
      </c>
      <c r="G270" s="83"/>
      <c r="H270" s="13"/>
      <c r="I270" s="30"/>
      <c r="J270" s="41"/>
      <c r="K270" s="13"/>
      <c r="L270" s="108">
        <v>216.24</v>
      </c>
      <c r="M270" s="41"/>
      <c r="N270" s="59">
        <f t="shared" si="58"/>
        <v>-22.985000000000014</v>
      </c>
      <c r="O270" s="41"/>
      <c r="P270" s="13"/>
      <c r="Q270" s="108">
        <v>219.89</v>
      </c>
      <c r="R270" s="41"/>
      <c r="S270" s="85">
        <f t="shared" si="60"/>
        <v>-3.6499999999999773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6"/>
        <v>CarrosserieFrais de déplacement</v>
      </c>
      <c r="B271" s="11" t="s">
        <v>94</v>
      </c>
      <c r="C271" s="102" t="s">
        <v>53</v>
      </c>
      <c r="D271" s="81"/>
      <c r="E271" s="13"/>
      <c r="F271" s="30">
        <v>45.7</v>
      </c>
      <c r="G271" s="83"/>
      <c r="H271" s="13"/>
      <c r="I271" s="30"/>
      <c r="J271" s="41"/>
      <c r="K271" s="13"/>
      <c r="L271" s="33">
        <v>71.25</v>
      </c>
      <c r="M271" s="41"/>
      <c r="N271" s="59">
        <f t="shared" si="58"/>
        <v>25.549999999999997</v>
      </c>
      <c r="O271" s="41"/>
      <c r="P271" s="13"/>
      <c r="Q271" s="33">
        <v>29.11</v>
      </c>
      <c r="R271" s="41"/>
      <c r="S271" s="85">
        <f t="shared" si="60"/>
        <v>42.14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6"/>
        <v>CarrosserieServices extérieurs</v>
      </c>
      <c r="B272" s="11" t="s">
        <v>94</v>
      </c>
      <c r="C272" s="102" t="s">
        <v>54</v>
      </c>
      <c r="D272" s="87"/>
      <c r="E272" s="111"/>
      <c r="F272" s="22">
        <v>153.02500000000001</v>
      </c>
      <c r="G272" s="89"/>
      <c r="H272" s="111"/>
      <c r="I272" s="22"/>
      <c r="J272" s="23"/>
      <c r="K272" s="111"/>
      <c r="L272" s="33">
        <v>155.81</v>
      </c>
      <c r="M272" s="23"/>
      <c r="N272" s="91">
        <f t="shared" si="58"/>
        <v>2.7849999999999966</v>
      </c>
      <c r="O272" s="23"/>
      <c r="P272" s="111"/>
      <c r="Q272" s="22">
        <v>182.23</v>
      </c>
      <c r="R272" s="23"/>
      <c r="S272" s="92">
        <f t="shared" si="60"/>
        <v>-26.419999999999987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319" si="61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2.5301204819277108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8"/>
        <v>-2.5301204819277108</v>
      </c>
      <c r="O274" s="41"/>
      <c r="P274" s="13"/>
      <c r="Q274" s="33">
        <v>0.7</v>
      </c>
      <c r="R274" s="41"/>
      <c r="S274" s="85">
        <f t="shared" ref="S274:S292" si="62">L274-Q274</f>
        <v>-0.7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61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8"/>
        <v>0</v>
      </c>
      <c r="O275" s="41"/>
      <c r="P275" s="13"/>
      <c r="Q275" s="33">
        <v>4.6100000000000003</v>
      </c>
      <c r="R275" s="41"/>
      <c r="S275" s="85">
        <f t="shared" si="62"/>
        <v>-4.6100000000000003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61"/>
        <v>CarrosseriePapeterie</v>
      </c>
      <c r="B276" s="11" t="s">
        <v>94</v>
      </c>
      <c r="C276" s="102" t="s">
        <v>57</v>
      </c>
      <c r="D276" s="81"/>
      <c r="E276" s="13"/>
      <c r="F276" s="30">
        <v>43.75</v>
      </c>
      <c r="G276" s="83"/>
      <c r="H276" s="13"/>
      <c r="I276" s="30"/>
      <c r="J276" s="41"/>
      <c r="K276" s="13"/>
      <c r="L276" s="32">
        <v>22.98</v>
      </c>
      <c r="M276" s="41"/>
      <c r="N276" s="59">
        <f t="shared" si="58"/>
        <v>-20.77</v>
      </c>
      <c r="O276" s="41"/>
      <c r="P276" s="13"/>
      <c r="Q276" s="32">
        <v>30.45</v>
      </c>
      <c r="R276" s="41"/>
      <c r="S276" s="85">
        <f t="shared" si="62"/>
        <v>-7.4699999999999989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61"/>
        <v>CarrosserieTéléphone</v>
      </c>
      <c r="B277" s="11" t="s">
        <v>94</v>
      </c>
      <c r="C277" s="102" t="s">
        <v>58</v>
      </c>
      <c r="D277" s="81"/>
      <c r="E277" s="13"/>
      <c r="F277" s="30">
        <v>8.8000000000000007</v>
      </c>
      <c r="G277" s="83"/>
      <c r="H277" s="13"/>
      <c r="I277" s="30"/>
      <c r="J277" s="41"/>
      <c r="K277" s="13"/>
      <c r="L277" s="33">
        <v>9.42</v>
      </c>
      <c r="M277" s="41"/>
      <c r="N277" s="59">
        <f t="shared" si="58"/>
        <v>0.61999999999999922</v>
      </c>
      <c r="O277" s="41"/>
      <c r="P277" s="13"/>
      <c r="Q277" s="33">
        <v>9.61</v>
      </c>
      <c r="R277" s="41"/>
      <c r="S277" s="85">
        <f t="shared" si="62"/>
        <v>-0.1899999999999995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61"/>
        <v>CarrosserieFrais postaux</v>
      </c>
      <c r="B278" s="11" t="s">
        <v>94</v>
      </c>
      <c r="C278" s="102" t="s">
        <v>59</v>
      </c>
      <c r="D278" s="81"/>
      <c r="E278" s="13"/>
      <c r="F278" s="30">
        <v>12.5</v>
      </c>
      <c r="G278" s="83"/>
      <c r="H278" s="13"/>
      <c r="I278" s="30"/>
      <c r="J278" s="41"/>
      <c r="K278" s="13"/>
      <c r="L278" s="33">
        <v>8.26</v>
      </c>
      <c r="M278" s="41"/>
      <c r="N278" s="59">
        <f t="shared" si="58"/>
        <v>-4.24</v>
      </c>
      <c r="O278" s="41"/>
      <c r="P278" s="13"/>
      <c r="Q278" s="33">
        <v>14.3</v>
      </c>
      <c r="R278" s="41"/>
      <c r="S278" s="85">
        <f t="shared" si="62"/>
        <v>-6.0400000000000009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61"/>
        <v>CarrosserieDivers</v>
      </c>
      <c r="B279" s="11" t="s">
        <v>94</v>
      </c>
      <c r="C279" s="102" t="s">
        <v>60</v>
      </c>
      <c r="D279" s="81"/>
      <c r="E279" s="13"/>
      <c r="F279" s="30">
        <v>46.45</v>
      </c>
      <c r="G279" s="83"/>
      <c r="H279" s="13"/>
      <c r="I279" s="30"/>
      <c r="J279" s="41"/>
      <c r="K279" s="13"/>
      <c r="L279" s="33">
        <v>46.260000000000005</v>
      </c>
      <c r="M279" s="41"/>
      <c r="N279" s="59">
        <f t="shared" si="58"/>
        <v>-0.18999999999999773</v>
      </c>
      <c r="O279" s="41"/>
      <c r="P279" s="13"/>
      <c r="Q279" s="33">
        <v>44.879999999999903</v>
      </c>
      <c r="R279" s="41"/>
      <c r="S279" s="85">
        <f t="shared" si="62"/>
        <v>1.380000000000102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61"/>
        <v>CarrosserieFormation</v>
      </c>
      <c r="B280" s="11" t="s">
        <v>94</v>
      </c>
      <c r="C280" s="102" t="s">
        <v>61</v>
      </c>
      <c r="D280" s="81"/>
      <c r="E280" s="13"/>
      <c r="F280" s="30">
        <v>20.768359999999994</v>
      </c>
      <c r="G280" s="83"/>
      <c r="H280" s="13"/>
      <c r="I280" s="30"/>
      <c r="J280" s="41"/>
      <c r="K280" s="13"/>
      <c r="L280" s="33">
        <v>16.350000000000001</v>
      </c>
      <c r="M280" s="41"/>
      <c r="N280" s="59">
        <f t="shared" si="58"/>
        <v>-4.4183599999999927</v>
      </c>
      <c r="O280" s="41"/>
      <c r="P280" s="13"/>
      <c r="Q280" s="33">
        <v>14.44</v>
      </c>
      <c r="R280" s="41"/>
      <c r="S280" s="85">
        <f t="shared" si="62"/>
        <v>1.9100000000000019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61"/>
        <v>CarrosserieFrais bancaires</v>
      </c>
      <c r="B281" s="11" t="s">
        <v>94</v>
      </c>
      <c r="C281" s="102" t="s">
        <v>62</v>
      </c>
      <c r="D281" s="81"/>
      <c r="E281" s="13"/>
      <c r="F281" s="30">
        <v>195.79245193169993</v>
      </c>
      <c r="G281" s="83"/>
      <c r="H281" s="13"/>
      <c r="I281" s="30"/>
      <c r="J281" s="41"/>
      <c r="K281" s="13"/>
      <c r="L281" s="33">
        <v>243.76</v>
      </c>
      <c r="M281" s="41"/>
      <c r="N281" s="59">
        <f t="shared" si="58"/>
        <v>47.967548068300061</v>
      </c>
      <c r="O281" s="41"/>
      <c r="P281" s="13"/>
      <c r="Q281" s="33">
        <v>184.17</v>
      </c>
      <c r="R281" s="41"/>
      <c r="S281" s="85">
        <f t="shared" si="62"/>
        <v>59.59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61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:A329" si="63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 t="shared" ref="S284:S302" si="64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887.91593241362773</v>
      </c>
      <c r="G285" s="97"/>
      <c r="H285" s="95"/>
      <c r="I285" s="96"/>
      <c r="J285" s="97" t="s">
        <v>38</v>
      </c>
      <c r="K285" s="95" t="e">
        <f>IF(L262=0,0,L285/L$244)</f>
        <v>#DIV/0!</v>
      </c>
      <c r="L285" s="96">
        <f>+SUM(L267:L284)</f>
        <v>983.03</v>
      </c>
      <c r="M285" s="100"/>
      <c r="N285" s="96">
        <f>+SUM(N267:N284)</f>
        <v>95.114067586372343</v>
      </c>
      <c r="O285" s="97" t="s">
        <v>38</v>
      </c>
      <c r="P285" s="95">
        <f>IF(Q$244=0,0,Q285/Q$244)</f>
        <v>0</v>
      </c>
      <c r="Q285" s="96">
        <f>+SUM(Q267:Q284)</f>
        <v>880.68999999999994</v>
      </c>
      <c r="R285" s="100"/>
      <c r="S285" s="101">
        <f>L285-Q285</f>
        <v>102.34000000000003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1887.8083715669602</v>
      </c>
      <c r="G287" s="97"/>
      <c r="H287" s="95"/>
      <c r="I287" s="96"/>
      <c r="J287" s="97" t="s">
        <v>38</v>
      </c>
      <c r="K287" s="95" t="e">
        <f>IF(L264=0,0,L287/L$244)</f>
        <v>#DIV/0!</v>
      </c>
      <c r="L287" s="96">
        <f>L266+L285</f>
        <v>1944.21</v>
      </c>
      <c r="M287" s="100"/>
      <c r="N287" s="113">
        <f>L287-F287</f>
        <v>56.401628433039832</v>
      </c>
      <c r="O287" s="97" t="s">
        <v>38</v>
      </c>
      <c r="P287" s="95">
        <f>IF(Q$244=0,0,Q287/Q$244)</f>
        <v>0</v>
      </c>
      <c r="Q287" s="96">
        <f>Q266+Q285</f>
        <v>1809.17</v>
      </c>
      <c r="R287" s="100"/>
      <c r="S287" s="114">
        <f>L287-Q287</f>
        <v>135.03999999999996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-1605.9551546164805</v>
      </c>
      <c r="G289" s="153"/>
      <c r="H289" s="125"/>
      <c r="I289" s="127"/>
      <c r="J289" s="154"/>
      <c r="K289" s="126"/>
      <c r="L289" s="127">
        <f>L250-L287</f>
        <v>-1910.46</v>
      </c>
      <c r="M289" s="154"/>
      <c r="N289" s="127">
        <f>L289-F289</f>
        <v>-304.50484538351952</v>
      </c>
      <c r="O289" s="154"/>
      <c r="P289" s="126">
        <f>+Q289/P250</f>
        <v>-0.64316606572384083</v>
      </c>
      <c r="Q289" s="127">
        <f>Q250-Q287</f>
        <v>-1377.0700000000011</v>
      </c>
      <c r="R289" s="154"/>
      <c r="S289" s="129">
        <f>L289-Q289</f>
        <v>-533.38999999999896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Avril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63" t="s">
        <v>5</v>
      </c>
      <c r="E293" s="464"/>
      <c r="F293" s="465"/>
      <c r="G293" s="466"/>
      <c r="H293" s="464"/>
      <c r="I293" s="465"/>
      <c r="J293" s="466" t="s">
        <v>7</v>
      </c>
      <c r="K293" s="464"/>
      <c r="L293" s="465"/>
      <c r="M293" s="466" t="s">
        <v>213</v>
      </c>
      <c r="N293" s="465"/>
      <c r="O293" s="463" t="s">
        <v>8</v>
      </c>
      <c r="P293" s="464"/>
      <c r="Q293" s="465"/>
      <c r="R293" s="470" t="s">
        <v>214</v>
      </c>
      <c r="S293" s="471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3" si="65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219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5"/>
        <v>PiècesPièces Ro Clients</v>
      </c>
      <c r="B295" s="11" t="s">
        <v>98</v>
      </c>
      <c r="C295" s="29" t="s">
        <v>100</v>
      </c>
      <c r="D295" s="82">
        <v>50580.028154357387</v>
      </c>
      <c r="E295" s="148">
        <f>IF(D295=0,0,F295/D295)</f>
        <v>0.41799999999999998</v>
      </c>
      <c r="F295" s="85">
        <v>21142.451768521387</v>
      </c>
      <c r="G295" s="82"/>
      <c r="H295" s="148"/>
      <c r="I295" s="85"/>
      <c r="J295" s="30">
        <v>49147.909999999996</v>
      </c>
      <c r="K295" s="148">
        <f t="shared" ref="K295:K300" si="66">IF(J295&lt;=0,0,L295/J295)</f>
        <v>0.37536977665988225</v>
      </c>
      <c r="L295" s="33">
        <v>18448.639999999992</v>
      </c>
      <c r="M295" s="157">
        <f t="shared" ref="M295:M301" si="67">(+J295-D295)/D295</f>
        <v>-2.8313905836250836E-2</v>
      </c>
      <c r="N295" s="59">
        <f t="shared" ref="N295:N304" si="68">L295-F295</f>
        <v>-2693.8117685213947</v>
      </c>
      <c r="O295" s="30">
        <v>44515.22</v>
      </c>
      <c r="P295" s="148">
        <f t="shared" ref="P295:P303" si="69">IF(O295=0,0,Q295/O295)</f>
        <v>0.39469803810921295</v>
      </c>
      <c r="Q295" s="33">
        <v>17570.07</v>
      </c>
      <c r="R295" s="157">
        <f>IF(O295=0,0,(J295-O295)/O295)</f>
        <v>0.10406979904850509</v>
      </c>
      <c r="S295" s="85">
        <f t="shared" ref="S295:S300" si="70">L295-Q295</f>
        <v>878.56999999999243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5"/>
        <v>PiècesPièces Ro Carrosserie</v>
      </c>
      <c r="B296" s="11" t="s">
        <v>98</v>
      </c>
      <c r="C296" s="29" t="s">
        <v>101</v>
      </c>
      <c r="D296" s="82">
        <v>833</v>
      </c>
      <c r="E296" s="148">
        <f t="shared" ref="E296:E303" si="71">IF(D296=0,0,F296/D296)</f>
        <v>0.34</v>
      </c>
      <c r="F296" s="85">
        <v>283.22000000000003</v>
      </c>
      <c r="G296" s="82"/>
      <c r="H296" s="148"/>
      <c r="I296" s="85"/>
      <c r="J296" s="30">
        <v>106.86</v>
      </c>
      <c r="K296" s="148">
        <f t="shared" si="66"/>
        <v>0.30001871607711028</v>
      </c>
      <c r="L296" s="33">
        <v>32.06</v>
      </c>
      <c r="M296" s="157">
        <f t="shared" si="67"/>
        <v>-0.87171668667466984</v>
      </c>
      <c r="N296" s="59">
        <f t="shared" si="68"/>
        <v>-251.16000000000003</v>
      </c>
      <c r="O296" s="30">
        <v>325</v>
      </c>
      <c r="P296" s="148">
        <f t="shared" si="69"/>
        <v>0.11963076923076893</v>
      </c>
      <c r="Q296" s="33">
        <v>38.879999999999903</v>
      </c>
      <c r="R296" s="157">
        <f t="shared" ref="R296:R303" si="72">IF(O296=0,0,(J296-O296)/O296)</f>
        <v>-0.67119999999999991</v>
      </c>
      <c r="S296" s="85">
        <f t="shared" si="70"/>
        <v>-6.8199999999999008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5"/>
        <v>PiècesP/A Garantie</v>
      </c>
      <c r="B297" s="11" t="s">
        <v>98</v>
      </c>
      <c r="C297" s="29" t="s">
        <v>102</v>
      </c>
      <c r="D297" s="82">
        <v>55629.304537240867</v>
      </c>
      <c r="E297" s="148">
        <f t="shared" si="71"/>
        <v>0.28799999999999998</v>
      </c>
      <c r="F297" s="85">
        <v>16021.239706725368</v>
      </c>
      <c r="G297" s="82"/>
      <c r="H297" s="148"/>
      <c r="I297" s="85"/>
      <c r="J297" s="30">
        <v>37284.379999999997</v>
      </c>
      <c r="K297" s="148">
        <f t="shared" si="66"/>
        <v>0.28654492846602242</v>
      </c>
      <c r="L297" s="33">
        <v>10683.649999999996</v>
      </c>
      <c r="M297" s="157">
        <f t="shared" si="67"/>
        <v>-0.32977087687587242</v>
      </c>
      <c r="N297" s="59">
        <f t="shared" si="68"/>
        <v>-5337.5897067253718</v>
      </c>
      <c r="O297" s="30">
        <v>69999.13</v>
      </c>
      <c r="P297" s="148">
        <f t="shared" si="69"/>
        <v>0.28605684099216661</v>
      </c>
      <c r="Q297" s="33">
        <v>20023.73</v>
      </c>
      <c r="R297" s="157">
        <f t="shared" si="72"/>
        <v>-0.46735938003800914</v>
      </c>
      <c r="S297" s="85">
        <f t="shared" si="70"/>
        <v>-9340.0800000000036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5"/>
        <v>PiècesVentes Internes</v>
      </c>
      <c r="B298" s="11" t="s">
        <v>98</v>
      </c>
      <c r="C298" s="29" t="s">
        <v>103</v>
      </c>
      <c r="D298" s="82">
        <v>16483.772258268735</v>
      </c>
      <c r="E298" s="148">
        <f t="shared" si="71"/>
        <v>0.38500000000000001</v>
      </c>
      <c r="F298" s="85">
        <v>6346.2523194334626</v>
      </c>
      <c r="G298" s="82"/>
      <c r="H298" s="148"/>
      <c r="I298" s="85"/>
      <c r="J298" s="30">
        <v>18887.43</v>
      </c>
      <c r="K298" s="148">
        <f t="shared" si="66"/>
        <v>0.31382141455984219</v>
      </c>
      <c r="L298" s="33">
        <v>5927.2800000000007</v>
      </c>
      <c r="M298" s="157">
        <f t="shared" si="67"/>
        <v>0.14581964031476605</v>
      </c>
      <c r="N298" s="59">
        <f t="shared" si="68"/>
        <v>-418.97231943346196</v>
      </c>
      <c r="O298" s="30">
        <v>17786.88</v>
      </c>
      <c r="P298" s="148">
        <f t="shared" si="69"/>
        <v>0.36393510272740359</v>
      </c>
      <c r="Q298" s="33">
        <v>6473.27</v>
      </c>
      <c r="R298" s="157">
        <f t="shared" si="72"/>
        <v>6.1874257879965415E-2</v>
      </c>
      <c r="S298" s="85">
        <f t="shared" si="70"/>
        <v>-545.98999999999978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5"/>
        <v>PiècesVentes Détails</v>
      </c>
      <c r="B299" s="11" t="s">
        <v>98</v>
      </c>
      <c r="C299" s="29" t="s">
        <v>104</v>
      </c>
      <c r="D299" s="82">
        <v>31243.64710805309</v>
      </c>
      <c r="E299" s="148">
        <f t="shared" si="71"/>
        <v>0.31</v>
      </c>
      <c r="F299" s="85">
        <v>9685.5306034964578</v>
      </c>
      <c r="G299" s="82"/>
      <c r="H299" s="148"/>
      <c r="I299" s="85"/>
      <c r="J299" s="30">
        <v>27401.949999999997</v>
      </c>
      <c r="K299" s="148">
        <f t="shared" si="66"/>
        <v>0.20045982129009057</v>
      </c>
      <c r="L299" s="33">
        <v>5492.9899999999971</v>
      </c>
      <c r="M299" s="157">
        <f t="shared" si="67"/>
        <v>-0.12295930416724271</v>
      </c>
      <c r="N299" s="59">
        <f t="shared" si="68"/>
        <v>-4192.5406034964608</v>
      </c>
      <c r="O299" s="30">
        <v>27037.22</v>
      </c>
      <c r="P299" s="148">
        <f t="shared" si="69"/>
        <v>0.31137298879100733</v>
      </c>
      <c r="Q299" s="33">
        <v>8418.66</v>
      </c>
      <c r="R299" s="157">
        <f t="shared" si="72"/>
        <v>1.3489922410661891E-2</v>
      </c>
      <c r="S299" s="85">
        <f t="shared" si="70"/>
        <v>-2925.6700000000028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49868.279633354228</v>
      </c>
      <c r="E300" s="148">
        <f t="shared" si="71"/>
        <v>0.21299999999999999</v>
      </c>
      <c r="F300" s="85">
        <v>10621.943561904451</v>
      </c>
      <c r="G300" s="82"/>
      <c r="H300" s="148"/>
      <c r="I300" s="85"/>
      <c r="J300" s="30">
        <v>50271.28</v>
      </c>
      <c r="K300" s="148">
        <f t="shared" si="66"/>
        <v>0.20057157884183571</v>
      </c>
      <c r="L300" s="33">
        <v>10082.989999999998</v>
      </c>
      <c r="M300" s="157">
        <f t="shared" si="67"/>
        <v>8.0812967603603701E-3</v>
      </c>
      <c r="N300" s="59">
        <f t="shared" si="68"/>
        <v>-538.95356190445273</v>
      </c>
      <c r="O300" s="30">
        <v>49642.34</v>
      </c>
      <c r="P300" s="148">
        <f t="shared" si="69"/>
        <v>0.15955311534468342</v>
      </c>
      <c r="Q300" s="33">
        <v>7920.5899999999901</v>
      </c>
      <c r="R300" s="157">
        <f t="shared" si="72"/>
        <v>1.2669426944821746E-2</v>
      </c>
      <c r="S300" s="85">
        <f t="shared" si="70"/>
        <v>2162.4000000000078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7"/>
        <v>#DIV/0!</v>
      </c>
      <c r="N301" s="59">
        <f t="shared" si="68"/>
        <v>0</v>
      </c>
      <c r="O301" s="30">
        <v>0</v>
      </c>
      <c r="P301" s="148">
        <f t="shared" si="69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51" si="73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9" si="74">IF(D302=0,0,F302/D302)</f>
        <v>0</v>
      </c>
      <c r="F302" s="85">
        <v>5087.8925612455769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1524.55</v>
      </c>
      <c r="M302" s="157"/>
      <c r="N302" s="59">
        <f t="shared" si="68"/>
        <v>-3563.3425612455767</v>
      </c>
      <c r="O302" s="30">
        <v>0</v>
      </c>
      <c r="P302" s="148">
        <f t="shared" si="69"/>
        <v>0</v>
      </c>
      <c r="Q302" s="33">
        <v>9062.1</v>
      </c>
      <c r="R302" s="157">
        <f t="shared" ref="R302:R309" si="75">IF(O302=0,0,(J302-O302)/O302)</f>
        <v>0</v>
      </c>
      <c r="S302" s="85">
        <f>L302-Q302</f>
        <v>-7537.55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3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4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8"/>
        <v>0</v>
      </c>
      <c r="O303" s="30">
        <v>0</v>
      </c>
      <c r="P303" s="148">
        <f t="shared" si="69"/>
        <v>0</v>
      </c>
      <c r="Q303" s="33">
        <v>0</v>
      </c>
      <c r="R303" s="157">
        <f t="shared" si="75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3"/>
        <v>PiècesSous-total Pièces</v>
      </c>
      <c r="B304" s="11" t="s">
        <v>98</v>
      </c>
      <c r="C304" s="53" t="s">
        <v>108</v>
      </c>
      <c r="D304" s="195">
        <f>SUM(D295:D303)</f>
        <v>204638.03169127429</v>
      </c>
      <c r="E304" s="213">
        <f>IF(D304&lt;=0,0,F304/D304)</f>
        <v>0.33810201334279594</v>
      </c>
      <c r="F304" s="199">
        <f>SUM(F295:F303)</f>
        <v>69188.530521326713</v>
      </c>
      <c r="G304" s="195"/>
      <c r="H304" s="213"/>
      <c r="I304" s="199"/>
      <c r="J304" s="195">
        <f>SUM(J295:J303)</f>
        <v>183099.80999999997</v>
      </c>
      <c r="K304" s="213">
        <f>IF(J304&lt;=0,0,L304/J304)</f>
        <v>0.28504759234867583</v>
      </c>
      <c r="L304" s="197">
        <f>SUM(L295:L303)</f>
        <v>52192.159999999989</v>
      </c>
      <c r="M304" s="214">
        <f>(+J304-D304)/D304</f>
        <v>-0.10525033647590885</v>
      </c>
      <c r="N304" s="197">
        <f t="shared" si="68"/>
        <v>-16996.370521326724</v>
      </c>
      <c r="O304" s="195">
        <f>SUM(O295:O303)</f>
        <v>209305.79</v>
      </c>
      <c r="P304" s="213">
        <f>IF(O304&lt;=0,0,Q304/O304)</f>
        <v>0.3320849365896662</v>
      </c>
      <c r="Q304" s="197">
        <f t="shared" ref="Q304" si="76">SUM(Q295:Q303)</f>
        <v>69507.299999999988</v>
      </c>
      <c r="R304" s="214">
        <f>IF(O304=0,0,(J304-O304)/O304)</f>
        <v>-0.12520427647988161</v>
      </c>
      <c r="S304" s="199">
        <f>L304-Q304</f>
        <v>-17315.14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3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-0.24565300626073786</v>
      </c>
      <c r="O305" s="41"/>
      <c r="P305" s="13"/>
      <c r="Q305" s="40"/>
      <c r="R305" s="41"/>
      <c r="S305" s="44">
        <f>IF(Q304=0,0,S304/Q304)</f>
        <v>-0.24911253925846641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3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3"/>
        <v>PiècesVentes Pneus</v>
      </c>
      <c r="B307" s="11" t="s">
        <v>98</v>
      </c>
      <c r="C307" s="29" t="s">
        <v>109</v>
      </c>
      <c r="D307" s="82">
        <v>85168.853696404694</v>
      </c>
      <c r="E307" s="148">
        <f>IF(D307=0,0,F307/D307)</f>
        <v>0.25</v>
      </c>
      <c r="F307" s="110">
        <v>21292.213424101174</v>
      </c>
      <c r="G307" s="82"/>
      <c r="H307" s="148"/>
      <c r="I307" s="110"/>
      <c r="J307" s="30">
        <v>112823.72</v>
      </c>
      <c r="K307" s="148">
        <f>IF(J307&lt;=0,0,L307/J307)</f>
        <v>0.23824653184631742</v>
      </c>
      <c r="L307" s="33">
        <v>26879.86</v>
      </c>
      <c r="M307" s="157">
        <f>(+J307-D307)/D307</f>
        <v>0.32470633457360626</v>
      </c>
      <c r="N307" s="59">
        <f>L307-F307</f>
        <v>5587.646575898827</v>
      </c>
      <c r="O307" s="30">
        <v>84600.62</v>
      </c>
      <c r="P307" s="148">
        <f t="shared" ref="P307:P308" si="77">IF(O307=0,0,Q307/O307)</f>
        <v>0.2450759817126624</v>
      </c>
      <c r="Q307" s="33">
        <v>20733.5799999999</v>
      </c>
      <c r="R307" s="157">
        <f>IF(O307=0,0,(J307-O307)/O307)</f>
        <v>0.33360393812716749</v>
      </c>
      <c r="S307" s="85">
        <f>L307-Q307</f>
        <v>6146.2800000001007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3"/>
        <v>PiècesHuiles et Graisse</v>
      </c>
      <c r="B308" s="11" t="s">
        <v>98</v>
      </c>
      <c r="C308" s="86" t="s">
        <v>110</v>
      </c>
      <c r="D308" s="82">
        <v>10817.891548688849</v>
      </c>
      <c r="E308" s="148">
        <f>IF(D308=0,0,F308/D308)</f>
        <v>0.35</v>
      </c>
      <c r="F308" s="92">
        <v>3786.2620420410967</v>
      </c>
      <c r="G308" s="82"/>
      <c r="H308" s="148"/>
      <c r="I308" s="92"/>
      <c r="J308" s="30">
        <v>11968.93</v>
      </c>
      <c r="K308" s="148">
        <f>IF(J308&lt;=0,0,L308/J308)</f>
        <v>0.34924341607812898</v>
      </c>
      <c r="L308" s="33">
        <v>4180.0700000000006</v>
      </c>
      <c r="M308" s="157">
        <f>(+J308-D308)/D308</f>
        <v>0.10640136722859452</v>
      </c>
      <c r="N308" s="59">
        <f>L308-F308</f>
        <v>393.8079579589039</v>
      </c>
      <c r="O308" s="30">
        <v>8751.92</v>
      </c>
      <c r="P308" s="148">
        <f t="shared" si="77"/>
        <v>0.34221176610389492</v>
      </c>
      <c r="Q308" s="33">
        <v>2995.01</v>
      </c>
      <c r="R308" s="157">
        <f>IF(O308=0,0,(J308-O308)/O308)</f>
        <v>0.36757762868033533</v>
      </c>
      <c r="S308" s="85">
        <f>L308-Q308</f>
        <v>1185.0600000000004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3"/>
        <v>PiècesSous-total Pièces et Acc.</v>
      </c>
      <c r="B309" s="11" t="s">
        <v>98</v>
      </c>
      <c r="C309" s="53" t="s">
        <v>111</v>
      </c>
      <c r="D309" s="195">
        <f>D304+D307+D308</f>
        <v>300624.77693636785</v>
      </c>
      <c r="E309" s="213">
        <f>IF(D309&lt;=0,0,F309/D309)</f>
        <v>0.31357031495584986</v>
      </c>
      <c r="F309" s="197">
        <f>F304+F307+F308</f>
        <v>94267.005987468976</v>
      </c>
      <c r="G309" s="198"/>
      <c r="H309" s="213"/>
      <c r="I309" s="197"/>
      <c r="J309" s="198">
        <f>J304+J307+J308</f>
        <v>307892.45999999996</v>
      </c>
      <c r="K309" s="213">
        <f>IF(J309&lt;=0,0,L309/J309)</f>
        <v>0.2703934029433524</v>
      </c>
      <c r="L309" s="197">
        <f>L304+L307+L308</f>
        <v>83252.09</v>
      </c>
      <c r="M309" s="214">
        <f>(+J309-D309)/D309</f>
        <v>2.417526305614668E-2</v>
      </c>
      <c r="N309" s="197">
        <f>L309-F309</f>
        <v>-11014.915987468979</v>
      </c>
      <c r="O309" s="198">
        <f>O304+O307+O308</f>
        <v>302658.33</v>
      </c>
      <c r="P309" s="213">
        <f>IF(O309&lt;=0,0,Q309/O309)</f>
        <v>0.30805657984037604</v>
      </c>
      <c r="Q309" s="197">
        <f t="shared" ref="Q309" si="78">Q304+Q307+Q308</f>
        <v>93235.889999999883</v>
      </c>
      <c r="R309" s="214">
        <f>IF(O309=0,0,(J309-O309)/O309)</f>
        <v>1.7293857400190987E-2</v>
      </c>
      <c r="S309" s="199">
        <f>L309-Q309</f>
        <v>-9983.7999999998865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3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-0.11684805168134019</v>
      </c>
      <c r="O310" s="41"/>
      <c r="P310" s="13"/>
      <c r="Q310" s="40"/>
      <c r="R310" s="41"/>
      <c r="S310" s="44">
        <f>IF(Q309=0,0,S309/Q309)</f>
        <v>-0.1070810821884137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3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3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3"/>
        <v>PiècesTotal Dépt. Pièces</v>
      </c>
      <c r="B314" s="11" t="s">
        <v>98</v>
      </c>
      <c r="C314" s="62" t="s">
        <v>113</v>
      </c>
      <c r="D314" s="63">
        <f>D309+D312</f>
        <v>300624.77693636785</v>
      </c>
      <c r="E314" s="219">
        <f>IF(D314&lt;=0,0,F314/D314)</f>
        <v>0.31357031495584986</v>
      </c>
      <c r="F314" s="65">
        <f>F309+F312</f>
        <v>94267.005987468976</v>
      </c>
      <c r="G314" s="66"/>
      <c r="H314" s="219"/>
      <c r="I314" s="65"/>
      <c r="J314" s="66">
        <f>J309+J312</f>
        <v>307892.45999999996</v>
      </c>
      <c r="K314" s="219">
        <f>IF(J314&lt;=0,0,L314/J314)</f>
        <v>0.2703934029433524</v>
      </c>
      <c r="L314" s="65">
        <f>L309+L312</f>
        <v>83252.09</v>
      </c>
      <c r="M314" s="220">
        <f>(+J314-D314)/D314</f>
        <v>2.417526305614668E-2</v>
      </c>
      <c r="N314" s="221">
        <f>L314-F314</f>
        <v>-11014.915987468979</v>
      </c>
      <c r="O314" s="66">
        <f>O309+O312</f>
        <v>302658.33</v>
      </c>
      <c r="P314" s="219">
        <f>IF(O314&lt;=0,0,Q314/O314)</f>
        <v>0.30805657984037604</v>
      </c>
      <c r="Q314" s="65">
        <f t="shared" ref="Q314" si="79">Q309+Q312</f>
        <v>93235.889999999883</v>
      </c>
      <c r="R314" s="220">
        <f>IF(O314=0,0,(J314-O314)/O314)</f>
        <v>1.7293857400190987E-2</v>
      </c>
      <c r="S314" s="222">
        <f>L314-Q314</f>
        <v>-9983.7999999998865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3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-0.11684805168134019</v>
      </c>
      <c r="O315" s="227"/>
      <c r="P315" s="225"/>
      <c r="Q315" s="226"/>
      <c r="R315" s="228"/>
      <c r="S315" s="75">
        <f>IF(Q314=0,0,S314/Q314)</f>
        <v>-0.1070810821884137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3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3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3"/>
        <v>PiècesSalaires cadres</v>
      </c>
      <c r="B318" s="11" t="s">
        <v>98</v>
      </c>
      <c r="C318" s="102" t="s">
        <v>40</v>
      </c>
      <c r="D318" s="13"/>
      <c r="E318" s="13"/>
      <c r="F318" s="30">
        <v>4175.4722646310438</v>
      </c>
      <c r="G318" s="41"/>
      <c r="H318" s="13"/>
      <c r="I318" s="30"/>
      <c r="J318" s="41"/>
      <c r="K318" s="13"/>
      <c r="L318" s="33">
        <v>3659.46</v>
      </c>
      <c r="M318" s="41"/>
      <c r="N318" s="59">
        <f t="shared" ref="N318:N348" si="80">L318-F318</f>
        <v>-516.01226463104376</v>
      </c>
      <c r="O318" s="41"/>
      <c r="P318" s="13"/>
      <c r="Q318" s="33">
        <v>3666.38</v>
      </c>
      <c r="R318" s="41"/>
      <c r="S318" s="85">
        <f t="shared" ref="S318:S343" si="81">L318-Q318</f>
        <v>-6.9200000000000728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3"/>
        <v>PiècesSalaires commis</v>
      </c>
      <c r="B319" s="11" t="s">
        <v>98</v>
      </c>
      <c r="C319" s="103" t="s">
        <v>41</v>
      </c>
      <c r="D319" s="81"/>
      <c r="E319" s="13"/>
      <c r="F319" s="22">
        <v>2773.2824427480914</v>
      </c>
      <c r="G319" s="83"/>
      <c r="H319" s="13"/>
      <c r="I319" s="22"/>
      <c r="J319" s="41"/>
      <c r="K319" s="13"/>
      <c r="L319" s="33">
        <v>2411.1999999999998</v>
      </c>
      <c r="M319" s="41"/>
      <c r="N319" s="59">
        <f t="shared" si="80"/>
        <v>-362.08244274809158</v>
      </c>
      <c r="O319" s="41"/>
      <c r="P319" s="13"/>
      <c r="Q319" s="33">
        <v>2420.58</v>
      </c>
      <c r="R319" s="41"/>
      <c r="S319" s="85">
        <f t="shared" si="81"/>
        <v>-9.3800000000001091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3"/>
        <v>PiècesSalaires autres</v>
      </c>
      <c r="B320" s="11" t="s">
        <v>98</v>
      </c>
      <c r="C320" s="102" t="s">
        <v>42</v>
      </c>
      <c r="D320" s="104"/>
      <c r="E320" s="105"/>
      <c r="F320" s="30">
        <v>13513.435114503816</v>
      </c>
      <c r="G320" s="106"/>
      <c r="H320" s="105"/>
      <c r="I320" s="30"/>
      <c r="J320" s="107"/>
      <c r="K320" s="105"/>
      <c r="L320" s="108">
        <v>14885.99</v>
      </c>
      <c r="M320" s="107"/>
      <c r="N320" s="109">
        <f t="shared" si="80"/>
        <v>1372.5548854961835</v>
      </c>
      <c r="O320" s="107"/>
      <c r="P320" s="105"/>
      <c r="Q320" s="108">
        <v>11542.53</v>
      </c>
      <c r="R320" s="107"/>
      <c r="S320" s="110">
        <f t="shared" si="81"/>
        <v>3343.4599999999991</v>
      </c>
      <c r="T320" s="13"/>
      <c r="U320" s="13"/>
      <c r="V320" s="478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73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80"/>
        <v>0</v>
      </c>
      <c r="O321" s="41"/>
      <c r="P321" s="13"/>
      <c r="Q321" s="33">
        <v>0</v>
      </c>
      <c r="R321" s="41"/>
      <c r="S321" s="85">
        <f t="shared" si="8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74" si="82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2421.0979485760427</v>
      </c>
      <c r="G325" s="83"/>
      <c r="H325" s="13"/>
      <c r="I325" s="22"/>
      <c r="J325" s="41"/>
      <c r="K325" s="13"/>
      <c r="L325" s="33">
        <v>1471.97</v>
      </c>
      <c r="M325" s="41"/>
      <c r="N325" s="59">
        <f t="shared" si="80"/>
        <v>-949.12794857604263</v>
      </c>
      <c r="O325" s="41"/>
      <c r="P325" s="13"/>
      <c r="Q325" s="33">
        <v>1487.15</v>
      </c>
      <c r="R325" s="41"/>
      <c r="S325" s="85">
        <f t="shared" ref="S325:S350" si="83">L325-Q325</f>
        <v>-15.180000000000064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2"/>
        <v>PiècesDéduction à la source</v>
      </c>
      <c r="B326" s="11" t="s">
        <v>98</v>
      </c>
      <c r="C326" s="102" t="s">
        <v>45</v>
      </c>
      <c r="D326" s="104"/>
      <c r="E326" s="105"/>
      <c r="F326" s="30">
        <v>3193.2123633587789</v>
      </c>
      <c r="G326" s="106"/>
      <c r="H326" s="105"/>
      <c r="I326" s="30"/>
      <c r="J326" s="107"/>
      <c r="K326" s="105"/>
      <c r="L326" s="108">
        <v>3611.05</v>
      </c>
      <c r="M326" s="107"/>
      <c r="N326" s="109">
        <f t="shared" si="80"/>
        <v>417.83763664122125</v>
      </c>
      <c r="O326" s="107"/>
      <c r="P326" s="105"/>
      <c r="Q326" s="108">
        <v>3478.12</v>
      </c>
      <c r="R326" s="107"/>
      <c r="S326" s="110">
        <f t="shared" si="83"/>
        <v>132.93000000000029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2"/>
        <v>PiècesBénéfices marginaux</v>
      </c>
      <c r="B327" s="11" t="s">
        <v>98</v>
      </c>
      <c r="C327" s="102" t="s">
        <v>46</v>
      </c>
      <c r="D327" s="81"/>
      <c r="E327" s="13"/>
      <c r="F327" s="30">
        <v>1455.7291656488551</v>
      </c>
      <c r="G327" s="83"/>
      <c r="H327" s="13"/>
      <c r="I327" s="30"/>
      <c r="J327" s="41"/>
      <c r="K327" s="13"/>
      <c r="L327" s="33">
        <v>1729.64</v>
      </c>
      <c r="M327" s="41"/>
      <c r="N327" s="59">
        <f t="shared" si="80"/>
        <v>273.91083435114501</v>
      </c>
      <c r="O327" s="41"/>
      <c r="P327" s="13"/>
      <c r="Q327" s="33">
        <v>1688.88</v>
      </c>
      <c r="R327" s="41"/>
      <c r="S327" s="85">
        <f t="shared" si="83"/>
        <v>40.759999999999991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2"/>
        <v>PiècesCsst</v>
      </c>
      <c r="B328" s="11" t="s">
        <v>98</v>
      </c>
      <c r="C328" s="102" t="s">
        <v>47</v>
      </c>
      <c r="D328" s="81"/>
      <c r="E328" s="13"/>
      <c r="F328" s="30">
        <v>328.71303740458018</v>
      </c>
      <c r="G328" s="83"/>
      <c r="H328" s="13"/>
      <c r="I328" s="30"/>
      <c r="J328" s="41"/>
      <c r="K328" s="13"/>
      <c r="L328" s="33">
        <v>384.94</v>
      </c>
      <c r="M328" s="483"/>
      <c r="N328" s="146">
        <f t="shared" si="80"/>
        <v>56.22696259541982</v>
      </c>
      <c r="O328" s="41"/>
      <c r="P328" s="13"/>
      <c r="Q328" s="33">
        <v>257.39</v>
      </c>
      <c r="R328" s="41"/>
      <c r="S328" s="85">
        <f t="shared" si="83"/>
        <v>127.55000000000001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80"/>
        <v>0</v>
      </c>
      <c r="O329" s="23"/>
      <c r="P329" s="111"/>
      <c r="Q329" s="33">
        <v>0</v>
      </c>
      <c r="R329" s="23"/>
      <c r="S329" s="92">
        <f t="shared" si="83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0.29555348708725088</v>
      </c>
      <c r="F330" s="96">
        <f>+SUM(F318:F329)</f>
        <v>27860.942336871212</v>
      </c>
      <c r="G330" s="97"/>
      <c r="H330" s="95"/>
      <c r="I330" s="96"/>
      <c r="J330" s="97" t="s">
        <v>38</v>
      </c>
      <c r="K330" s="95">
        <f>L330/L$314</f>
        <v>0.33818069912719312</v>
      </c>
      <c r="L330" s="96">
        <f>+SUM(L318:L329)</f>
        <v>28154.25</v>
      </c>
      <c r="M330" s="147"/>
      <c r="N330" s="113">
        <f t="shared" si="80"/>
        <v>293.30766312878768</v>
      </c>
      <c r="O330" s="97" t="s">
        <v>38</v>
      </c>
      <c r="P330" s="95">
        <f>Q330/Q$314</f>
        <v>0.26321441238990728</v>
      </c>
      <c r="Q330" s="96">
        <f>+SUM(Q318:Q329)</f>
        <v>24541.030000000002</v>
      </c>
      <c r="R330" s="147"/>
      <c r="S330" s="114">
        <f t="shared" si="83"/>
        <v>3613.2199999999975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2"/>
        <v>PiècesPublicité 2</v>
      </c>
      <c r="B331" s="11" t="s">
        <v>98</v>
      </c>
      <c r="C331" s="211" t="s">
        <v>49</v>
      </c>
      <c r="D331" s="81"/>
      <c r="E331" s="13"/>
      <c r="F331" s="30">
        <v>3180.5856909805216</v>
      </c>
      <c r="G331" s="83"/>
      <c r="H331" s="13"/>
      <c r="I331" s="30"/>
      <c r="J331" s="41"/>
      <c r="K331" s="13"/>
      <c r="L331" s="33">
        <v>3548.03</v>
      </c>
      <c r="M331" s="41"/>
      <c r="N331" s="59">
        <f t="shared" si="80"/>
        <v>367.44430901947862</v>
      </c>
      <c r="O331" s="41"/>
      <c r="P331" s="13"/>
      <c r="Q331" s="33">
        <v>3626.56</v>
      </c>
      <c r="R331" s="41"/>
      <c r="S331" s="85">
        <f t="shared" si="83"/>
        <v>-78.529999999999745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2"/>
        <v>PiècesService gratuit 2</v>
      </c>
      <c r="B332" s="11" t="s">
        <v>98</v>
      </c>
      <c r="C332" s="102" t="s">
        <v>50</v>
      </c>
      <c r="D332" s="81"/>
      <c r="E332" s="13"/>
      <c r="F332" s="30">
        <v>265</v>
      </c>
      <c r="G332" s="83"/>
      <c r="H332" s="13"/>
      <c r="I332" s="30"/>
      <c r="J332" s="41"/>
      <c r="K332" s="13"/>
      <c r="L332" s="59">
        <v>2876.94</v>
      </c>
      <c r="M332" s="41"/>
      <c r="N332" s="59">
        <f t="shared" si="80"/>
        <v>2611.94</v>
      </c>
      <c r="O332" s="41"/>
      <c r="P332" s="13"/>
      <c r="Q332" s="33">
        <v>151.51</v>
      </c>
      <c r="R332" s="41"/>
      <c r="S332" s="85">
        <f t="shared" si="83"/>
        <v>2725.4300000000003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2"/>
        <v>PiècesFrais véhicules de cie</v>
      </c>
      <c r="B333" s="11" t="s">
        <v>98</v>
      </c>
      <c r="C333" s="103" t="s">
        <v>51</v>
      </c>
      <c r="D333" s="87"/>
      <c r="E333" s="111"/>
      <c r="F333" s="22">
        <v>4423.3333333333339</v>
      </c>
      <c r="G333" s="89"/>
      <c r="H333" s="111"/>
      <c r="I333" s="22"/>
      <c r="J333" s="23"/>
      <c r="K333" s="111"/>
      <c r="L333" s="91">
        <v>4303.67</v>
      </c>
      <c r="M333" s="23"/>
      <c r="N333" s="91">
        <f t="shared" si="80"/>
        <v>-119.66333333333387</v>
      </c>
      <c r="O333" s="23"/>
      <c r="P333" s="111"/>
      <c r="Q333" s="33">
        <v>5661.6</v>
      </c>
      <c r="R333" s="23"/>
      <c r="S333" s="92">
        <f t="shared" si="83"/>
        <v>-1357.9300000000003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2"/>
        <v>PiècesInformatique</v>
      </c>
      <c r="B334" s="11" t="s">
        <v>98</v>
      </c>
      <c r="C334" s="102" t="s">
        <v>52</v>
      </c>
      <c r="D334" s="81"/>
      <c r="E334" s="13"/>
      <c r="F334" s="30">
        <v>1913.8000000000002</v>
      </c>
      <c r="G334" s="83"/>
      <c r="H334" s="13"/>
      <c r="I334" s="30"/>
      <c r="J334" s="41"/>
      <c r="K334" s="13"/>
      <c r="L334" s="108">
        <v>1777.19</v>
      </c>
      <c r="M334" s="41"/>
      <c r="N334" s="59">
        <f t="shared" si="80"/>
        <v>-136.61000000000013</v>
      </c>
      <c r="O334" s="41"/>
      <c r="P334" s="13"/>
      <c r="Q334" s="108">
        <v>1864.36</v>
      </c>
      <c r="R334" s="41"/>
      <c r="S334" s="85">
        <f t="shared" si="83"/>
        <v>-87.169999999999845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2"/>
        <v>PiècesFrais de déplacement</v>
      </c>
      <c r="B335" s="11" t="s">
        <v>98</v>
      </c>
      <c r="C335" s="102" t="s">
        <v>53</v>
      </c>
      <c r="D335" s="81"/>
      <c r="E335" s="13"/>
      <c r="F335" s="30">
        <v>365.6</v>
      </c>
      <c r="G335" s="83"/>
      <c r="H335" s="13"/>
      <c r="I335" s="30"/>
      <c r="J335" s="41"/>
      <c r="K335" s="13"/>
      <c r="L335" s="33">
        <v>626.54</v>
      </c>
      <c r="M335" s="41"/>
      <c r="N335" s="59">
        <f t="shared" si="80"/>
        <v>260.93999999999994</v>
      </c>
      <c r="O335" s="41"/>
      <c r="P335" s="13"/>
      <c r="Q335" s="33">
        <v>232.99</v>
      </c>
      <c r="R335" s="41"/>
      <c r="S335" s="85">
        <f t="shared" si="83"/>
        <v>393.54999999999995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2"/>
        <v>PiècesServices extérieurs</v>
      </c>
      <c r="B336" s="11" t="s">
        <v>98</v>
      </c>
      <c r="C336" s="230" t="s">
        <v>54</v>
      </c>
      <c r="D336" s="87"/>
      <c r="E336" s="111"/>
      <c r="F336" s="22">
        <v>1994.2000000000003</v>
      </c>
      <c r="G336" s="89"/>
      <c r="H336" s="111"/>
      <c r="I336" s="22"/>
      <c r="J336" s="23"/>
      <c r="K336" s="111"/>
      <c r="L336" s="48">
        <v>1731.92</v>
      </c>
      <c r="M336" s="23"/>
      <c r="N336" s="91">
        <f t="shared" si="80"/>
        <v>-262.2800000000002</v>
      </c>
      <c r="O336" s="23"/>
      <c r="P336" s="111"/>
      <c r="Q336" s="48">
        <v>1778.66</v>
      </c>
      <c r="R336" s="23"/>
      <c r="S336" s="92">
        <f t="shared" si="83"/>
        <v>-46.740000000000009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80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87" si="84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29.518072289156624</v>
      </c>
      <c r="G338" s="83"/>
      <c r="H338" s="13"/>
      <c r="I338" s="30"/>
      <c r="J338" s="41"/>
      <c r="K338" s="13"/>
      <c r="L338" s="33">
        <v>0</v>
      </c>
      <c r="M338" s="41"/>
      <c r="N338" s="59">
        <f t="shared" si="80"/>
        <v>-29.518072289156624</v>
      </c>
      <c r="O338" s="41"/>
      <c r="P338" s="13"/>
      <c r="Q338" s="33">
        <v>5.65</v>
      </c>
      <c r="R338" s="41"/>
      <c r="S338" s="85">
        <f t="shared" ref="S338:S363" si="85">L338-Q338</f>
        <v>-5.65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4"/>
        <v>PiècesUniformes</v>
      </c>
      <c r="B339" s="11" t="s">
        <v>98</v>
      </c>
      <c r="C339" s="102" t="s">
        <v>56</v>
      </c>
      <c r="D339" s="81"/>
      <c r="E339" s="13"/>
      <c r="F339" s="30">
        <v>33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80"/>
        <v>-33</v>
      </c>
      <c r="O339" s="41"/>
      <c r="P339" s="13"/>
      <c r="Q339" s="33">
        <v>123.18</v>
      </c>
      <c r="R339" s="41"/>
      <c r="S339" s="85">
        <f t="shared" si="85"/>
        <v>-123.18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PiècesPapeterie</v>
      </c>
      <c r="B340" s="11" t="s">
        <v>98</v>
      </c>
      <c r="C340" s="102" t="s">
        <v>57</v>
      </c>
      <c r="D340" s="81"/>
      <c r="E340" s="13"/>
      <c r="F340" s="30">
        <v>350</v>
      </c>
      <c r="G340" s="83"/>
      <c r="H340" s="13"/>
      <c r="I340" s="30"/>
      <c r="J340" s="41"/>
      <c r="K340" s="13"/>
      <c r="L340" s="32">
        <v>183.86</v>
      </c>
      <c r="M340" s="41"/>
      <c r="N340" s="59">
        <f t="shared" si="80"/>
        <v>-166.14</v>
      </c>
      <c r="O340" s="41"/>
      <c r="P340" s="13"/>
      <c r="Q340" s="32">
        <v>243.76</v>
      </c>
      <c r="R340" s="41"/>
      <c r="S340" s="85">
        <f t="shared" si="85"/>
        <v>-59.899999999999977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119.64</v>
      </c>
      <c r="M341" s="41"/>
      <c r="N341" s="59">
        <f t="shared" si="80"/>
        <v>1.2399999999999949</v>
      </c>
      <c r="O341" s="41"/>
      <c r="P341" s="13"/>
      <c r="Q341" s="33">
        <v>77.010000000000005</v>
      </c>
      <c r="R341" s="41"/>
      <c r="S341" s="85">
        <f t="shared" si="85"/>
        <v>42.629999999999995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PiècesFrais postaux</v>
      </c>
      <c r="B342" s="11" t="s">
        <v>98</v>
      </c>
      <c r="C342" s="102" t="s">
        <v>59</v>
      </c>
      <c r="D342" s="81"/>
      <c r="E342" s="13"/>
      <c r="F342" s="30">
        <v>475</v>
      </c>
      <c r="G342" s="83"/>
      <c r="H342" s="13"/>
      <c r="I342" s="30"/>
      <c r="J342" s="41"/>
      <c r="K342" s="13"/>
      <c r="L342" s="33">
        <v>910.18</v>
      </c>
      <c r="M342" s="41"/>
      <c r="N342" s="59">
        <f t="shared" si="80"/>
        <v>435.17999999999995</v>
      </c>
      <c r="O342" s="41"/>
      <c r="P342" s="13"/>
      <c r="Q342" s="33">
        <v>1393.02</v>
      </c>
      <c r="R342" s="41"/>
      <c r="S342" s="85">
        <f t="shared" si="85"/>
        <v>-482.84000000000003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PiècesDivers</v>
      </c>
      <c r="B343" s="11" t="s">
        <v>98</v>
      </c>
      <c r="C343" s="102" t="s">
        <v>60</v>
      </c>
      <c r="D343" s="81"/>
      <c r="E343" s="13"/>
      <c r="F343" s="30">
        <v>371.6</v>
      </c>
      <c r="G343" s="83"/>
      <c r="H343" s="13"/>
      <c r="I343" s="30"/>
      <c r="J343" s="41"/>
      <c r="K343" s="13"/>
      <c r="L343" s="33">
        <v>370.2</v>
      </c>
      <c r="M343" s="41"/>
      <c r="N343" s="59">
        <f t="shared" si="80"/>
        <v>-1.4000000000000341</v>
      </c>
      <c r="O343" s="41"/>
      <c r="P343" s="13"/>
      <c r="Q343" s="33">
        <v>359.15</v>
      </c>
      <c r="R343" s="41"/>
      <c r="S343" s="85">
        <f t="shared" si="85"/>
        <v>11.050000000000011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241.14687999999995</v>
      </c>
      <c r="G344" s="83"/>
      <c r="H344" s="13"/>
      <c r="I344" s="30"/>
      <c r="J344" s="41"/>
      <c r="K344" s="13"/>
      <c r="L344" s="59">
        <v>130.77000000000001</v>
      </c>
      <c r="M344" s="41"/>
      <c r="N344" s="59">
        <f t="shared" si="80"/>
        <v>-110.37687999999994</v>
      </c>
      <c r="O344" s="41"/>
      <c r="P344" s="13"/>
      <c r="Q344" s="33">
        <v>115.6</v>
      </c>
      <c r="R344" s="41"/>
      <c r="S344" s="85">
        <f>L344-Q344</f>
        <v>15.170000000000016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1566.3396154535994</v>
      </c>
      <c r="G345" s="83"/>
      <c r="H345" s="13"/>
      <c r="I345" s="30"/>
      <c r="J345" s="41"/>
      <c r="K345" s="13"/>
      <c r="L345" s="32">
        <v>1950.25</v>
      </c>
      <c r="M345" s="41"/>
      <c r="N345" s="59">
        <f t="shared" si="80"/>
        <v>383.91038454640056</v>
      </c>
      <c r="O345" s="41"/>
      <c r="P345" s="13"/>
      <c r="Q345" s="33">
        <v>1473.32</v>
      </c>
      <c r="R345" s="41"/>
      <c r="S345" s="85">
        <f>L345-Q345</f>
        <v>476.93000000000006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80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0.16259690685513145</v>
      </c>
      <c r="F349" s="96">
        <f>+SUM(F331:F348)</f>
        <v>15327.523592056612</v>
      </c>
      <c r="G349" s="97"/>
      <c r="H349" s="95"/>
      <c r="I349" s="96"/>
      <c r="J349" s="97" t="s">
        <v>38</v>
      </c>
      <c r="K349" s="95">
        <f>L349/L$314</f>
        <v>0.22256726527826509</v>
      </c>
      <c r="L349" s="96">
        <f>+SUM(L331:L348)</f>
        <v>18529.189999999999</v>
      </c>
      <c r="M349" s="100"/>
      <c r="N349" s="96">
        <f>+SUM(N331:N348)</f>
        <v>3201.6664079433885</v>
      </c>
      <c r="O349" s="97" t="s">
        <v>38</v>
      </c>
      <c r="P349" s="95">
        <f>Q349/Q$314</f>
        <v>0.18347408921607361</v>
      </c>
      <c r="Q349" s="96">
        <f>+SUM(Q331:Q348)</f>
        <v>17106.370000000003</v>
      </c>
      <c r="R349" s="100"/>
      <c r="S349" s="101">
        <f>+SUM(S331:S348)</f>
        <v>1422.8200000000004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0.45815039394238227</v>
      </c>
      <c r="F351" s="96">
        <f>F330+F349</f>
        <v>43188.465928927821</v>
      </c>
      <c r="G351" s="97"/>
      <c r="H351" s="95"/>
      <c r="I351" s="96"/>
      <c r="J351" s="97" t="s">
        <v>38</v>
      </c>
      <c r="K351" s="95">
        <f>L351/L$314</f>
        <v>0.56074796440545827</v>
      </c>
      <c r="L351" s="96">
        <f>L330+L349</f>
        <v>46683.44</v>
      </c>
      <c r="M351" s="100"/>
      <c r="N351" s="113">
        <f>L351-F351</f>
        <v>3494.9740710721817</v>
      </c>
      <c r="O351" s="97" t="s">
        <v>38</v>
      </c>
      <c r="P351" s="95">
        <f>Q351/Q$314</f>
        <v>0.44668850160598095</v>
      </c>
      <c r="Q351" s="96">
        <f>Q330+Q349</f>
        <v>41647.400000000009</v>
      </c>
      <c r="R351" s="100"/>
      <c r="S351" s="114">
        <f>L351-Q351</f>
        <v>5036.0399999999936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51078.540058541155</v>
      </c>
      <c r="G353" s="153"/>
      <c r="H353" s="125"/>
      <c r="I353" s="127"/>
      <c r="J353" s="154"/>
      <c r="K353" s="126"/>
      <c r="L353" s="127">
        <f>L314-L351</f>
        <v>36568.649999999994</v>
      </c>
      <c r="M353" s="154"/>
      <c r="N353" s="127">
        <f>L353-F353</f>
        <v>-14509.890058541161</v>
      </c>
      <c r="O353" s="154"/>
      <c r="P353" s="126">
        <f>+Q353/O314</f>
        <v>0.17045124778161524</v>
      </c>
      <c r="Q353" s="127">
        <f>Q314-Q351</f>
        <v>51588.489999999874</v>
      </c>
      <c r="R353" s="154"/>
      <c r="S353" s="129">
        <f>L353-Q353</f>
        <v>-15019.83999999988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Avril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63" t="s">
        <v>5</v>
      </c>
      <c r="E358" s="464"/>
      <c r="F358" s="465"/>
      <c r="G358" s="466"/>
      <c r="H358" s="464"/>
      <c r="I358" s="465"/>
      <c r="J358" s="466" t="s">
        <v>7</v>
      </c>
      <c r="K358" s="464"/>
      <c r="L358" s="465"/>
      <c r="M358" s="466"/>
      <c r="N358" s="465"/>
      <c r="O358" s="463" t="s">
        <v>8</v>
      </c>
      <c r="P358" s="464"/>
      <c r="Q358" s="465"/>
      <c r="R358" s="466" t="s">
        <v>9</v>
      </c>
      <c r="S358" s="467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6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6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6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6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7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6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6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6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6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6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6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6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6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6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6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6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6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6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6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6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6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6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6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6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6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6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6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6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6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6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6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6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6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6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88409.214208434103</v>
      </c>
      <c r="G401" s="13"/>
      <c r="H401" s="13"/>
      <c r="I401" s="13"/>
      <c r="J401" s="13"/>
      <c r="K401" s="13"/>
      <c r="L401" s="82">
        <f>L353+L289+L233</f>
        <v>61273.149999999987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88"/>
      <c r="AU401" s="488"/>
      <c r="AV401" s="489"/>
    </row>
    <row r="402" spans="1:61" ht="35.25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Avril 2024</v>
      </c>
      <c r="AP402" s="246"/>
      <c r="AQ402" s="488"/>
      <c r="AS402" s="489"/>
      <c r="AT402" s="490"/>
      <c r="AU402" s="488"/>
      <c r="AV402" s="489"/>
      <c r="AW402" s="489"/>
      <c r="AX402" s="489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91"/>
      <c r="AR403" s="246"/>
      <c r="AS403" s="489"/>
      <c r="AT403" s="492"/>
      <c r="AU403" s="491"/>
      <c r="AV403" s="493"/>
      <c r="AW403" s="493"/>
      <c r="AX403" s="493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468" t="s">
        <v>117</v>
      </c>
      <c r="Y404" s="461"/>
      <c r="Z404" s="469"/>
      <c r="AA404" s="460"/>
      <c r="AB404" s="461"/>
      <c r="AC404" s="469"/>
      <c r="AD404" s="460" t="s">
        <v>7</v>
      </c>
      <c r="AE404" s="461"/>
      <c r="AF404" s="469"/>
      <c r="AG404" s="460" t="s">
        <v>213</v>
      </c>
      <c r="AH404" s="461"/>
      <c r="AI404" s="469"/>
      <c r="AJ404" s="460" t="s">
        <v>118</v>
      </c>
      <c r="AK404" s="461"/>
      <c r="AL404" s="461"/>
      <c r="AM404" s="460" t="s">
        <v>119</v>
      </c>
      <c r="AN404" s="461"/>
      <c r="AO404" s="462"/>
      <c r="AP404" s="246"/>
      <c r="AQ404" s="491"/>
      <c r="AR404" s="246"/>
      <c r="AS404" s="493"/>
      <c r="AT404" s="492"/>
      <c r="AU404" s="491"/>
      <c r="AV404" s="493"/>
      <c r="AW404" s="493"/>
      <c r="AX404" s="493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94"/>
      <c r="AR405" s="395"/>
      <c r="AS405" s="395"/>
      <c r="AT405" s="495"/>
      <c r="AU405" s="494"/>
      <c r="AV405" s="496"/>
      <c r="AW405" s="496"/>
      <c r="AX405" s="496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5186555.0180582749</v>
      </c>
      <c r="AA406" s="263"/>
      <c r="AB406" s="263"/>
      <c r="AC406" s="264"/>
      <c r="AD406" s="265"/>
      <c r="AE406" s="266"/>
      <c r="AF406" s="266">
        <f>L5+L93+K194+K250+J314+J362</f>
        <v>5136322.25</v>
      </c>
      <c r="AG406" s="265"/>
      <c r="AH406" s="266"/>
      <c r="AI406" s="267"/>
      <c r="AJ406" s="265"/>
      <c r="AK406" s="266"/>
      <c r="AL406" s="266">
        <f>Q5+Q93+P194+P250+O314+O362</f>
        <v>4519395.8499999903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93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535039.14324018499</v>
      </c>
      <c r="AA407" s="271"/>
      <c r="AB407" s="271"/>
      <c r="AC407" s="272"/>
      <c r="AD407" s="273"/>
      <c r="AE407" s="274"/>
      <c r="AF407" s="274">
        <f>L27+L108+L194+L250+L314+L362</f>
        <v>471251.61000000022</v>
      </c>
      <c r="AG407" s="273"/>
      <c r="AH407" s="274">
        <f>AF407-Z407</f>
        <v>-63787.53324018477</v>
      </c>
      <c r="AI407" s="275">
        <f>AH407/Z407</f>
        <v>-0.1192203113474818</v>
      </c>
      <c r="AJ407" s="273">
        <f>+AL407/AL406</f>
        <v>0.10827061320596658</v>
      </c>
      <c r="AK407" s="274"/>
      <c r="AL407" s="274">
        <f>Q27+Q108+Q194+Q250+Q314+Q362</f>
        <v>489317.75999999949</v>
      </c>
      <c r="AM407" s="276"/>
      <c r="AN407" s="274">
        <f>AF407-AL407</f>
        <v>-18066.149999999267</v>
      </c>
      <c r="AO407" s="277">
        <f>IF(AL407=0,0,AN407/AL407)</f>
        <v>-3.692110010476482E-2</v>
      </c>
      <c r="AP407" s="246"/>
      <c r="AQ407" s="246" t="s">
        <v>226</v>
      </c>
      <c r="AR407" s="310">
        <v>469966</v>
      </c>
      <c r="AS407" s="310">
        <f>AF407-AR407</f>
        <v>1285.6100000002189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91"/>
      <c r="AV408" s="491"/>
      <c r="AW408" s="491"/>
      <c r="AX408" s="491"/>
      <c r="AY408" s="491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90">Z409/(D$13+D$97)</f>
        <v>1258.6777259528317</v>
      </c>
      <c r="Z409" s="280">
        <f t="shared" ref="Z409:Z415" si="91">+SUMIF($C:$C,$V409,F:F)</f>
        <v>62933.886297641584</v>
      </c>
      <c r="AA409" s="279"/>
      <c r="AB409" s="287"/>
      <c r="AC409" s="280"/>
      <c r="AD409" s="288"/>
      <c r="AE409" s="287">
        <f t="shared" ref="AE409:AE414" si="92">IF(AF409=0,0,AF409/(J$13+J$97))</f>
        <v>1065.9484905660377</v>
      </c>
      <c r="AF409" s="280">
        <f t="shared" ref="AF409:AF415" si="93">+SUMIF($C:$C,$V409,L:L)</f>
        <v>56495.27</v>
      </c>
      <c r="AG409" s="281">
        <f t="shared" ref="AG409:AH424" si="94">AE409-Y409</f>
        <v>-192.72923538679402</v>
      </c>
      <c r="AH409" s="282">
        <f t="shared" si="94"/>
        <v>-6438.6162976415872</v>
      </c>
      <c r="AI409" s="283">
        <f t="shared" ref="AI409:AI418" si="95">IF(Z409=0,0,AH409/Z409)</f>
        <v>-0.102307622751765</v>
      </c>
      <c r="AJ409" s="288">
        <f t="shared" ref="AJ409:AJ415" si="96">AL409/AL$407</f>
        <v>0.1090273118228941</v>
      </c>
      <c r="AK409" s="282">
        <f t="shared" ref="AK409:AK418" si="97">AL409/(O$13+O$97)</f>
        <v>1333.7249999999999</v>
      </c>
      <c r="AL409" s="280">
        <f t="shared" ref="AL409:AL414" si="98">+SUMIF($C:$C,$V409,Q:Q)</f>
        <v>53349</v>
      </c>
      <c r="AM409" s="284">
        <f t="shared" ref="AM409:AM414" si="99">AE409-Y409</f>
        <v>-192.72923538679402</v>
      </c>
      <c r="AN409" s="282">
        <f t="shared" ref="AN409:AN414" si="100">AF409-AL409</f>
        <v>3146.2699999999968</v>
      </c>
      <c r="AO409" s="289">
        <f t="shared" ref="AO409:AO431" si="101">IF(AL409=0,0,AN409/AL409)</f>
        <v>5.897523852368361E-2</v>
      </c>
      <c r="AP409" s="246"/>
      <c r="AQ409" s="246"/>
      <c r="AS409" s="497"/>
      <c r="AT409" s="490"/>
      <c r="AU409" s="491"/>
      <c r="AV409" s="491"/>
      <c r="AW409" s="491"/>
      <c r="AX409" s="491"/>
      <c r="AY409" s="491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90"/>
        <v>429.25</v>
      </c>
      <c r="Z410" s="264">
        <f t="shared" si="91"/>
        <v>21462.5</v>
      </c>
      <c r="AA410" s="263"/>
      <c r="AB410" s="291"/>
      <c r="AC410" s="264"/>
      <c r="AD410" s="292"/>
      <c r="AE410" s="291">
        <f t="shared" si="92"/>
        <v>596.42735849056612</v>
      </c>
      <c r="AF410" s="264">
        <f t="shared" si="93"/>
        <v>31610.65</v>
      </c>
      <c r="AG410" s="265">
        <f t="shared" si="94"/>
        <v>167.17735849056612</v>
      </c>
      <c r="AH410" s="266">
        <f t="shared" si="94"/>
        <v>10148.150000000001</v>
      </c>
      <c r="AI410" s="293">
        <f t="shared" si="95"/>
        <v>0.47283168316831692</v>
      </c>
      <c r="AJ410" s="292">
        <f t="shared" si="96"/>
        <v>3.6530678960027978E-2</v>
      </c>
      <c r="AK410" s="266">
        <f t="shared" si="97"/>
        <v>446.87774999999999</v>
      </c>
      <c r="AL410" s="264">
        <f t="shared" si="98"/>
        <v>17875.11</v>
      </c>
      <c r="AM410" s="268">
        <f t="shared" si="99"/>
        <v>167.17735849056612</v>
      </c>
      <c r="AN410" s="266">
        <f t="shared" si="100"/>
        <v>13735.54</v>
      </c>
      <c r="AO410" s="294">
        <f t="shared" si="101"/>
        <v>0.76841708946126763</v>
      </c>
      <c r="AP410" s="246"/>
      <c r="AQ410" s="246"/>
      <c r="AS410" s="439"/>
      <c r="AT410" s="490"/>
      <c r="AU410" s="491"/>
      <c r="AV410" s="491"/>
      <c r="AW410" s="491"/>
      <c r="AX410" s="491"/>
      <c r="AY410" s="491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90"/>
        <v>110.2</v>
      </c>
      <c r="Z411" s="280">
        <f t="shared" si="91"/>
        <v>5510</v>
      </c>
      <c r="AA411" s="279"/>
      <c r="AB411" s="287"/>
      <c r="AC411" s="280"/>
      <c r="AD411" s="288"/>
      <c r="AE411" s="287">
        <f t="shared" si="92"/>
        <v>75.8533962264151</v>
      </c>
      <c r="AF411" s="280">
        <f t="shared" si="93"/>
        <v>4020.2300000000005</v>
      </c>
      <c r="AG411" s="281">
        <f t="shared" si="94"/>
        <v>-34.346603773584903</v>
      </c>
      <c r="AH411" s="282">
        <f t="shared" si="94"/>
        <v>-1489.7699999999995</v>
      </c>
      <c r="AI411" s="283">
        <f t="shared" si="95"/>
        <v>-0.27037568058076217</v>
      </c>
      <c r="AJ411" s="288">
        <f t="shared" si="96"/>
        <v>8.5927802824896544E-3</v>
      </c>
      <c r="AK411" s="282">
        <f t="shared" si="97"/>
        <v>105.11500000000001</v>
      </c>
      <c r="AL411" s="280">
        <f t="shared" si="98"/>
        <v>4204.6000000000004</v>
      </c>
      <c r="AM411" s="284">
        <f t="shared" si="99"/>
        <v>-34.346603773584903</v>
      </c>
      <c r="AN411" s="282">
        <f t="shared" si="100"/>
        <v>-184.36999999999989</v>
      </c>
      <c r="AO411" s="289">
        <f t="shared" si="101"/>
        <v>-4.3849593302573341E-2</v>
      </c>
      <c r="AP411" s="246"/>
      <c r="AQ411" s="246"/>
      <c r="AS411" s="439"/>
      <c r="AT411" s="490"/>
      <c r="AU411" s="491"/>
      <c r="AV411" s="491"/>
      <c r="AW411" s="491"/>
      <c r="AX411" s="491"/>
      <c r="AY411" s="491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90"/>
        <v>66.599999999999994</v>
      </c>
      <c r="Z412" s="280">
        <f t="shared" si="91"/>
        <v>3330</v>
      </c>
      <c r="AA412" s="279"/>
      <c r="AB412" s="287"/>
      <c r="AC412" s="280"/>
      <c r="AD412" s="288"/>
      <c r="AE412" s="287">
        <f t="shared" si="92"/>
        <v>25.306792452830187</v>
      </c>
      <c r="AF412" s="280">
        <f t="shared" si="93"/>
        <v>1341.26</v>
      </c>
      <c r="AG412" s="281">
        <f t="shared" si="94"/>
        <v>-41.293207547169807</v>
      </c>
      <c r="AH412" s="282">
        <f t="shared" si="94"/>
        <v>-1988.74</v>
      </c>
      <c r="AI412" s="283">
        <f t="shared" si="95"/>
        <v>-0.59721921921921928</v>
      </c>
      <c r="AJ412" s="288">
        <f t="shared" si="96"/>
        <v>3.8495639316259477E-3</v>
      </c>
      <c r="AK412" s="282">
        <f t="shared" si="97"/>
        <v>47.091499999999996</v>
      </c>
      <c r="AL412" s="280">
        <f t="shared" si="98"/>
        <v>1883.6599999999999</v>
      </c>
      <c r="AM412" s="284">
        <f t="shared" si="99"/>
        <v>-41.293207547169807</v>
      </c>
      <c r="AN412" s="282">
        <f t="shared" si="100"/>
        <v>-542.39999999999986</v>
      </c>
      <c r="AO412" s="295">
        <f t="shared" si="101"/>
        <v>-0.287950054680781</v>
      </c>
      <c r="AP412" s="246"/>
      <c r="AQ412" s="246"/>
      <c r="AS412" s="439"/>
      <c r="AT412" s="490"/>
      <c r="AU412" s="491"/>
      <c r="AV412" s="491"/>
      <c r="AW412" s="491"/>
      <c r="AX412" s="491"/>
      <c r="AY412" s="491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227</v>
      </c>
      <c r="X413" s="263"/>
      <c r="Y413" s="291">
        <f t="shared" si="90"/>
        <v>71.099999999999994</v>
      </c>
      <c r="Z413" s="264">
        <f t="shared" si="91"/>
        <v>3555</v>
      </c>
      <c r="AA413" s="263"/>
      <c r="AB413" s="291"/>
      <c r="AC413" s="264"/>
      <c r="AD413" s="292"/>
      <c r="AE413" s="291">
        <f t="shared" si="92"/>
        <v>69.646226415094333</v>
      </c>
      <c r="AF413" s="264">
        <f t="shared" si="93"/>
        <v>3691.25</v>
      </c>
      <c r="AG413" s="265">
        <f t="shared" si="94"/>
        <v>-1.4537735849056617</v>
      </c>
      <c r="AH413" s="266">
        <f t="shared" si="94"/>
        <v>136.25</v>
      </c>
      <c r="AI413" s="293">
        <f t="shared" si="95"/>
        <v>3.8326300984528834E-2</v>
      </c>
      <c r="AJ413" s="292">
        <f t="shared" si="96"/>
        <v>5.900153716063776E-3</v>
      </c>
      <c r="AK413" s="266">
        <f t="shared" si="97"/>
        <v>72.176249999999996</v>
      </c>
      <c r="AL413" s="264">
        <f t="shared" si="98"/>
        <v>2887.0499999999997</v>
      </c>
      <c r="AM413" s="268">
        <f t="shared" si="99"/>
        <v>-1.4537735849056617</v>
      </c>
      <c r="AN413" s="266">
        <f t="shared" si="100"/>
        <v>804.20000000000027</v>
      </c>
      <c r="AO413" s="294">
        <f t="shared" si="101"/>
        <v>0.27855423356020864</v>
      </c>
      <c r="AP413" s="246"/>
      <c r="AQ413" s="246"/>
      <c r="AS413" s="439"/>
      <c r="AT413" s="490"/>
      <c r="AU413" s="491"/>
      <c r="AV413" s="491"/>
      <c r="AW413" s="491"/>
      <c r="AX413" s="491"/>
      <c r="AY413" s="491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228</v>
      </c>
      <c r="X414" s="283"/>
      <c r="Y414" s="287">
        <f t="shared" si="90"/>
        <v>444.55166666666673</v>
      </c>
      <c r="Z414" s="280">
        <f t="shared" si="91"/>
        <v>22227.583333333336</v>
      </c>
      <c r="AA414" s="283"/>
      <c r="AB414" s="287"/>
      <c r="AC414" s="280"/>
      <c r="AD414" s="288"/>
      <c r="AE414" s="287">
        <f t="shared" si="92"/>
        <v>401.33396226415095</v>
      </c>
      <c r="AF414" s="280">
        <f t="shared" si="93"/>
        <v>21270.7</v>
      </c>
      <c r="AG414" s="281">
        <f t="shared" si="94"/>
        <v>-43.217704402515778</v>
      </c>
      <c r="AH414" s="282">
        <f t="shared" si="94"/>
        <v>-956.88333333333503</v>
      </c>
      <c r="AI414" s="283">
        <f t="shared" si="95"/>
        <v>-4.3049364340852839E-2</v>
      </c>
      <c r="AJ414" s="288">
        <f t="shared" si="96"/>
        <v>4.8328309195235446E-2</v>
      </c>
      <c r="AK414" s="282">
        <f t="shared" si="97"/>
        <v>591.19749999999965</v>
      </c>
      <c r="AL414" s="280">
        <f t="shared" si="98"/>
        <v>23647.899999999987</v>
      </c>
      <c r="AM414" s="284">
        <f t="shared" si="99"/>
        <v>-43.217704402515778</v>
      </c>
      <c r="AN414" s="282">
        <f t="shared" si="100"/>
        <v>-2377.1999999999862</v>
      </c>
      <c r="AO414" s="289">
        <f t="shared" si="101"/>
        <v>-0.1005247823273943</v>
      </c>
      <c r="AP414" s="246"/>
      <c r="AQ414" s="246"/>
      <c r="AR414" s="440"/>
      <c r="AS414" s="439"/>
      <c r="AT414" s="490"/>
      <c r="AU414" s="491"/>
      <c r="AV414" s="491"/>
      <c r="AW414" s="491"/>
      <c r="AX414" s="491"/>
      <c r="AY414" s="491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229</v>
      </c>
      <c r="X415" s="279"/>
      <c r="Y415" s="287">
        <f t="shared" si="90"/>
        <v>788.61890608016245</v>
      </c>
      <c r="Z415" s="280">
        <f t="shared" si="91"/>
        <v>39430.945304008121</v>
      </c>
      <c r="AA415" s="279"/>
      <c r="AB415" s="287"/>
      <c r="AC415" s="280"/>
      <c r="AD415" s="288"/>
      <c r="AE415" s="287">
        <f>IF(AF415=0,0,AF415/(J$13+J$13))</f>
        <v>892.51980000000015</v>
      </c>
      <c r="AF415" s="280">
        <f t="shared" si="93"/>
        <v>44625.990000000005</v>
      </c>
      <c r="AG415" s="281">
        <f t="shared" si="94"/>
        <v>103.9008939198377</v>
      </c>
      <c r="AH415" s="282">
        <f t="shared" si="94"/>
        <v>5195.0446959918845</v>
      </c>
      <c r="AI415" s="283">
        <f t="shared" si="95"/>
        <v>0.13175044767348787</v>
      </c>
      <c r="AJ415" s="288">
        <f t="shared" si="96"/>
        <v>2.3816732096541955E-2</v>
      </c>
      <c r="AK415" s="282">
        <f t="shared" si="97"/>
        <v>291.34875</v>
      </c>
      <c r="AL415" s="280">
        <f>IFERROR(SUMIF($C:$C,$V415,Q:Q),0)</f>
        <v>11653.95</v>
      </c>
      <c r="AM415" s="284">
        <f>AE415-Y415</f>
        <v>103.9008939198377</v>
      </c>
      <c r="AN415" s="282">
        <f>AF415-AL415</f>
        <v>32972.040000000008</v>
      </c>
      <c r="AO415" s="289">
        <f t="shared" si="101"/>
        <v>2.8292587491794632</v>
      </c>
      <c r="AP415" s="246"/>
      <c r="AQ415" s="246">
        <v>44626</v>
      </c>
      <c r="AR415" s="13"/>
      <c r="AS415" s="498"/>
      <c r="AT415" s="246"/>
      <c r="AU415" s="491"/>
      <c r="AV415" s="491"/>
      <c r="AW415" s="491"/>
      <c r="AX415" s="491"/>
      <c r="AY415" s="491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90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4"/>
        <v>0</v>
      </c>
      <c r="AH416" s="282">
        <f t="shared" si="94"/>
        <v>0</v>
      </c>
      <c r="AI416" s="283">
        <f t="shared" si="95"/>
        <v>0</v>
      </c>
      <c r="AJ416" s="288"/>
      <c r="AK416" s="282">
        <f t="shared" si="97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101"/>
        <v>0</v>
      </c>
      <c r="AP416" s="246"/>
      <c r="AQ416" s="246"/>
      <c r="AR416" s="13"/>
      <c r="AS416" s="246"/>
      <c r="AT416" s="246"/>
      <c r="AU416" s="491"/>
      <c r="AV416" s="491"/>
      <c r="AW416" s="491"/>
      <c r="AX416" s="491"/>
      <c r="AY416" s="491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90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4"/>
        <v>0</v>
      </c>
      <c r="AH417" s="282">
        <f t="shared" si="94"/>
        <v>0</v>
      </c>
      <c r="AI417" s="283">
        <f t="shared" si="95"/>
        <v>0</v>
      </c>
      <c r="AJ417" s="288"/>
      <c r="AK417" s="282">
        <f t="shared" si="97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101"/>
        <v>0</v>
      </c>
      <c r="AP417" s="246"/>
      <c r="AQ417" s="246"/>
      <c r="AR417" s="13"/>
      <c r="AS417" s="246"/>
      <c r="AT417" s="246"/>
      <c r="AU417" s="491"/>
      <c r="AV417" s="491"/>
      <c r="AW417" s="491"/>
      <c r="AX417" s="491"/>
      <c r="AY417" s="491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90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4"/>
        <v>0</v>
      </c>
      <c r="AH418" s="282">
        <f t="shared" si="94"/>
        <v>0</v>
      </c>
      <c r="AI418" s="283">
        <f t="shared" si="95"/>
        <v>0</v>
      </c>
      <c r="AJ418" s="288"/>
      <c r="AK418" s="282">
        <f t="shared" si="97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101"/>
        <v>0</v>
      </c>
      <c r="AP418" s="246"/>
      <c r="AQ418" s="246"/>
      <c r="AR418" s="13"/>
      <c r="AS418" s="246"/>
      <c r="AT418" s="246"/>
      <c r="AU418" s="491"/>
      <c r="AV418" s="491"/>
      <c r="AW418" s="491"/>
      <c r="AX418" s="491"/>
      <c r="AY418" s="491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0.29614639776711277</v>
      </c>
      <c r="Y419" s="297"/>
      <c r="Z419" s="299">
        <f>SUM(Z409:Z418)</f>
        <v>158449.91493498304</v>
      </c>
      <c r="AA419" s="298"/>
      <c r="AB419" s="297"/>
      <c r="AC419" s="299"/>
      <c r="AD419" s="300">
        <f>AF419/AF407</f>
        <v>0.34600486563854904</v>
      </c>
      <c r="AE419" s="297"/>
      <c r="AF419" s="299">
        <f>SUM(AF409:AF418)</f>
        <v>163055.34999999998</v>
      </c>
      <c r="AG419" s="301"/>
      <c r="AH419" s="302">
        <f t="shared" si="94"/>
        <v>4605.4350650169363</v>
      </c>
      <c r="AI419" s="298">
        <f>AH419/Z419</f>
        <v>2.9065557194566438E-2</v>
      </c>
      <c r="AJ419" s="300">
        <f>IF($AL$407=0,0,AL419/$AL$407)</f>
        <v>0.23604553000487888</v>
      </c>
      <c r="AK419" s="297"/>
      <c r="AL419" s="299">
        <f>SUM(AL409:AL418)</f>
        <v>115501.27</v>
      </c>
      <c r="AM419" s="303"/>
      <c r="AN419" s="302">
        <f t="shared" ref="AN419:AN431" si="102">AF419-AL419</f>
        <v>47554.079999999973</v>
      </c>
      <c r="AO419" s="277">
        <f t="shared" si="101"/>
        <v>0.41171910923576832</v>
      </c>
      <c r="AP419" s="246"/>
      <c r="AQ419" s="246"/>
      <c r="AR419" s="13"/>
      <c r="AS419" s="246"/>
      <c r="AT419" s="246"/>
      <c r="AU419" s="491"/>
      <c r="AV419" s="491"/>
      <c r="AW419" s="491"/>
      <c r="AX419" s="491"/>
      <c r="AY419" s="491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15086.564249363866</v>
      </c>
      <c r="AA420" s="279"/>
      <c r="AB420" s="279"/>
      <c r="AC420" s="280"/>
      <c r="AD420" s="288"/>
      <c r="AE420" s="287"/>
      <c r="AF420" s="280">
        <v>11680.48</v>
      </c>
      <c r="AG420" s="281"/>
      <c r="AH420" s="282">
        <f t="shared" si="94"/>
        <v>-3406.0842493638665</v>
      </c>
      <c r="AI420" s="283">
        <f t="shared" ref="AI420:AI432" si="103">IF(Z420=0,0,AH420/Z420)</f>
        <v>-0.22576937949987427</v>
      </c>
      <c r="AJ420" s="288"/>
      <c r="AK420" s="279"/>
      <c r="AL420" s="280">
        <v>12811.44</v>
      </c>
      <c r="AM420" s="284"/>
      <c r="AN420" s="282">
        <f t="shared" si="102"/>
        <v>-1130.9600000000009</v>
      </c>
      <c r="AO420" s="289">
        <f t="shared" si="101"/>
        <v>-8.8277352116545901E-2</v>
      </c>
      <c r="AP420" s="246"/>
      <c r="AQ420" s="246"/>
      <c r="AS420" s="246"/>
      <c r="AT420" s="246"/>
      <c r="AU420" s="491"/>
      <c r="AV420" s="491"/>
      <c r="AW420" s="491"/>
      <c r="AX420" s="491"/>
      <c r="AY420" s="491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4">+SUMIF($C:$C,$V421,F:F)</f>
        <v>31761.585241730285</v>
      </c>
      <c r="AA421" s="279"/>
      <c r="AB421" s="279"/>
      <c r="AC421" s="280"/>
      <c r="AD421" s="288"/>
      <c r="AE421" s="287"/>
      <c r="AF421" s="280">
        <f t="shared" ref="AF421:AF432" si="105">+SUMIF($C:$C,$V421,L:L)</f>
        <v>28590.780000000002</v>
      </c>
      <c r="AG421" s="281"/>
      <c r="AH421" s="282">
        <f t="shared" si="94"/>
        <v>-3170.8052417302824</v>
      </c>
      <c r="AI421" s="283">
        <f t="shared" si="103"/>
        <v>-9.9831454179569332E-2</v>
      </c>
      <c r="AJ421" s="288"/>
      <c r="AK421" s="279"/>
      <c r="AL421" s="280">
        <f t="shared" ref="AL421:AL429" si="106">+SUMIF($C:$C,$V421,Q:Q)</f>
        <v>27009.13</v>
      </c>
      <c r="AM421" s="284"/>
      <c r="AN421" s="282">
        <f t="shared" si="102"/>
        <v>1581.6500000000015</v>
      </c>
      <c r="AO421" s="289">
        <f t="shared" si="101"/>
        <v>5.8559827732326118E-2</v>
      </c>
      <c r="AP421" s="246"/>
      <c r="AQ421" s="246"/>
      <c r="AS421" s="246"/>
      <c r="AT421" s="246"/>
      <c r="AU421" s="491"/>
      <c r="AV421" s="491"/>
      <c r="AW421" s="491"/>
      <c r="AX421" s="491"/>
      <c r="AY421" s="491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4"/>
        <v>19640.800890585237</v>
      </c>
      <c r="AA422" s="263"/>
      <c r="AB422" s="263"/>
      <c r="AC422" s="264"/>
      <c r="AD422" s="292"/>
      <c r="AE422" s="291"/>
      <c r="AF422" s="264">
        <f t="shared" si="105"/>
        <v>17983.900000000001</v>
      </c>
      <c r="AG422" s="265"/>
      <c r="AH422" s="266">
        <f t="shared" si="94"/>
        <v>-1656.9008905852352</v>
      </c>
      <c r="AI422" s="293">
        <f t="shared" si="103"/>
        <v>-8.4360149049699185E-2</v>
      </c>
      <c r="AJ422" s="292"/>
      <c r="AK422" s="263"/>
      <c r="AL422" s="264">
        <f t="shared" si="106"/>
        <v>19789.520000000004</v>
      </c>
      <c r="AM422" s="268"/>
      <c r="AN422" s="266">
        <f t="shared" si="102"/>
        <v>-1805.6200000000026</v>
      </c>
      <c r="AO422" s="269">
        <f t="shared" si="101"/>
        <v>-9.1241222626925883E-2</v>
      </c>
      <c r="AP422" s="246"/>
      <c r="AQ422" s="246"/>
      <c r="AS422" s="246"/>
      <c r="AT422" s="246"/>
      <c r="AU422" s="491"/>
      <c r="AV422" s="491"/>
      <c r="AW422" s="491"/>
      <c r="AX422" s="491"/>
      <c r="AY422" s="491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4"/>
        <v>21155.610687022901</v>
      </c>
      <c r="AA423" s="279"/>
      <c r="AB423" s="279"/>
      <c r="AC423" s="280"/>
      <c r="AD423" s="288"/>
      <c r="AE423" s="287"/>
      <c r="AF423" s="280">
        <f t="shared" si="105"/>
        <v>26589.989999999998</v>
      </c>
      <c r="AG423" s="281"/>
      <c r="AH423" s="282">
        <f t="shared" si="94"/>
        <v>5434.3793129770966</v>
      </c>
      <c r="AI423" s="283">
        <f t="shared" si="103"/>
        <v>0.25687650398627387</v>
      </c>
      <c r="AJ423" s="288"/>
      <c r="AK423" s="279"/>
      <c r="AL423" s="280">
        <f t="shared" si="106"/>
        <v>21320.63</v>
      </c>
      <c r="AM423" s="284"/>
      <c r="AN423" s="282">
        <f t="shared" si="102"/>
        <v>5269.3599999999969</v>
      </c>
      <c r="AO423" s="289">
        <f t="shared" si="101"/>
        <v>0.24714841916022165</v>
      </c>
      <c r="AP423" s="246"/>
      <c r="AQ423" s="246"/>
      <c r="AS423" s="246"/>
      <c r="AT423" s="246"/>
      <c r="AU423" s="491"/>
      <c r="AV423" s="491"/>
      <c r="AW423" s="491"/>
      <c r="AX423" s="491"/>
      <c r="AY423" s="491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230</v>
      </c>
      <c r="X424" s="279"/>
      <c r="Y424" s="279"/>
      <c r="Z424" s="280">
        <f t="shared" si="104"/>
        <v>13563.745330702255</v>
      </c>
      <c r="AA424" s="279"/>
      <c r="AB424" s="279"/>
      <c r="AC424" s="280"/>
      <c r="AD424" s="288"/>
      <c r="AE424" s="287"/>
      <c r="AF424" s="280">
        <f t="shared" si="105"/>
        <v>12116.41</v>
      </c>
      <c r="AG424" s="281"/>
      <c r="AH424" s="282">
        <f t="shared" si="94"/>
        <v>-1447.3353307022553</v>
      </c>
      <c r="AI424" s="283">
        <f t="shared" si="103"/>
        <v>-0.10670617115068765</v>
      </c>
      <c r="AJ424" s="288"/>
      <c r="AK424" s="279"/>
      <c r="AL424" s="280">
        <f t="shared" si="106"/>
        <v>11493.78</v>
      </c>
      <c r="AM424" s="284"/>
      <c r="AN424" s="282">
        <f t="shared" si="102"/>
        <v>622.6299999999992</v>
      </c>
      <c r="AO424" s="289">
        <f t="shared" si="101"/>
        <v>5.417103859652779E-2</v>
      </c>
      <c r="AP424" s="246"/>
      <c r="AQ424" s="246"/>
      <c r="AS424" s="491"/>
      <c r="AT424" s="491"/>
      <c r="AU424" s="491"/>
      <c r="AV424" s="491"/>
      <c r="AW424" s="491"/>
      <c r="AX424" s="491"/>
      <c r="AY424" s="491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4"/>
        <v>0</v>
      </c>
      <c r="AA425" s="279"/>
      <c r="AB425" s="279"/>
      <c r="AC425" s="282"/>
      <c r="AD425" s="288"/>
      <c r="AE425" s="287"/>
      <c r="AF425" s="280">
        <f t="shared" si="105"/>
        <v>0</v>
      </c>
      <c r="AG425" s="281"/>
      <c r="AH425" s="282">
        <f t="shared" ref="AH425:AH457" si="107">AF425-Z425</f>
        <v>0</v>
      </c>
      <c r="AI425" s="283">
        <f t="shared" si="103"/>
        <v>0</v>
      </c>
      <c r="AJ425" s="288"/>
      <c r="AK425" s="279"/>
      <c r="AL425" s="280">
        <f t="shared" si="106"/>
        <v>0</v>
      </c>
      <c r="AM425" s="284"/>
      <c r="AN425" s="282">
        <f t="shared" si="102"/>
        <v>0</v>
      </c>
      <c r="AO425" s="289">
        <f t="shared" si="101"/>
        <v>0</v>
      </c>
      <c r="AP425" s="246"/>
      <c r="AQ425" s="246"/>
      <c r="AR425" s="440"/>
      <c r="AS425" s="491"/>
      <c r="AT425" s="491"/>
      <c r="AU425" s="491"/>
      <c r="AV425" s="491"/>
      <c r="AW425" s="491"/>
      <c r="AX425" s="491"/>
      <c r="AY425" s="491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4"/>
        <v>0</v>
      </c>
      <c r="AA426" s="279"/>
      <c r="AB426" s="279"/>
      <c r="AC426" s="282"/>
      <c r="AD426" s="288"/>
      <c r="AE426" s="287"/>
      <c r="AF426" s="280">
        <f t="shared" si="105"/>
        <v>0</v>
      </c>
      <c r="AG426" s="281"/>
      <c r="AH426" s="282">
        <f t="shared" si="107"/>
        <v>0</v>
      </c>
      <c r="AI426" s="283">
        <f t="shared" si="103"/>
        <v>0</v>
      </c>
      <c r="AJ426" s="288"/>
      <c r="AK426" s="279"/>
      <c r="AL426" s="280">
        <f t="shared" si="106"/>
        <v>0</v>
      </c>
      <c r="AM426" s="284"/>
      <c r="AN426" s="282">
        <f t="shared" si="102"/>
        <v>0</v>
      </c>
      <c r="AO426" s="289">
        <f t="shared" si="101"/>
        <v>0</v>
      </c>
      <c r="AP426" s="246"/>
      <c r="AQ426" s="246"/>
      <c r="AS426" s="491"/>
      <c r="AT426" s="491"/>
      <c r="AU426" s="491"/>
      <c r="AV426" s="491"/>
      <c r="AW426" s="491"/>
      <c r="AX426" s="491"/>
      <c r="AY426" s="491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4"/>
        <v>0</v>
      </c>
      <c r="AA427" s="279"/>
      <c r="AB427" s="279"/>
      <c r="AC427" s="282"/>
      <c r="AD427" s="288"/>
      <c r="AE427" s="287"/>
      <c r="AF427" s="280">
        <f t="shared" si="105"/>
        <v>0</v>
      </c>
      <c r="AG427" s="281"/>
      <c r="AH427" s="282">
        <f t="shared" si="107"/>
        <v>0</v>
      </c>
      <c r="AI427" s="283">
        <f t="shared" si="103"/>
        <v>0</v>
      </c>
      <c r="AJ427" s="288"/>
      <c r="AK427" s="279"/>
      <c r="AL427" s="280">
        <f t="shared" si="106"/>
        <v>0</v>
      </c>
      <c r="AM427" s="284"/>
      <c r="AN427" s="282">
        <f t="shared" si="102"/>
        <v>0</v>
      </c>
      <c r="AO427" s="289">
        <f t="shared" si="101"/>
        <v>0</v>
      </c>
      <c r="AP427" s="246"/>
      <c r="AQ427" s="246"/>
      <c r="AS427" s="491"/>
      <c r="AT427" s="491"/>
      <c r="AU427" s="491"/>
      <c r="AV427" s="491"/>
      <c r="AW427" s="491"/>
      <c r="AX427" s="491"/>
      <c r="AY427" s="491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4"/>
        <v>23178.318544276182</v>
      </c>
      <c r="AA428" s="263"/>
      <c r="AB428" s="263"/>
      <c r="AC428" s="264"/>
      <c r="AD428" s="292"/>
      <c r="AE428" s="291"/>
      <c r="AF428" s="264">
        <f t="shared" si="105"/>
        <v>11741.09</v>
      </c>
      <c r="AG428" s="265"/>
      <c r="AH428" s="266">
        <f t="shared" si="107"/>
        <v>-11437.228544276182</v>
      </c>
      <c r="AI428" s="293">
        <f t="shared" si="103"/>
        <v>-0.49344513591131794</v>
      </c>
      <c r="AJ428" s="292"/>
      <c r="AK428" s="263"/>
      <c r="AL428" s="264">
        <f t="shared" si="106"/>
        <v>16271.63</v>
      </c>
      <c r="AM428" s="268"/>
      <c r="AN428" s="266">
        <f t="shared" si="102"/>
        <v>-4530.5399999999991</v>
      </c>
      <c r="AO428" s="294">
        <f t="shared" si="101"/>
        <v>-0.27843184733182841</v>
      </c>
      <c r="AP428" s="491"/>
      <c r="AQ428" s="499"/>
      <c r="AS428" s="491"/>
      <c r="AT428" s="491"/>
      <c r="AU428" s="491"/>
      <c r="AV428" s="491"/>
      <c r="AW428" s="491"/>
      <c r="AX428" s="491"/>
      <c r="AY428" s="491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4"/>
        <v>30570.135909198278</v>
      </c>
      <c r="AA429" s="279"/>
      <c r="AB429" s="279"/>
      <c r="AC429" s="280"/>
      <c r="AD429" s="288"/>
      <c r="AE429" s="287"/>
      <c r="AF429" s="280">
        <f t="shared" si="105"/>
        <v>29131.18</v>
      </c>
      <c r="AG429" s="281"/>
      <c r="AH429" s="282">
        <f t="shared" si="107"/>
        <v>-1438.9559091982774</v>
      </c>
      <c r="AI429" s="283">
        <f t="shared" si="103"/>
        <v>-4.7070641539585324E-2</v>
      </c>
      <c r="AJ429" s="288"/>
      <c r="AK429" s="279"/>
      <c r="AL429" s="280">
        <f t="shared" si="106"/>
        <v>30585.63</v>
      </c>
      <c r="AM429" s="284"/>
      <c r="AN429" s="282">
        <f t="shared" si="102"/>
        <v>-1454.4500000000007</v>
      </c>
      <c r="AO429" s="289">
        <f t="shared" si="101"/>
        <v>-4.7553377190530349E-2</v>
      </c>
      <c r="AP429" s="491"/>
      <c r="AQ429" s="490"/>
      <c r="AR429" s="490"/>
      <c r="AS429" s="491"/>
      <c r="AT429" s="491"/>
      <c r="AU429" s="491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231</v>
      </c>
      <c r="X430" s="279"/>
      <c r="Y430" s="279"/>
      <c r="Z430" s="280">
        <f t="shared" si="104"/>
        <v>13936.385488016862</v>
      </c>
      <c r="AA430" s="279"/>
      <c r="AB430" s="279"/>
      <c r="AC430" s="280"/>
      <c r="AD430" s="288"/>
      <c r="AE430" s="287"/>
      <c r="AF430" s="280">
        <f t="shared" si="105"/>
        <v>12249.67</v>
      </c>
      <c r="AG430" s="281"/>
      <c r="AH430" s="282">
        <f t="shared" si="107"/>
        <v>-1686.7154880168619</v>
      </c>
      <c r="AI430" s="283">
        <f t="shared" si="103"/>
        <v>-0.12102962346062948</v>
      </c>
      <c r="AJ430" s="288"/>
      <c r="AK430" s="279"/>
      <c r="AL430" s="280">
        <f>IFERROR(SUMIF($C:$C,$V430,Q:Q),0)</f>
        <v>11125.759999999998</v>
      </c>
      <c r="AM430" s="284"/>
      <c r="AN430" s="282">
        <f t="shared" si="102"/>
        <v>1123.9100000000017</v>
      </c>
      <c r="AO430" s="289">
        <f t="shared" si="101"/>
        <v>0.10101871692360807</v>
      </c>
      <c r="AP430" s="491"/>
      <c r="AQ430" s="490"/>
      <c r="AR430" s="490"/>
      <c r="AS430" s="491"/>
      <c r="AT430" s="491"/>
      <c r="AU430" s="491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232</v>
      </c>
      <c r="X431" s="279"/>
      <c r="Y431" s="279"/>
      <c r="Z431" s="280">
        <f t="shared" si="104"/>
        <v>3146.9257553586458</v>
      </c>
      <c r="AA431" s="279"/>
      <c r="AB431" s="279"/>
      <c r="AC431" s="280"/>
      <c r="AD431" s="288"/>
      <c r="AE431" s="287"/>
      <c r="AF431" s="280">
        <f t="shared" si="105"/>
        <v>3503.11</v>
      </c>
      <c r="AG431" s="281"/>
      <c r="AH431" s="282">
        <f t="shared" si="107"/>
        <v>356.18424464135433</v>
      </c>
      <c r="AI431" s="306">
        <f t="shared" si="103"/>
        <v>0.11318482618626668</v>
      </c>
      <c r="AJ431" s="288"/>
      <c r="AK431" s="279"/>
      <c r="AL431" s="280">
        <f>IFERROR(SUMIF($C:$C,$V431,Q:Q),0)</f>
        <v>2969.64</v>
      </c>
      <c r="AM431" s="284"/>
      <c r="AN431" s="282">
        <f t="shared" si="102"/>
        <v>533.47000000000025</v>
      </c>
      <c r="AO431" s="294">
        <f t="shared" si="101"/>
        <v>0.1796413033229618</v>
      </c>
      <c r="AP431" s="491"/>
      <c r="AQ431" s="490"/>
      <c r="AR431" s="490"/>
      <c r="AS431" s="491"/>
      <c r="AT431" s="491"/>
      <c r="AU431" s="491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5"/>
        <v>0</v>
      </c>
      <c r="AG432" s="281"/>
      <c r="AH432" s="282">
        <f t="shared" si="107"/>
        <v>0</v>
      </c>
      <c r="AI432" s="283">
        <f t="shared" si="103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90"/>
      <c r="AS432" s="491"/>
      <c r="AT432" s="491"/>
      <c r="AU432" s="491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0.32154670227375087</v>
      </c>
      <c r="Y433" s="297"/>
      <c r="Z433" s="299">
        <f>SUM(Z420:Z432)</f>
        <v>172040.0720962545</v>
      </c>
      <c r="AA433" s="298"/>
      <c r="AB433" s="297"/>
      <c r="AC433" s="299"/>
      <c r="AD433" s="300">
        <f>AF433/AF407</f>
        <v>0.3259121173082038</v>
      </c>
      <c r="AE433" s="307"/>
      <c r="AF433" s="299">
        <f>SUM(AF420:AF432)</f>
        <v>153586.60999999999</v>
      </c>
      <c r="AG433" s="308"/>
      <c r="AH433" s="302">
        <f t="shared" si="107"/>
        <v>-18453.462096254516</v>
      </c>
      <c r="AI433" s="298">
        <f>AH433/Z433</f>
        <v>-0.10726258058023837</v>
      </c>
      <c r="AJ433" s="300">
        <f>IF($AL$407=0,0,AL433/$AL$407)</f>
        <v>0.3134510384417688</v>
      </c>
      <c r="AK433" s="297"/>
      <c r="AL433" s="299">
        <f>SUM(AL420:AL432)</f>
        <v>153377.16000000003</v>
      </c>
      <c r="AM433" s="309"/>
      <c r="AN433" s="302">
        <f t="shared" ref="AN433:AN447" si="108">AF433-AL433</f>
        <v>209.44999999995343</v>
      </c>
      <c r="AO433" s="277">
        <f>IF(AL433=0,0,AN433/AL433)</f>
        <v>1.3655879402119154E-3</v>
      </c>
      <c r="AP433" s="246"/>
      <c r="AQ433" s="246"/>
      <c r="AR433" s="490"/>
      <c r="AS433" s="491"/>
      <c r="AT433" s="491"/>
      <c r="AU433" s="491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233</v>
      </c>
      <c r="X434" s="312"/>
      <c r="Y434" s="312"/>
      <c r="Z434" s="313">
        <f t="shared" ref="Z434:Z448" si="109">+SUMIF($C:$C,$V434,F:F)</f>
        <v>9087.387688515777</v>
      </c>
      <c r="AA434" s="312"/>
      <c r="AB434" s="312"/>
      <c r="AC434" s="313"/>
      <c r="AD434" s="314"/>
      <c r="AE434" s="315"/>
      <c r="AF434" s="313">
        <f t="shared" ref="AF434:AF451" si="110">+SUMIF($C:$C,$V434,L:L)</f>
        <v>10623.460000000001</v>
      </c>
      <c r="AG434" s="314"/>
      <c r="AH434" s="316">
        <f t="shared" si="107"/>
        <v>1536.072311484224</v>
      </c>
      <c r="AI434" s="317">
        <f t="shared" ref="AI434:AI451" si="111">IF(Z434=0,0,AH434/Z434)</f>
        <v>0.16903343008304153</v>
      </c>
      <c r="AJ434" s="314"/>
      <c r="AK434" s="312"/>
      <c r="AL434" s="313">
        <f t="shared" ref="AL434:AL448" si="112">+SUMIF($C:$C,$V434,Q:Q)</f>
        <v>10801.26</v>
      </c>
      <c r="AM434" s="318"/>
      <c r="AN434" s="316">
        <f t="shared" si="108"/>
        <v>-177.79999999999927</v>
      </c>
      <c r="AO434" s="285">
        <f t="shared" ref="AO434:AO447" si="113">IF(AL434=0,0,AN434/AL434)</f>
        <v>-1.6461042508003627E-2</v>
      </c>
      <c r="AP434" s="246"/>
      <c r="AQ434" s="246">
        <f>24104-13480.75</f>
        <v>10623.25</v>
      </c>
      <c r="AR434" s="246"/>
      <c r="AS434" s="500"/>
      <c r="AT434" s="491"/>
      <c r="AU434" s="491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9"/>
        <v>3965</v>
      </c>
      <c r="AA435" s="279"/>
      <c r="AB435" s="279"/>
      <c r="AC435" s="280"/>
      <c r="AD435" s="288"/>
      <c r="AE435" s="287"/>
      <c r="AF435" s="280">
        <f t="shared" si="110"/>
        <v>5426.1399999999994</v>
      </c>
      <c r="AG435" s="281"/>
      <c r="AH435" s="282">
        <f t="shared" si="107"/>
        <v>1461.1399999999994</v>
      </c>
      <c r="AI435" s="283">
        <f t="shared" si="111"/>
        <v>0.36850945775535926</v>
      </c>
      <c r="AJ435" s="288"/>
      <c r="AK435" s="279"/>
      <c r="AL435" s="280">
        <f t="shared" si="112"/>
        <v>2501.37</v>
      </c>
      <c r="AM435" s="284"/>
      <c r="AN435" s="282">
        <f t="shared" si="108"/>
        <v>2924.7699999999995</v>
      </c>
      <c r="AO435" s="289">
        <f t="shared" si="113"/>
        <v>1.1692672415516296</v>
      </c>
      <c r="AP435" s="246"/>
      <c r="AQ435" s="246">
        <v>5426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234</v>
      </c>
      <c r="X436" s="263"/>
      <c r="Y436" s="263"/>
      <c r="Z436" s="264">
        <f t="shared" si="109"/>
        <v>15303.333333333334</v>
      </c>
      <c r="AA436" s="263"/>
      <c r="AB436" s="263"/>
      <c r="AC436" s="264"/>
      <c r="AD436" s="292"/>
      <c r="AE436" s="291"/>
      <c r="AF436" s="264">
        <f t="shared" si="110"/>
        <v>15447.359999999999</v>
      </c>
      <c r="AG436" s="265"/>
      <c r="AH436" s="266">
        <f t="shared" si="107"/>
        <v>144.02666666666482</v>
      </c>
      <c r="AI436" s="293">
        <f t="shared" si="111"/>
        <v>9.411457198867228E-3</v>
      </c>
      <c r="AJ436" s="292"/>
      <c r="AK436" s="263"/>
      <c r="AL436" s="264">
        <f t="shared" si="112"/>
        <v>16557.61</v>
      </c>
      <c r="AM436" s="268"/>
      <c r="AN436" s="266">
        <f t="shared" si="108"/>
        <v>-1110.2500000000018</v>
      </c>
      <c r="AO436" s="269">
        <f t="shared" si="113"/>
        <v>-6.7053759570372878E-2</v>
      </c>
      <c r="AP436" s="246"/>
      <c r="AQ436" s="246">
        <v>15447</v>
      </c>
      <c r="AR436" s="501" t="s">
        <v>235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236</v>
      </c>
      <c r="X437" s="279"/>
      <c r="Y437" s="279"/>
      <c r="Z437" s="280">
        <f t="shared" si="109"/>
        <v>14093</v>
      </c>
      <c r="AA437" s="279"/>
      <c r="AB437" s="279"/>
      <c r="AC437" s="280"/>
      <c r="AD437" s="288"/>
      <c r="AE437" s="287"/>
      <c r="AF437" s="280">
        <f t="shared" si="110"/>
        <v>13374.96</v>
      </c>
      <c r="AG437" s="281"/>
      <c r="AH437" s="282">
        <f t="shared" si="107"/>
        <v>-718.04000000000087</v>
      </c>
      <c r="AI437" s="283">
        <f t="shared" si="111"/>
        <v>-5.0950117079401183E-2</v>
      </c>
      <c r="AJ437" s="288"/>
      <c r="AK437" s="279"/>
      <c r="AL437" s="280">
        <f t="shared" si="112"/>
        <v>12709.380000000001</v>
      </c>
      <c r="AM437" s="284"/>
      <c r="AN437" s="282">
        <f t="shared" si="108"/>
        <v>665.57999999999811</v>
      </c>
      <c r="AO437" s="289">
        <f t="shared" si="113"/>
        <v>5.236919503547758E-2</v>
      </c>
      <c r="AP437" s="501"/>
      <c r="AQ437" s="246">
        <f>11039+2336</f>
        <v>13375</v>
      </c>
      <c r="AR437" s="246"/>
      <c r="AS437" s="501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237</v>
      </c>
      <c r="X438" s="279"/>
      <c r="Y438" s="279"/>
      <c r="Z438" s="280">
        <f t="shared" si="109"/>
        <v>1828</v>
      </c>
      <c r="AA438" s="279"/>
      <c r="AB438" s="279"/>
      <c r="AC438" s="280"/>
      <c r="AD438" s="288"/>
      <c r="AE438" s="287"/>
      <c r="AF438" s="280">
        <f t="shared" si="110"/>
        <v>3458.79</v>
      </c>
      <c r="AG438" s="281"/>
      <c r="AH438" s="282">
        <f t="shared" si="107"/>
        <v>1630.79</v>
      </c>
      <c r="AI438" s="283">
        <f t="shared" si="111"/>
        <v>0.89211706783369804</v>
      </c>
      <c r="AJ438" s="288"/>
      <c r="AK438" s="279"/>
      <c r="AL438" s="280">
        <f t="shared" si="112"/>
        <v>1272.6499999999999</v>
      </c>
      <c r="AM438" s="284"/>
      <c r="AN438" s="282">
        <f t="shared" si="108"/>
        <v>2186.1400000000003</v>
      </c>
      <c r="AO438" s="289">
        <f t="shared" si="113"/>
        <v>1.7177857227045932</v>
      </c>
      <c r="AP438" s="501"/>
      <c r="AQ438" s="246">
        <v>3459</v>
      </c>
      <c r="AR438" s="246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238</v>
      </c>
      <c r="X439" s="279"/>
      <c r="Y439" s="279"/>
      <c r="Z439" s="280">
        <f t="shared" si="109"/>
        <v>10966.000000000002</v>
      </c>
      <c r="AA439" s="279"/>
      <c r="AB439" s="279"/>
      <c r="AC439" s="280"/>
      <c r="AD439" s="288"/>
      <c r="AE439" s="287"/>
      <c r="AF439" s="280">
        <f t="shared" si="110"/>
        <v>10883.84</v>
      </c>
      <c r="AG439" s="281"/>
      <c r="AH439" s="282">
        <f t="shared" si="107"/>
        <v>-82.160000000001673</v>
      </c>
      <c r="AI439" s="283">
        <f t="shared" si="111"/>
        <v>-7.4922487689222739E-3</v>
      </c>
      <c r="AJ439" s="288"/>
      <c r="AK439" s="279"/>
      <c r="AL439" s="280">
        <f t="shared" si="112"/>
        <v>13417.029999999999</v>
      </c>
      <c r="AM439" s="284"/>
      <c r="AN439" s="282">
        <f t="shared" si="108"/>
        <v>-2533.1899999999987</v>
      </c>
      <c r="AO439" s="289">
        <f t="shared" si="113"/>
        <v>-0.1888040795913849</v>
      </c>
      <c r="AP439" s="246"/>
      <c r="AQ439" s="246">
        <v>10884</v>
      </c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9"/>
        <v>0</v>
      </c>
      <c r="AA440" s="320"/>
      <c r="AB440" s="320"/>
      <c r="AC440" s="321"/>
      <c r="AD440" s="322"/>
      <c r="AE440" s="323"/>
      <c r="AF440" s="321">
        <f t="shared" si="110"/>
        <v>0</v>
      </c>
      <c r="AG440" s="324"/>
      <c r="AH440" s="325">
        <f t="shared" si="107"/>
        <v>0</v>
      </c>
      <c r="AI440" s="326">
        <f t="shared" si="111"/>
        <v>0</v>
      </c>
      <c r="AJ440" s="322"/>
      <c r="AK440" s="320"/>
      <c r="AL440" s="321">
        <f t="shared" si="112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9"/>
        <v>1409.6970233876682</v>
      </c>
      <c r="AA441" s="279"/>
      <c r="AB441" s="287"/>
      <c r="AC441" s="280"/>
      <c r="AD441" s="288"/>
      <c r="AE441" s="287"/>
      <c r="AF441" s="280">
        <f t="shared" si="110"/>
        <v>-26.47</v>
      </c>
      <c r="AG441" s="281"/>
      <c r="AH441" s="282">
        <f t="shared" si="107"/>
        <v>-1436.1670233876682</v>
      </c>
      <c r="AI441" s="283">
        <f t="shared" si="111"/>
        <v>-1.0187770844095205</v>
      </c>
      <c r="AJ441" s="288"/>
      <c r="AK441" s="279"/>
      <c r="AL441" s="280">
        <f t="shared" si="112"/>
        <v>889.06000000000006</v>
      </c>
      <c r="AM441" s="284"/>
      <c r="AN441" s="282">
        <f t="shared" si="108"/>
        <v>-915.53000000000009</v>
      </c>
      <c r="AO441" s="289">
        <f t="shared" si="113"/>
        <v>-1.0297730186939014</v>
      </c>
      <c r="AP441" s="246"/>
      <c r="AQ441" s="246">
        <v>-26</v>
      </c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9"/>
        <v>1003</v>
      </c>
      <c r="AA442" s="279"/>
      <c r="AB442" s="279"/>
      <c r="AC442" s="280"/>
      <c r="AD442" s="288"/>
      <c r="AE442" s="287"/>
      <c r="AF442" s="280">
        <f t="shared" si="110"/>
        <v>1182</v>
      </c>
      <c r="AG442" s="281"/>
      <c r="AH442" s="282">
        <f t="shared" si="107"/>
        <v>179</v>
      </c>
      <c r="AI442" s="306">
        <f t="shared" si="111"/>
        <v>0.17846460618145563</v>
      </c>
      <c r="AJ442" s="288"/>
      <c r="AK442" s="279"/>
      <c r="AL442" s="280">
        <f t="shared" si="112"/>
        <v>1309.1599999999999</v>
      </c>
      <c r="AM442" s="284"/>
      <c r="AN442" s="282">
        <f t="shared" si="108"/>
        <v>-127.15999999999985</v>
      </c>
      <c r="AO442" s="289">
        <f t="shared" si="113"/>
        <v>-9.7130984753582353E-2</v>
      </c>
      <c r="AP442" s="246"/>
      <c r="AQ442" s="246">
        <v>1182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8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9"/>
        <v>1750</v>
      </c>
      <c r="AA443" s="279"/>
      <c r="AB443" s="279"/>
      <c r="AC443" s="280"/>
      <c r="AD443" s="288"/>
      <c r="AE443" s="287"/>
      <c r="AF443" s="280">
        <f t="shared" si="110"/>
        <v>1207.31</v>
      </c>
      <c r="AG443" s="281"/>
      <c r="AH443" s="282">
        <f t="shared" si="107"/>
        <v>-542.69000000000005</v>
      </c>
      <c r="AI443" s="283">
        <f t="shared" si="111"/>
        <v>-0.31010857142857146</v>
      </c>
      <c r="AJ443" s="288"/>
      <c r="AK443" s="279"/>
      <c r="AL443" s="280">
        <f t="shared" si="112"/>
        <v>1477.22</v>
      </c>
      <c r="AM443" s="284"/>
      <c r="AN443" s="282">
        <f t="shared" si="108"/>
        <v>-269.91000000000008</v>
      </c>
      <c r="AO443" s="289">
        <f t="shared" si="113"/>
        <v>-0.18271482920621171</v>
      </c>
      <c r="AP443" s="246"/>
      <c r="AQ443" s="246">
        <v>1207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239</v>
      </c>
      <c r="X444" s="279"/>
      <c r="Y444" s="279"/>
      <c r="Z444" s="280">
        <f t="shared" si="109"/>
        <v>512</v>
      </c>
      <c r="AA444" s="279"/>
      <c r="AB444" s="279"/>
      <c r="AC444" s="280"/>
      <c r="AD444" s="288"/>
      <c r="AE444" s="287"/>
      <c r="AF444" s="280">
        <f t="shared" si="110"/>
        <v>561.23</v>
      </c>
      <c r="AG444" s="281"/>
      <c r="AH444" s="282">
        <f t="shared" si="107"/>
        <v>49.230000000000018</v>
      </c>
      <c r="AI444" s="306">
        <f t="shared" si="111"/>
        <v>9.6152343750000036E-2</v>
      </c>
      <c r="AJ444" s="288"/>
      <c r="AK444" s="279"/>
      <c r="AL444" s="280">
        <f t="shared" si="112"/>
        <v>465.06</v>
      </c>
      <c r="AM444" s="284"/>
      <c r="AN444" s="282">
        <f t="shared" si="108"/>
        <v>96.170000000000016</v>
      </c>
      <c r="AO444" s="289">
        <f t="shared" si="113"/>
        <v>0.20679052165312006</v>
      </c>
      <c r="AP444" s="246"/>
      <c r="AQ444" s="246">
        <v>561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240</v>
      </c>
      <c r="X445" s="279"/>
      <c r="Y445" s="279"/>
      <c r="Z445" s="280">
        <f t="shared" si="109"/>
        <v>875</v>
      </c>
      <c r="AA445" s="279"/>
      <c r="AB445" s="279"/>
      <c r="AC445" s="280"/>
      <c r="AD445" s="288"/>
      <c r="AE445" s="287"/>
      <c r="AF445" s="280">
        <f t="shared" si="110"/>
        <v>1431.34</v>
      </c>
      <c r="AG445" s="281"/>
      <c r="AH445" s="282">
        <f t="shared" si="107"/>
        <v>556.33999999999992</v>
      </c>
      <c r="AI445" s="283">
        <f t="shared" si="111"/>
        <v>0.63581714285714275</v>
      </c>
      <c r="AJ445" s="288"/>
      <c r="AK445" s="279"/>
      <c r="AL445" s="280">
        <f t="shared" si="112"/>
        <v>1993.94</v>
      </c>
      <c r="AM445" s="284"/>
      <c r="AN445" s="282">
        <f t="shared" si="108"/>
        <v>-562.60000000000014</v>
      </c>
      <c r="AO445" s="289">
        <f t="shared" si="113"/>
        <v>-0.28215492943619175</v>
      </c>
      <c r="AP445" s="246"/>
      <c r="AQ445" s="246">
        <v>1431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241</v>
      </c>
      <c r="X446" s="279"/>
      <c r="Y446" s="287"/>
      <c r="Z446" s="280">
        <f t="shared" si="109"/>
        <v>1858</v>
      </c>
      <c r="AA446" s="279"/>
      <c r="AB446" s="287"/>
      <c r="AC446" s="280"/>
      <c r="AD446" s="288"/>
      <c r="AE446" s="287"/>
      <c r="AF446" s="280">
        <f t="shared" si="110"/>
        <v>1851</v>
      </c>
      <c r="AG446" s="281"/>
      <c r="AH446" s="282">
        <f t="shared" si="107"/>
        <v>-7</v>
      </c>
      <c r="AI446" s="306">
        <f t="shared" si="111"/>
        <v>-3.7674919268030141E-3</v>
      </c>
      <c r="AJ446" s="288"/>
      <c r="AK446" s="279"/>
      <c r="AL446" s="280">
        <f t="shared" si="112"/>
        <v>1845.7399999999998</v>
      </c>
      <c r="AM446" s="284"/>
      <c r="AN446" s="282">
        <f t="shared" si="108"/>
        <v>5.2600000000002183</v>
      </c>
      <c r="AO446" s="289">
        <f t="shared" si="113"/>
        <v>2.8498054980659348E-3</v>
      </c>
      <c r="AP446" s="246"/>
      <c r="AQ446" s="246">
        <f>-31+1882</f>
        <v>1851</v>
      </c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242</v>
      </c>
      <c r="X447" s="279"/>
      <c r="Y447" s="287"/>
      <c r="Z447" s="280">
        <f t="shared" si="109"/>
        <v>2609.9010666666663</v>
      </c>
      <c r="AA447" s="279"/>
      <c r="AB447" s="287"/>
      <c r="AC447" s="280"/>
      <c r="AD447" s="288"/>
      <c r="AE447" s="287"/>
      <c r="AF447" s="280">
        <f t="shared" si="110"/>
        <v>877.86</v>
      </c>
      <c r="AG447" s="281"/>
      <c r="AH447" s="282">
        <f t="shared" si="107"/>
        <v>-1732.0410666666662</v>
      </c>
      <c r="AI447" s="283">
        <f t="shared" si="111"/>
        <v>-0.66364242261443562</v>
      </c>
      <c r="AJ447" s="288"/>
      <c r="AK447" s="279"/>
      <c r="AL447" s="280">
        <f t="shared" si="112"/>
        <v>4208.7700000000004</v>
      </c>
      <c r="AM447" s="284"/>
      <c r="AN447" s="282">
        <f t="shared" si="108"/>
        <v>-3330.9100000000003</v>
      </c>
      <c r="AO447" s="289">
        <f t="shared" si="113"/>
        <v>-0.79142124658748281</v>
      </c>
      <c r="AP447" s="246"/>
      <c r="AQ447" s="246">
        <v>878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243</v>
      </c>
      <c r="X448" s="279"/>
      <c r="Y448" s="287">
        <f>Z448/Z406</f>
        <v>1.5100000000000005E-3</v>
      </c>
      <c r="Z448" s="280">
        <f t="shared" si="109"/>
        <v>7831.6980772679981</v>
      </c>
      <c r="AA448" s="279"/>
      <c r="AB448" s="287"/>
      <c r="AC448" s="280"/>
      <c r="AD448" s="288"/>
      <c r="AE448" s="287"/>
      <c r="AF448" s="280">
        <f t="shared" si="110"/>
        <v>9751.2200000000012</v>
      </c>
      <c r="AG448" s="281"/>
      <c r="AH448" s="282">
        <f t="shared" si="107"/>
        <v>1919.5219227320031</v>
      </c>
      <c r="AI448" s="283">
        <f t="shared" si="111"/>
        <v>0.24509651722958237</v>
      </c>
      <c r="AJ448" s="288"/>
      <c r="AK448" s="279"/>
      <c r="AL448" s="280">
        <f t="shared" si="112"/>
        <v>7366.5999999999995</v>
      </c>
      <c r="AM448" s="284"/>
      <c r="AN448" s="282">
        <f>AF448-AL448</f>
        <v>2384.6200000000017</v>
      </c>
      <c r="AO448" s="289">
        <f>IF(AL448=0,0,AN448/AL448)</f>
        <v>0.32370700187332035</v>
      </c>
      <c r="AP448" s="246"/>
      <c r="AQ448" s="246">
        <v>9751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9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10"/>
        <v>0</v>
      </c>
      <c r="AG449" s="281"/>
      <c r="AH449" s="282">
        <f t="shared" si="107"/>
        <v>0</v>
      </c>
      <c r="AI449" s="283">
        <f t="shared" si="111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10"/>
        <v>0</v>
      </c>
      <c r="AG450" s="281"/>
      <c r="AH450" s="282">
        <f t="shared" si="107"/>
        <v>0</v>
      </c>
      <c r="AI450" s="283">
        <f t="shared" si="111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10"/>
        <v>0</v>
      </c>
      <c r="AG451" s="281"/>
      <c r="AH451" s="282">
        <f t="shared" si="107"/>
        <v>0</v>
      </c>
      <c r="AI451" s="283">
        <f t="shared" si="111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0.13661059777145992</v>
      </c>
      <c r="Y452" s="297"/>
      <c r="Z452" s="299">
        <f>+SUM(Z434:Z451)</f>
        <v>73092.017189171442</v>
      </c>
      <c r="AA452" s="298"/>
      <c r="AB452" s="297"/>
      <c r="AC452" s="299"/>
      <c r="AD452" s="300">
        <f>AF452/AF407</f>
        <v>0.16137884388341922</v>
      </c>
      <c r="AE452" s="297"/>
      <c r="AF452" s="299">
        <f>+SUM(AF434:AF451)</f>
        <v>76050.039999999994</v>
      </c>
      <c r="AG452" s="308"/>
      <c r="AH452" s="302">
        <f>+SUM(AH434:AH451)</f>
        <v>2958.0228108285542</v>
      </c>
      <c r="AI452" s="298">
        <f>AH452/Z452</f>
        <v>4.0469847797096836E-2</v>
      </c>
      <c r="AJ452" s="300">
        <f>IF($AL$407=0,0,AL452/$AL$407)</f>
        <v>0.15698357239271285</v>
      </c>
      <c r="AK452" s="298"/>
      <c r="AL452" s="299">
        <f>+SUM(AL434:AL451)</f>
        <v>76814.850000000006</v>
      </c>
      <c r="AM452" s="309"/>
      <c r="AN452" s="302">
        <f>+SUM(AN434:AN451)</f>
        <v>-764.8100000000004</v>
      </c>
      <c r="AO452" s="331">
        <f>IF(AL452=0,0,AN452/AL452)</f>
        <v>-9.9565383516338358E-3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4">AF453-Z453</f>
        <v>0</v>
      </c>
      <c r="AI453" s="283">
        <f t="shared" ref="AI453:AI461" si="115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6">IF(AL453=0,0,AN453/AL453)</f>
        <v>0</v>
      </c>
      <c r="AP453" s="246"/>
      <c r="AQ453" s="502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5872.14</v>
      </c>
      <c r="AA454" s="279"/>
      <c r="AB454" s="287"/>
      <c r="AC454" s="280"/>
      <c r="AD454" s="288"/>
      <c r="AE454" s="287"/>
      <c r="AF454" s="280">
        <v>5872.14</v>
      </c>
      <c r="AG454" s="281"/>
      <c r="AH454" s="282">
        <f t="shared" si="114"/>
        <v>0</v>
      </c>
      <c r="AI454" s="283">
        <f t="shared" si="115"/>
        <v>0</v>
      </c>
      <c r="AJ454" s="288"/>
      <c r="AK454" s="279"/>
      <c r="AL454" s="280">
        <v>5408.65</v>
      </c>
      <c r="AM454" s="284"/>
      <c r="AN454" s="282">
        <f t="shared" ref="AN454:AN461" si="117">AF454-AL454</f>
        <v>463.49000000000069</v>
      </c>
      <c r="AO454" s="289">
        <f t="shared" si="116"/>
        <v>8.5694212049217594E-2</v>
      </c>
      <c r="AP454" s="246"/>
      <c r="AQ454" s="502">
        <v>5872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2516.63</v>
      </c>
      <c r="AA455" s="263"/>
      <c r="AB455" s="291"/>
      <c r="AC455" s="264"/>
      <c r="AD455" s="292"/>
      <c r="AE455" s="291"/>
      <c r="AF455" s="264">
        <v>2516.63</v>
      </c>
      <c r="AG455" s="265"/>
      <c r="AH455" s="266">
        <f t="shared" si="114"/>
        <v>0</v>
      </c>
      <c r="AI455" s="293">
        <f t="shared" si="115"/>
        <v>0</v>
      </c>
      <c r="AJ455" s="292"/>
      <c r="AK455" s="263"/>
      <c r="AL455" s="264">
        <v>2317.9899999999998</v>
      </c>
      <c r="AM455" s="268"/>
      <c r="AN455" s="266">
        <f t="shared" si="117"/>
        <v>198.64000000000033</v>
      </c>
      <c r="AO455" s="269">
        <f t="shared" si="116"/>
        <v>8.569493397296811E-2</v>
      </c>
      <c r="AP455" s="246"/>
      <c r="AQ455" s="502">
        <v>2517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8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4"/>
        <v>0</v>
      </c>
      <c r="AI456" s="283">
        <f t="shared" si="115"/>
        <v>0</v>
      </c>
      <c r="AJ456" s="288"/>
      <c r="AK456" s="279"/>
      <c r="AL456" s="280">
        <v>0</v>
      </c>
      <c r="AM456" s="284"/>
      <c r="AN456" s="282">
        <f t="shared" si="117"/>
        <v>0</v>
      </c>
      <c r="AO456" s="289">
        <f t="shared" si="116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4349.75</v>
      </c>
      <c r="AA457" s="263"/>
      <c r="AB457" s="291"/>
      <c r="AC457" s="264"/>
      <c r="AD457" s="292"/>
      <c r="AE457" s="291"/>
      <c r="AF457" s="264">
        <v>4349.75</v>
      </c>
      <c r="AG457" s="265"/>
      <c r="AH457" s="266">
        <f t="shared" si="114"/>
        <v>0</v>
      </c>
      <c r="AI457" s="293">
        <f t="shared" si="115"/>
        <v>0</v>
      </c>
      <c r="AJ457" s="292"/>
      <c r="AK457" s="263"/>
      <c r="AL457" s="264">
        <v>4772</v>
      </c>
      <c r="AM457" s="268"/>
      <c r="AN457" s="266">
        <f t="shared" si="117"/>
        <v>-422.25</v>
      </c>
      <c r="AO457" s="269">
        <f t="shared" si="116"/>
        <v>-8.8484911986588435E-2</v>
      </c>
      <c r="AP457" s="246"/>
      <c r="AQ457" s="502">
        <v>4350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4600</v>
      </c>
      <c r="AA458" s="332"/>
      <c r="AB458" s="333"/>
      <c r="AC458" s="280"/>
      <c r="AD458" s="288"/>
      <c r="AE458" s="287"/>
      <c r="AF458" s="280">
        <v>5652.170000000001</v>
      </c>
      <c r="AG458" s="281"/>
      <c r="AH458" s="282">
        <f t="shared" si="114"/>
        <v>1052.170000000001</v>
      </c>
      <c r="AI458" s="283">
        <f t="shared" si="115"/>
        <v>0.2287326086956524</v>
      </c>
      <c r="AJ458" s="288"/>
      <c r="AK458" s="279"/>
      <c r="AL458" s="280">
        <v>4482.57</v>
      </c>
      <c r="AM458" s="284"/>
      <c r="AN458" s="282">
        <f t="shared" si="117"/>
        <v>1169.6000000000013</v>
      </c>
      <c r="AO458" s="289">
        <f t="shared" si="116"/>
        <v>0.26092174801508988</v>
      </c>
      <c r="AP458" s="246"/>
      <c r="AQ458" s="246">
        <f>6152-500</f>
        <v>5652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6643</v>
      </c>
      <c r="AA459" s="279"/>
      <c r="AB459" s="287"/>
      <c r="AC459" s="280"/>
      <c r="AD459" s="288"/>
      <c r="AE459" s="287"/>
      <c r="AF459" s="280">
        <v>6307.3300000000008</v>
      </c>
      <c r="AG459" s="281"/>
      <c r="AH459" s="282">
        <f t="shared" si="114"/>
        <v>-335.66999999999916</v>
      </c>
      <c r="AI459" s="283">
        <f t="shared" si="115"/>
        <v>-5.0529881077826154E-2</v>
      </c>
      <c r="AJ459" s="288"/>
      <c r="AK459" s="279"/>
      <c r="AL459" s="280">
        <v>6561.03</v>
      </c>
      <c r="AM459" s="284"/>
      <c r="AN459" s="282">
        <f t="shared" si="117"/>
        <v>-253.69999999999891</v>
      </c>
      <c r="AO459" s="289">
        <f t="shared" si="116"/>
        <v>-3.8667709185905098E-2</v>
      </c>
      <c r="AP459" s="246"/>
      <c r="AQ459" s="502">
        <v>6308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244</v>
      </c>
      <c r="X460" s="263"/>
      <c r="Y460" s="291"/>
      <c r="Z460" s="264">
        <v>500</v>
      </c>
      <c r="AA460" s="263"/>
      <c r="AB460" s="291"/>
      <c r="AC460" s="264"/>
      <c r="AD460" s="292"/>
      <c r="AE460" s="291"/>
      <c r="AF460" s="264">
        <v>717.06</v>
      </c>
      <c r="AG460" s="265"/>
      <c r="AH460" s="266">
        <f t="shared" si="114"/>
        <v>217.05999999999995</v>
      </c>
      <c r="AI460" s="293">
        <f t="shared" si="115"/>
        <v>0.43411999999999989</v>
      </c>
      <c r="AJ460" s="292"/>
      <c r="AK460" s="263"/>
      <c r="AL460" s="264">
        <v>750</v>
      </c>
      <c r="AM460" s="268"/>
      <c r="AN460" s="266">
        <f t="shared" si="117"/>
        <v>-32.940000000000055</v>
      </c>
      <c r="AO460" s="269">
        <f t="shared" si="116"/>
        <v>-4.392000000000007E-2</v>
      </c>
      <c r="AP460" s="246"/>
      <c r="AQ460" s="246">
        <v>717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275</v>
      </c>
      <c r="AA461" s="279"/>
      <c r="AB461" s="287"/>
      <c r="AC461" s="280"/>
      <c r="AD461" s="288"/>
      <c r="AE461" s="287"/>
      <c r="AF461" s="280">
        <v>173.95999999999998</v>
      </c>
      <c r="AG461" s="281"/>
      <c r="AH461" s="282">
        <f t="shared" si="114"/>
        <v>-101.04000000000002</v>
      </c>
      <c r="AI461" s="335">
        <f t="shared" si="115"/>
        <v>-0.36741818181818187</v>
      </c>
      <c r="AJ461" s="279"/>
      <c r="AK461" s="279"/>
      <c r="AL461" s="280">
        <v>255.96</v>
      </c>
      <c r="AM461" s="284"/>
      <c r="AN461" s="282">
        <f t="shared" si="117"/>
        <v>-82.000000000000028</v>
      </c>
      <c r="AO461" s="289">
        <f t="shared" si="116"/>
        <v>-0.3203625566494766</v>
      </c>
      <c r="AP461" s="246"/>
      <c r="AQ461" s="246">
        <v>174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8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0.13972159036304557</v>
      </c>
      <c r="Y466" s="297"/>
      <c r="Z466" s="299">
        <f>SUM(Z453:Z465)</f>
        <v>74756.51999999999</v>
      </c>
      <c r="AA466" s="298"/>
      <c r="AB466" s="297"/>
      <c r="AC466" s="299"/>
      <c r="AD466" s="300">
        <f>AF466/AF407</f>
        <v>0.16040059788867347</v>
      </c>
      <c r="AE466" s="297"/>
      <c r="AF466" s="299">
        <f>SUM(AF453:AF465)</f>
        <v>75589.040000000008</v>
      </c>
      <c r="AG466" s="308"/>
      <c r="AH466" s="302">
        <f>SUM(AH453:AH465)</f>
        <v>832.5200000000018</v>
      </c>
      <c r="AI466" s="298">
        <f>IF(Z466=0,0,AH466/Z466)</f>
        <v>1.1136419940361081E-2</v>
      </c>
      <c r="AJ466" s="300">
        <f>IF($AL$407=0,0,AL466/$AL$407)</f>
        <v>0.15235130643939856</v>
      </c>
      <c r="AK466" s="298"/>
      <c r="AL466" s="299">
        <f>SUM(AL453:AL465)</f>
        <v>74548.2</v>
      </c>
      <c r="AM466" s="309"/>
      <c r="AN466" s="302">
        <f>SUM(AN453:AN465)</f>
        <v>1040.8400000000033</v>
      </c>
      <c r="AO466" s="331">
        <f t="shared" ref="AO466:AO483" si="118">IF(AL466=0,0,AN466/AL466)</f>
        <v>1.3961973595606646E-2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9">AF467-Z467</f>
        <v>0</v>
      </c>
      <c r="AI467" s="283"/>
      <c r="AJ467" s="288"/>
      <c r="AK467" s="279"/>
      <c r="AL467" s="336"/>
      <c r="AM467" s="337"/>
      <c r="AN467" s="282">
        <f t="shared" ref="AN467:AN483" si="120">AF467-AL467</f>
        <v>0</v>
      </c>
      <c r="AO467" s="338">
        <f t="shared" si="118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0.89402528817536908</v>
      </c>
      <c r="Y468" s="297"/>
      <c r="Z468" s="299">
        <f>Z419+Z433+Z452+Z466</f>
        <v>478338.52422040899</v>
      </c>
      <c r="AA468" s="298"/>
      <c r="AB468" s="297"/>
      <c r="AC468" s="299"/>
      <c r="AD468" s="300">
        <f>AF468/AF407</f>
        <v>0.99369642471884545</v>
      </c>
      <c r="AE468" s="297"/>
      <c r="AF468" s="299">
        <f>AF419+AF433+AF452+AF466</f>
        <v>468281.03999999992</v>
      </c>
      <c r="AG468" s="308"/>
      <c r="AH468" s="302">
        <f t="shared" si="119"/>
        <v>-10057.484220409067</v>
      </c>
      <c r="AI468" s="298">
        <f>AH468/Z468</f>
        <v>-2.1025871242130557E-2</v>
      </c>
      <c r="AJ468" s="300">
        <f>IF($AL$407=0,0,AL468/$AL$407)</f>
        <v>0.85883144727875904</v>
      </c>
      <c r="AK468" s="298"/>
      <c r="AL468" s="299">
        <f>AL419+AL433+AL452+AL466</f>
        <v>420241.48000000004</v>
      </c>
      <c r="AM468" s="309"/>
      <c r="AN468" s="302">
        <f t="shared" si="120"/>
        <v>48039.559999999881</v>
      </c>
      <c r="AO468" s="277">
        <f t="shared" si="118"/>
        <v>0.11431417955219432</v>
      </c>
      <c r="AP468" s="310">
        <f>AF468+AF491+AF492+AF493+AF494+AF495+AF496</f>
        <v>482175.62999999995</v>
      </c>
      <c r="AQ468" s="246" t="s">
        <v>226</v>
      </c>
      <c r="AR468" s="246">
        <v>487222</v>
      </c>
      <c r="AS468" s="310">
        <f>AP468-AR468</f>
        <v>-5046.3700000000536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900</v>
      </c>
      <c r="AA469" s="339"/>
      <c r="AB469" s="340"/>
      <c r="AC469" s="313"/>
      <c r="AD469" s="341"/>
      <c r="AE469" s="340"/>
      <c r="AF469" s="280">
        <v>1898.24</v>
      </c>
      <c r="AG469" s="342"/>
      <c r="AH469" s="282">
        <f t="shared" si="119"/>
        <v>998.24</v>
      </c>
      <c r="AI469" s="335">
        <f>IF(AH469=0,0,AH469/Z469)</f>
        <v>1.1091555555555557</v>
      </c>
      <c r="AJ469" s="341"/>
      <c r="AK469" s="339"/>
      <c r="AL469" s="343">
        <v>1850.68</v>
      </c>
      <c r="AM469" s="344"/>
      <c r="AN469" s="282">
        <f t="shared" si="120"/>
        <v>47.559999999999945</v>
      </c>
      <c r="AO469" s="289">
        <f t="shared" si="118"/>
        <v>2.5698662113385319E-2</v>
      </c>
      <c r="AP469" s="246"/>
      <c r="AQ469" s="246">
        <f>16+1882</f>
        <v>1898</v>
      </c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 t="shared" ref="Z470:Z476" si="121">+SUMIF($C:$C,$V470,F:F)</f>
        <v>54913.665230769249</v>
      </c>
      <c r="AA470" s="332"/>
      <c r="AB470" s="333"/>
      <c r="AC470" s="280"/>
      <c r="AD470" s="345"/>
      <c r="AE470" s="333"/>
      <c r="AF470" s="280">
        <f t="shared" ref="AF470:AF476" si="122">+SUMIF($C:$C,$V470,L:L)</f>
        <v>47079</v>
      </c>
      <c r="AG470" s="346"/>
      <c r="AH470" s="282">
        <f t="shared" si="119"/>
        <v>-7834.6652307692493</v>
      </c>
      <c r="AI470" s="306">
        <f>IF(Z470=0,0,AH470/Z470)</f>
        <v>-0.14267241492340466</v>
      </c>
      <c r="AJ470" s="345"/>
      <c r="AK470" s="332"/>
      <c r="AL470" s="347">
        <f t="shared" ref="AL470:AL479" si="123">+SUMIF($C:$C,$V470,Q:Q)</f>
        <v>48030.400000000001</v>
      </c>
      <c r="AM470" s="348"/>
      <c r="AN470" s="282">
        <f t="shared" si="120"/>
        <v>-951.40000000000146</v>
      </c>
      <c r="AO470" s="289">
        <f t="shared" si="118"/>
        <v>-1.9808288084213362E-2</v>
      </c>
      <c r="AP470" s="246"/>
      <c r="AQ470" s="246">
        <v>47079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218</v>
      </c>
      <c r="W471" s="279"/>
      <c r="X471" s="279"/>
      <c r="Y471" s="279"/>
      <c r="Z471" s="280">
        <f t="shared" si="121"/>
        <v>48049.457076923092</v>
      </c>
      <c r="AA471" s="332"/>
      <c r="AB471" s="333"/>
      <c r="AC471" s="280"/>
      <c r="AD471" s="345"/>
      <c r="AE471" s="333"/>
      <c r="AF471" s="280">
        <f t="shared" si="122"/>
        <v>56342.42</v>
      </c>
      <c r="AG471" s="346"/>
      <c r="AH471" s="282">
        <f t="shared" si="119"/>
        <v>8292.962923076906</v>
      </c>
      <c r="AI471" s="306">
        <f t="shared" ref="AI471:AI480" si="124">IF(AH471=0,0,AH471/Z471)</f>
        <v>0.17259222949804778</v>
      </c>
      <c r="AJ471" s="345"/>
      <c r="AK471" s="332"/>
      <c r="AL471" s="347">
        <f>+SUMIF($C:$C,$V471,Q:Q)</f>
        <v>44091.88</v>
      </c>
      <c r="AM471" s="348"/>
      <c r="AN471" s="282">
        <f t="shared" si="120"/>
        <v>12250.54</v>
      </c>
      <c r="AO471" s="289">
        <f t="shared" si="118"/>
        <v>0.27784118073441189</v>
      </c>
      <c r="AP471" s="246"/>
      <c r="AQ471" s="246">
        <f>31845.72+24496+0.07</f>
        <v>56341.79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 t="shared" si="121"/>
        <v>0</v>
      </c>
      <c r="AA472" s="332"/>
      <c r="AB472" s="333"/>
      <c r="AC472" s="280"/>
      <c r="AD472" s="345"/>
      <c r="AE472" s="333"/>
      <c r="AF472" s="280">
        <f t="shared" si="122"/>
        <v>0</v>
      </c>
      <c r="AG472" s="346"/>
      <c r="AH472" s="282">
        <f t="shared" si="119"/>
        <v>0</v>
      </c>
      <c r="AI472" s="306">
        <f t="shared" si="124"/>
        <v>0</v>
      </c>
      <c r="AJ472" s="345"/>
      <c r="AK472" s="332"/>
      <c r="AL472" s="347">
        <f t="shared" si="123"/>
        <v>0</v>
      </c>
      <c r="AM472" s="348"/>
      <c r="AN472" s="282">
        <f t="shared" si="120"/>
        <v>0</v>
      </c>
      <c r="AO472" s="289">
        <f t="shared" si="118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 t="shared" si="121"/>
        <v>0</v>
      </c>
      <c r="AA473" s="332"/>
      <c r="AB473" s="333"/>
      <c r="AC473" s="280"/>
      <c r="AD473" s="345"/>
      <c r="AE473" s="333"/>
      <c r="AF473" s="280">
        <f t="shared" si="122"/>
        <v>0</v>
      </c>
      <c r="AG473" s="346"/>
      <c r="AH473" s="282">
        <f t="shared" si="119"/>
        <v>0</v>
      </c>
      <c r="AI473" s="306">
        <f t="shared" si="124"/>
        <v>0</v>
      </c>
      <c r="AJ473" s="345"/>
      <c r="AK473" s="332"/>
      <c r="AL473" s="347">
        <f t="shared" si="123"/>
        <v>0</v>
      </c>
      <c r="AM473" s="348"/>
      <c r="AN473" s="282">
        <f t="shared" si="120"/>
        <v>0</v>
      </c>
      <c r="AO473" s="289">
        <f t="shared" si="118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222</v>
      </c>
      <c r="W474" s="279"/>
      <c r="X474" s="279"/>
      <c r="Y474" s="279"/>
      <c r="Z474" s="280">
        <f t="shared" si="121"/>
        <v>2625</v>
      </c>
      <c r="AA474" s="332"/>
      <c r="AB474" s="333"/>
      <c r="AC474" s="280"/>
      <c r="AD474" s="345"/>
      <c r="AE474" s="333"/>
      <c r="AF474" s="280">
        <f t="shared" si="122"/>
        <v>2625</v>
      </c>
      <c r="AG474" s="346"/>
      <c r="AH474" s="282">
        <f t="shared" si="119"/>
        <v>0</v>
      </c>
      <c r="AI474" s="306">
        <f t="shared" si="124"/>
        <v>0</v>
      </c>
      <c r="AJ474" s="345"/>
      <c r="AK474" s="332"/>
      <c r="AL474" s="347">
        <f t="shared" si="123"/>
        <v>1500</v>
      </c>
      <c r="AM474" s="348"/>
      <c r="AN474" s="282">
        <f t="shared" si="120"/>
        <v>1125</v>
      </c>
      <c r="AO474" s="289">
        <f t="shared" si="118"/>
        <v>0.75</v>
      </c>
      <c r="AP474" s="246"/>
      <c r="AQ474" s="246">
        <v>2625</v>
      </c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223</v>
      </c>
      <c r="W475" s="279"/>
      <c r="X475" s="279"/>
      <c r="Y475" s="279"/>
      <c r="Z475" s="280">
        <f t="shared" si="121"/>
        <v>1822.0588235294119</v>
      </c>
      <c r="AA475" s="332"/>
      <c r="AB475" s="333"/>
      <c r="AC475" s="280"/>
      <c r="AD475" s="345"/>
      <c r="AE475" s="333"/>
      <c r="AF475" s="280">
        <f t="shared" si="122"/>
        <v>0</v>
      </c>
      <c r="AG475" s="346"/>
      <c r="AH475" s="282">
        <f t="shared" si="119"/>
        <v>-1822.0588235294119</v>
      </c>
      <c r="AI475" s="306">
        <f t="shared" si="124"/>
        <v>-1</v>
      </c>
      <c r="AJ475" s="345"/>
      <c r="AK475" s="332"/>
      <c r="AL475" s="347">
        <f t="shared" si="123"/>
        <v>0</v>
      </c>
      <c r="AM475" s="348"/>
      <c r="AN475" s="282">
        <f t="shared" si="120"/>
        <v>0</v>
      </c>
      <c r="AO475" s="289">
        <f t="shared" si="118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 t="shared" si="121"/>
        <v>0</v>
      </c>
      <c r="AA476" s="332"/>
      <c r="AB476" s="333"/>
      <c r="AC476" s="280"/>
      <c r="AD476" s="345"/>
      <c r="AE476" s="333"/>
      <c r="AF476" s="280">
        <f t="shared" si="122"/>
        <v>0</v>
      </c>
      <c r="AG476" s="346"/>
      <c r="AH476" s="282">
        <f t="shared" si="119"/>
        <v>0</v>
      </c>
      <c r="AI476" s="306">
        <f t="shared" si="124"/>
        <v>0</v>
      </c>
      <c r="AJ476" s="345"/>
      <c r="AK476" s="332"/>
      <c r="AL476" s="347">
        <f t="shared" si="123"/>
        <v>0</v>
      </c>
      <c r="AM476" s="348"/>
      <c r="AN476" s="282">
        <f t="shared" si="120"/>
        <v>0</v>
      </c>
      <c r="AO476" s="289">
        <f t="shared" si="118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28829.674246153856</v>
      </c>
      <c r="AA477" s="332"/>
      <c r="AB477" s="333"/>
      <c r="AC477" s="280"/>
      <c r="AD477" s="345"/>
      <c r="AE477" s="333"/>
      <c r="AF477" s="280">
        <v>25721.54</v>
      </c>
      <c r="AG477" s="346"/>
      <c r="AH477" s="282">
        <f t="shared" si="119"/>
        <v>-3108.1342461538552</v>
      </c>
      <c r="AI477" s="306">
        <f t="shared" si="124"/>
        <v>-0.10781024508344936</v>
      </c>
      <c r="AJ477" s="345"/>
      <c r="AK477" s="332"/>
      <c r="AL477" s="347">
        <v>26374.22</v>
      </c>
      <c r="AM477" s="348"/>
      <c r="AN477" s="282">
        <f t="shared" si="120"/>
        <v>-652.68000000000029</v>
      </c>
      <c r="AO477" s="289">
        <f t="shared" si="118"/>
        <v>-2.4746892988683655E-2</v>
      </c>
      <c r="AP477" s="246"/>
      <c r="AQ477" s="246">
        <v>25722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9"/>
        <v>0</v>
      </c>
      <c r="AI478" s="283">
        <f t="shared" si="124"/>
        <v>0</v>
      </c>
      <c r="AJ478" s="288"/>
      <c r="AK478" s="279"/>
      <c r="AL478" s="280">
        <f t="shared" si="123"/>
        <v>0</v>
      </c>
      <c r="AM478" s="348"/>
      <c r="AN478" s="282">
        <f t="shared" si="120"/>
        <v>0</v>
      </c>
      <c r="AO478" s="289">
        <f t="shared" si="118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9"/>
        <v>0</v>
      </c>
      <c r="AI479" s="283">
        <f t="shared" si="124"/>
        <v>0</v>
      </c>
      <c r="AJ479" s="288"/>
      <c r="AK479" s="279"/>
      <c r="AL479" s="280">
        <f t="shared" si="123"/>
        <v>0</v>
      </c>
      <c r="AM479" s="348"/>
      <c r="AN479" s="282">
        <f t="shared" si="120"/>
        <v>0</v>
      </c>
      <c r="AO479" s="289">
        <f t="shared" si="118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29470.35</v>
      </c>
      <c r="AA480" s="332"/>
      <c r="AB480" s="333"/>
      <c r="AC480" s="280"/>
      <c r="AD480" s="345"/>
      <c r="AE480" s="333"/>
      <c r="AF480" s="280">
        <f>+SUMIF($C:$C,$V480,L:L)</f>
        <v>30940</v>
      </c>
      <c r="AG480" s="346"/>
      <c r="AH480" s="282">
        <f t="shared" si="119"/>
        <v>1469.6500000000015</v>
      </c>
      <c r="AI480" s="306">
        <f t="shared" si="124"/>
        <v>4.986876640419953E-2</v>
      </c>
      <c r="AJ480" s="345"/>
      <c r="AK480" s="332"/>
      <c r="AL480" s="347">
        <v>21420</v>
      </c>
      <c r="AM480" s="348"/>
      <c r="AN480" s="282">
        <f t="shared" si="120"/>
        <v>9520</v>
      </c>
      <c r="AO480" s="289">
        <f t="shared" si="118"/>
        <v>0.44444444444444442</v>
      </c>
      <c r="AP480" s="246"/>
      <c r="AQ480" s="246">
        <f>17850+13090</f>
        <v>30940</v>
      </c>
      <c r="AR480" s="246" t="s">
        <v>245</v>
      </c>
      <c r="AS480" s="246" t="s">
        <v>246</v>
      </c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0.31139816120440827</v>
      </c>
      <c r="Y481" s="330"/>
      <c r="Z481" s="299">
        <f>SUM(Z469:Z480)</f>
        <v>166610.20537737562</v>
      </c>
      <c r="AA481" s="298"/>
      <c r="AB481" s="330"/>
      <c r="AC481" s="299"/>
      <c r="AD481" s="298">
        <f>AF481/+AF407</f>
        <v>0.34929578277727252</v>
      </c>
      <c r="AE481" s="330"/>
      <c r="AF481" s="299">
        <f>SUM(AF469:AF480)</f>
        <v>164606.20000000001</v>
      </c>
      <c r="AG481" s="308"/>
      <c r="AH481" s="302">
        <f t="shared" si="119"/>
        <v>-2004.0053773756081</v>
      </c>
      <c r="AI481" s="298">
        <f>AH481/Z481</f>
        <v>-1.2028106998826955E-2</v>
      </c>
      <c r="AJ481" s="349"/>
      <c r="AK481" s="350"/>
      <c r="AL481" s="299">
        <f>SUM(AL469:AL480)</f>
        <v>143267.18</v>
      </c>
      <c r="AM481" s="351"/>
      <c r="AN481" s="302">
        <f t="shared" si="120"/>
        <v>21339.020000000019</v>
      </c>
      <c r="AO481" s="331">
        <f t="shared" si="118"/>
        <v>0.14894562732371797</v>
      </c>
      <c r="AP481" s="246"/>
      <c r="AQ481" s="246" t="s">
        <v>226</v>
      </c>
      <c r="AR481" s="246">
        <v>164500</v>
      </c>
      <c r="AS481" s="310">
        <f>AF481-AR481</f>
        <v>106.20000000001164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20"/>
        <v>0</v>
      </c>
      <c r="AO482" s="364">
        <f t="shared" si="118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4.3055713015602785E-2</v>
      </c>
      <c r="Z483" s="369">
        <f>Z407-Z468+Z481</f>
        <v>223310.82439715162</v>
      </c>
      <c r="AA483" s="367"/>
      <c r="AB483" s="368"/>
      <c r="AC483" s="369"/>
      <c r="AD483" s="367" t="s">
        <v>180</v>
      </c>
      <c r="AE483" s="368">
        <f>AF483/AF406</f>
        <v>3.2625828724044778E-2</v>
      </c>
      <c r="AF483" s="370">
        <f>AF407-AF468+AF481</f>
        <v>167576.77000000031</v>
      </c>
      <c r="AG483" s="371"/>
      <c r="AH483" s="370">
        <f>AF483-Z483</f>
        <v>-55734.054397151311</v>
      </c>
      <c r="AI483" s="503">
        <f>AH483/Z483</f>
        <v>-0.24958062175270987</v>
      </c>
      <c r="AJ483" s="373" t="s">
        <v>180</v>
      </c>
      <c r="AK483" s="368">
        <f>IF($AL$406=0,0,AL483/$AL$406)</f>
        <v>4.6984921668235785E-2</v>
      </c>
      <c r="AL483" s="370">
        <f>AL407-AL468+AL481</f>
        <v>212343.45999999944</v>
      </c>
      <c r="AM483" s="374"/>
      <c r="AN483" s="370">
        <f t="shared" si="120"/>
        <v>-44766.689999999129</v>
      </c>
      <c r="AO483" s="375">
        <f t="shared" si="118"/>
        <v>-0.2108220804163182</v>
      </c>
      <c r="AP483" s="246"/>
      <c r="AQ483" s="246"/>
      <c r="AR483" s="310">
        <f>AR407-AR468+AR481</f>
        <v>147244</v>
      </c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5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Avril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125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5.25">
      <c r="A487" t="str">
        <f t="shared" si="125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36" thickBot="1">
      <c r="A488" t="str">
        <f t="shared" si="125"/>
        <v/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6"/>
      <c r="W488" s="6"/>
      <c r="X488" s="6"/>
      <c r="Y488" s="6"/>
      <c r="Z488" s="82"/>
      <c r="AA488" s="13"/>
      <c r="AB488" s="13"/>
      <c r="AC488" s="82"/>
      <c r="AD488" s="13"/>
      <c r="AE488" s="13"/>
      <c r="AF488" s="376"/>
      <c r="AG488" s="13"/>
      <c r="AH488" s="13"/>
      <c r="AI488" s="13"/>
      <c r="AJ488" s="13"/>
      <c r="AK488" s="13"/>
      <c r="AL488" s="82"/>
      <c r="AM488" s="13"/>
      <c r="AN488" s="13"/>
      <c r="AO488" s="13"/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thickTop="1" thickBot="1">
      <c r="A489" t="str">
        <f t="shared" si="125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4.3055713015602785E-2</v>
      </c>
      <c r="Z489" s="381">
        <f>Z483</f>
        <v>223310.82439715162</v>
      </c>
      <c r="AA489" s="379"/>
      <c r="AB489" s="380"/>
      <c r="AC489" s="381"/>
      <c r="AD489" s="379" t="s">
        <v>180</v>
      </c>
      <c r="AE489" s="380">
        <f>AF489/AF406</f>
        <v>3.2625828724044778E-2</v>
      </c>
      <c r="AF489" s="381">
        <f>AF483</f>
        <v>167576.77000000031</v>
      </c>
      <c r="AG489" s="382"/>
      <c r="AH489" s="370">
        <f>AF489-Z489</f>
        <v>-55734.054397151311</v>
      </c>
      <c r="AI489" s="503">
        <f>AH489/Z489</f>
        <v>-0.24958062175270987</v>
      </c>
      <c r="AJ489" s="379" t="s">
        <v>180</v>
      </c>
      <c r="AK489" s="380">
        <f>IF($AL$406=0,0,AL489/$AL$406)</f>
        <v>4.6984921668235785E-2</v>
      </c>
      <c r="AL489" s="383">
        <f>AL483</f>
        <v>212343.45999999944</v>
      </c>
      <c r="AM489" s="384"/>
      <c r="AN489" s="385">
        <f>AF489-AL489</f>
        <v>-44766.689999999129</v>
      </c>
      <c r="AO489" s="386">
        <f>IF(AL489=0,0,AN489/AL489)</f>
        <v>-0.2108220804163182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5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5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20970</v>
      </c>
      <c r="AA491" s="279"/>
      <c r="AB491" s="287"/>
      <c r="AC491" s="280"/>
      <c r="AD491" s="279"/>
      <c r="AE491" s="287"/>
      <c r="AF491" s="280">
        <v>20970</v>
      </c>
      <c r="AG491" s="279"/>
      <c r="AH491" s="282">
        <f t="shared" ref="AH491:AH498" si="126">AF491-Z491</f>
        <v>0</v>
      </c>
      <c r="AI491" s="306">
        <f t="shared" ref="AI491:AI497" si="127">IF(Z491=0,0,AH491/Z491)</f>
        <v>0</v>
      </c>
      <c r="AJ491" s="279"/>
      <c r="AK491" s="279"/>
      <c r="AL491" s="280">
        <v>19520</v>
      </c>
      <c r="AM491" s="284"/>
      <c r="AN491" s="282">
        <f t="shared" ref="AN491:AN498" si="128">AF491-AL491</f>
        <v>1450</v>
      </c>
      <c r="AO491" s="289">
        <f t="shared" ref="AO491:AO498" si="129">IF(AL491=0,0,AN491/AL491)</f>
        <v>7.4282786885245908E-2</v>
      </c>
      <c r="AP491" s="246"/>
      <c r="AQ491" s="502">
        <v>20970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125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6"/>
        <v>0</v>
      </c>
      <c r="AI492" s="306">
        <f t="shared" si="127"/>
        <v>0</v>
      </c>
      <c r="AJ492" s="10"/>
      <c r="AK492" s="10"/>
      <c r="AL492" s="280">
        <v>0</v>
      </c>
      <c r="AM492" s="393"/>
      <c r="AN492" s="282">
        <f t="shared" si="128"/>
        <v>0</v>
      </c>
      <c r="AO492" s="289">
        <f t="shared" si="129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125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6"/>
        <v>0</v>
      </c>
      <c r="AI493" s="306">
        <f t="shared" si="127"/>
        <v>0</v>
      </c>
      <c r="AJ493" s="10"/>
      <c r="AK493" s="10"/>
      <c r="AL493" s="280">
        <v>0</v>
      </c>
      <c r="AM493" s="393"/>
      <c r="AN493" s="282">
        <f t="shared" si="128"/>
        <v>0</v>
      </c>
      <c r="AO493" s="289">
        <f t="shared" si="129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125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6"/>
        <v>0</v>
      </c>
      <c r="AI494" s="306">
        <f t="shared" si="127"/>
        <v>0</v>
      </c>
      <c r="AJ494" s="10"/>
      <c r="AK494" s="10"/>
      <c r="AL494" s="280">
        <v>0</v>
      </c>
      <c r="AM494" s="393"/>
      <c r="AN494" s="282">
        <f t="shared" si="128"/>
        <v>0</v>
      </c>
      <c r="AO494" s="289">
        <f t="shared" si="129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>
      <c r="A495" t="str">
        <f t="shared" si="125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6"/>
        <v>0</v>
      </c>
      <c r="AI495" s="283">
        <f t="shared" si="127"/>
        <v>0</v>
      </c>
      <c r="AJ495" s="288"/>
      <c r="AK495" s="279"/>
      <c r="AL495" s="280">
        <v>0</v>
      </c>
      <c r="AM495" s="393"/>
      <c r="AN495" s="282">
        <f t="shared" si="128"/>
        <v>0</v>
      </c>
      <c r="AO495" s="289">
        <f t="shared" si="129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0.25">
      <c r="A496" t="str">
        <f t="shared" si="125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247</v>
      </c>
      <c r="W496" s="13"/>
      <c r="X496" s="13"/>
      <c r="Y496" s="13"/>
      <c r="Z496" s="282">
        <v>-8893.4426229508208</v>
      </c>
      <c r="AA496" s="279"/>
      <c r="AB496" s="279"/>
      <c r="AC496" s="282"/>
      <c r="AD496" s="288"/>
      <c r="AE496" s="287"/>
      <c r="AF496" s="280">
        <v>-7075.41</v>
      </c>
      <c r="AG496" s="281"/>
      <c r="AH496" s="282">
        <f t="shared" si="126"/>
        <v>1818.032622950821</v>
      </c>
      <c r="AI496" s="283">
        <f t="shared" si="127"/>
        <v>-0.20442394470046094</v>
      </c>
      <c r="AJ496" s="288"/>
      <c r="AK496" s="279"/>
      <c r="AL496" s="280">
        <v>0</v>
      </c>
      <c r="AM496" s="393"/>
      <c r="AN496" s="282">
        <f t="shared" si="128"/>
        <v>-7075.41</v>
      </c>
      <c r="AO496" s="289">
        <f t="shared" si="129"/>
        <v>0</v>
      </c>
      <c r="AP496" s="246"/>
      <c r="AQ496" s="246">
        <v>-7075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thickBot="1">
      <c r="A497" t="str">
        <f t="shared" si="125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6"/>
        <v>0</v>
      </c>
      <c r="AI497" s="283">
        <f t="shared" si="127"/>
        <v>0</v>
      </c>
      <c r="AJ497" s="288"/>
      <c r="AK497" s="279"/>
      <c r="AL497" s="280">
        <v>0</v>
      </c>
      <c r="AM497" s="393"/>
      <c r="AN497" s="282">
        <f t="shared" si="128"/>
        <v>0</v>
      </c>
      <c r="AO497" s="289">
        <f t="shared" si="129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5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4.0727277795114113E-2</v>
      </c>
      <c r="Z498" s="369">
        <f>Z489-Z491-Z492-Z493-Z497-Z496-Z494-Z495</f>
        <v>211234.26702010244</v>
      </c>
      <c r="AA498" s="367"/>
      <c r="AB498" s="368"/>
      <c r="AC498" s="369"/>
      <c r="AD498" s="367" t="s">
        <v>180</v>
      </c>
      <c r="AE498" s="368">
        <f>AF498/AF406</f>
        <v>2.9920665511203141E-2</v>
      </c>
      <c r="AF498" s="370">
        <f>AF489-AF491-AF492-AF493-AF497-AF496-AF494-AF495</f>
        <v>153682.18000000031</v>
      </c>
      <c r="AG498" s="371"/>
      <c r="AH498" s="370">
        <f t="shared" si="126"/>
        <v>-57552.087020102132</v>
      </c>
      <c r="AI498" s="503">
        <f>AH498/Z498</f>
        <v>-0.2724562062396112</v>
      </c>
      <c r="AJ498" s="373" t="s">
        <v>180</v>
      </c>
      <c r="AK498" s="368">
        <f>IF($AL$406=0,0,AL498/$AL$406)</f>
        <v>4.2665760291831896E-2</v>
      </c>
      <c r="AL498" s="370">
        <f>AL489-AL491-AL492-AL493-AL497-AL496-AL494-AL495</f>
        <v>192823.45999999944</v>
      </c>
      <c r="AM498" s="374"/>
      <c r="AN498" s="370">
        <f t="shared" si="128"/>
        <v>-39141.279999999126</v>
      </c>
      <c r="AO498" s="394">
        <f t="shared" si="129"/>
        <v>-0.20299023780612194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+U499&amp;V499</f>
        <v/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V499" s="246"/>
      <c r="W499" s="246"/>
      <c r="X499" s="246"/>
      <c r="Y499" s="246"/>
      <c r="Z499" s="246"/>
      <c r="AA499" s="246"/>
      <c r="AB499" s="246"/>
      <c r="AC499" s="246"/>
      <c r="AD499" s="246"/>
      <c r="AE499" s="395"/>
      <c r="AF499" s="396"/>
      <c r="AG499" s="246"/>
      <c r="AH499" s="310"/>
      <c r="AI499" s="246"/>
      <c r="AJ499" s="246"/>
      <c r="AK499" s="246"/>
      <c r="AL499" s="246"/>
      <c r="AM499" s="246"/>
      <c r="AN499" s="246"/>
      <c r="AO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248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26602.95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249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127079.23000000032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504">
        <f>AF500/AF498</f>
        <v>0.17310367408895388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250</v>
      </c>
      <c r="AE505" s="246"/>
      <c r="AF505" s="246">
        <v>147244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6438.1800000003132</v>
      </c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490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246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R238:S238"/>
    <mergeCell ref="D170:F170"/>
    <mergeCell ref="G170:I170"/>
    <mergeCell ref="J170:L170"/>
    <mergeCell ref="M170:N170"/>
    <mergeCell ref="O170:Q170"/>
    <mergeCell ref="R170:S170"/>
    <mergeCell ref="D238:F238"/>
    <mergeCell ref="G238:I238"/>
    <mergeCell ref="J238:L238"/>
    <mergeCell ref="M238:N238"/>
    <mergeCell ref="O238:Q238"/>
    <mergeCell ref="D91:F91"/>
    <mergeCell ref="G91:I91"/>
    <mergeCell ref="J91:L91"/>
    <mergeCell ref="R358:S358"/>
    <mergeCell ref="D293:F293"/>
    <mergeCell ref="G293:I293"/>
    <mergeCell ref="J293:L293"/>
    <mergeCell ref="M293:N293"/>
    <mergeCell ref="O293:Q293"/>
    <mergeCell ref="R293:S293"/>
    <mergeCell ref="D358:F358"/>
    <mergeCell ref="G358:I358"/>
    <mergeCell ref="J358:L358"/>
    <mergeCell ref="M358:N358"/>
    <mergeCell ref="O358:Q358"/>
    <mergeCell ref="AM404:AO404"/>
    <mergeCell ref="X404:Z404"/>
    <mergeCell ref="AA404:AC404"/>
    <mergeCell ref="AD404:AF404"/>
    <mergeCell ref="AG404:AI404"/>
    <mergeCell ref="AJ404:AL404"/>
  </mergeCells>
  <conditionalFormatting sqref="D31:D32">
    <cfRule type="expression" dxfId="225" priority="6" stopIfTrue="1">
      <formula>"esterreur(reference)"</formula>
    </cfRule>
  </conditionalFormatting>
  <conditionalFormatting sqref="D112:D113">
    <cfRule type="expression" dxfId="224" priority="1" stopIfTrue="1">
      <formula>"esterreur(reference)"</formula>
    </cfRule>
  </conditionalFormatting>
  <conditionalFormatting sqref="F5">
    <cfRule type="expression" dxfId="223" priority="67" stopIfTrue="1">
      <formula>"esterreur(reference)"</formula>
    </cfRule>
  </conditionalFormatting>
  <conditionalFormatting sqref="F184">
    <cfRule type="expression" dxfId="222" priority="77" stopIfTrue="1">
      <formula>"esterreur(reference)"</formula>
    </cfRule>
  </conditionalFormatting>
  <conditionalFormatting sqref="G31:G32">
    <cfRule type="expression" dxfId="221" priority="5" stopIfTrue="1">
      <formula>"esterreur(reference)"</formula>
    </cfRule>
  </conditionalFormatting>
  <conditionalFormatting sqref="G112:G113">
    <cfRule type="expression" dxfId="220" priority="2" stopIfTrue="1">
      <formula>"esterreur(reference)"</formula>
    </cfRule>
  </conditionalFormatting>
  <conditionalFormatting sqref="H136:H152">
    <cfRule type="expression" dxfId="219" priority="31" stopIfTrue="1">
      <formula>"esterreur(reference)"</formula>
    </cfRule>
  </conditionalFormatting>
  <conditionalFormatting sqref="H360">
    <cfRule type="expression" dxfId="218" priority="110" stopIfTrue="1">
      <formula>"esterreur(reference)"</formula>
    </cfRule>
  </conditionalFormatting>
  <conditionalFormatting sqref="H197:L197">
    <cfRule type="expression" dxfId="217" priority="112" stopIfTrue="1">
      <formula>"esterreur(reference)"</formula>
    </cfRule>
  </conditionalFormatting>
  <conditionalFormatting sqref="H396:L399">
    <cfRule type="expression" dxfId="216" priority="108" stopIfTrue="1">
      <formula>"esterreur(reference)"</formula>
    </cfRule>
  </conditionalFormatting>
  <conditionalFormatting sqref="I377:L377 H378:H395">
    <cfRule type="expression" dxfId="215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4" priority="102" stopIfTrue="1">
      <formula>"esterreur(reference)"</formula>
    </cfRule>
  </conditionalFormatting>
  <conditionalFormatting sqref="J55:K71">
    <cfRule type="expression" dxfId="213" priority="113" stopIfTrue="1">
      <formula>"esterreur(reference)"</formula>
    </cfRule>
  </conditionalFormatting>
  <conditionalFormatting sqref="J102:L104">
    <cfRule type="expression" dxfId="212" priority="98" stopIfTrue="1">
      <formula>"esterreur(reference)"</formula>
    </cfRule>
  </conditionalFormatting>
  <conditionalFormatting sqref="J149:L152">
    <cfRule type="expression" dxfId="211" priority="30" stopIfTrue="1">
      <formula>"esterreur(reference)"</formula>
    </cfRule>
  </conditionalFormatting>
  <conditionalFormatting sqref="J295:L303">
    <cfRule type="expression" dxfId="210" priority="94" stopIfTrue="1">
      <formula>"esterreur(reference)"</formula>
    </cfRule>
  </conditionalFormatting>
  <conditionalFormatting sqref="J307:L308">
    <cfRule type="expression" dxfId="209" priority="84" stopIfTrue="1">
      <formula>"esterreur(reference)"</formula>
    </cfRule>
  </conditionalFormatting>
  <conditionalFormatting sqref="J360:L360">
    <cfRule type="expression" dxfId="208" priority="76" stopIfTrue="1">
      <formula>"esterreur(reference)"</formula>
    </cfRule>
  </conditionalFormatting>
  <conditionalFormatting sqref="J365:L376">
    <cfRule type="expression" dxfId="207" priority="81" stopIfTrue="1">
      <formula>"esterreur(reference)"</formula>
    </cfRule>
  </conditionalFormatting>
  <conditionalFormatting sqref="J378:L394">
    <cfRule type="expression" dxfId="206" priority="80" stopIfTrue="1">
      <formula>"esterreur(reference)"</formula>
    </cfRule>
  </conditionalFormatting>
  <conditionalFormatting sqref="J312:M312">
    <cfRule type="expression" dxfId="205" priority="82" stopIfTrue="1">
      <formula>"esterreur(reference)"</formula>
    </cfRule>
  </conditionalFormatting>
  <conditionalFormatting sqref="J112:Q121">
    <cfRule type="expression" dxfId="204" priority="3" stopIfTrue="1">
      <formula>"esterreur(reference)"</formula>
    </cfRule>
  </conditionalFormatting>
  <conditionalFormatting sqref="J123:Q134">
    <cfRule type="expression" dxfId="203" priority="57" stopIfTrue="1">
      <formula>"esterreur(reference)"</formula>
    </cfRule>
  </conditionalFormatting>
  <conditionalFormatting sqref="K5">
    <cfRule type="expression" dxfId="202" priority="91" stopIfTrue="1">
      <formula>"esterreur(reference)"</formula>
    </cfRule>
  </conditionalFormatting>
  <conditionalFormatting sqref="K175">
    <cfRule type="expression" dxfId="201" priority="88" stopIfTrue="1">
      <formula>"esterreur(reference)"</formula>
    </cfRule>
  </conditionalFormatting>
  <conditionalFormatting sqref="K183:K184">
    <cfRule type="expression" dxfId="200" priority="90" stopIfTrue="1">
      <formula>"esterreur(reference)"</formula>
    </cfRule>
  </conditionalFormatting>
  <conditionalFormatting sqref="K287">
    <cfRule type="expression" dxfId="199" priority="74" stopIfTrue="1">
      <formula>"esterreur(reference)"</formula>
    </cfRule>
  </conditionalFormatting>
  <conditionalFormatting sqref="K395">
    <cfRule type="expression" dxfId="198" priority="111" stopIfTrue="1">
      <formula>"esterreur(reference)"</formula>
    </cfRule>
  </conditionalFormatting>
  <conditionalFormatting sqref="K93:L96">
    <cfRule type="expression" dxfId="197" priority="79" stopIfTrue="1">
      <formula>"esterreur(reference)"</formula>
    </cfRule>
  </conditionalFormatting>
  <conditionalFormatting sqref="K99:L100">
    <cfRule type="expression" dxfId="196" priority="99" stopIfTrue="1">
      <formula>"esterreur(reference)"</formula>
    </cfRule>
  </conditionalFormatting>
  <conditionalFormatting sqref="K171:L173">
    <cfRule type="expression" dxfId="195" priority="89" stopIfTrue="1">
      <formula>"esterreur(reference)"</formula>
    </cfRule>
  </conditionalFormatting>
  <conditionalFormatting sqref="K176:L182">
    <cfRule type="expression" dxfId="194" priority="87" stopIfTrue="1">
      <formula>"esterreur(reference)"</formula>
    </cfRule>
  </conditionalFormatting>
  <conditionalFormatting sqref="K185:L196">
    <cfRule type="expression" dxfId="193" priority="83" stopIfTrue="1">
      <formula>"esterreur(reference)"</formula>
    </cfRule>
  </conditionalFormatting>
  <conditionalFormatting sqref="K239:L241">
    <cfRule type="expression" dxfId="192" priority="78" stopIfTrue="1">
      <formula>"esterreur(reference)"</formula>
    </cfRule>
  </conditionalFormatting>
  <conditionalFormatting sqref="K244:L244">
    <cfRule type="expression" dxfId="191" priority="86" stopIfTrue="1">
      <formula>"esterreur(reference)"</formula>
    </cfRule>
  </conditionalFormatting>
  <conditionalFormatting sqref="K247:L247">
    <cfRule type="expression" dxfId="190" priority="85" stopIfTrue="1">
      <formula>"esterreur(reference)"</formula>
    </cfRule>
  </conditionalFormatting>
  <conditionalFormatting sqref="L16:L24">
    <cfRule type="expression" dxfId="189" priority="101" stopIfTrue="1">
      <formula>"esterreur(reference)"</formula>
    </cfRule>
  </conditionalFormatting>
  <conditionalFormatting sqref="L42:L48">
    <cfRule type="expression" dxfId="188" priority="100" stopIfTrue="1">
      <formula>"esterreur(reference)"</formula>
    </cfRule>
  </conditionalFormatting>
  <conditionalFormatting sqref="L55:L66">
    <cfRule type="expression" dxfId="187" priority="68" stopIfTrue="1">
      <formula>"esterreur(reference)"</formula>
    </cfRule>
  </conditionalFormatting>
  <conditionalFormatting sqref="L68:L71">
    <cfRule type="expression" dxfId="186" priority="32" stopIfTrue="1">
      <formula>"esterreur(reference)"</formula>
    </cfRule>
  </conditionalFormatting>
  <conditionalFormatting sqref="L75:L82">
    <cfRule type="expression" dxfId="185" priority="69" stopIfTrue="1">
      <formula>"esterreur(reference)"</formula>
    </cfRule>
  </conditionalFormatting>
  <conditionalFormatting sqref="L136:L147">
    <cfRule type="expression" dxfId="184" priority="73" stopIfTrue="1">
      <formula>"esterreur(reference)"</formula>
    </cfRule>
  </conditionalFormatting>
  <conditionalFormatting sqref="L174:L175">
    <cfRule type="expression" dxfId="183" priority="97" stopIfTrue="1">
      <formula>"esterreur(reference)"</formula>
    </cfRule>
  </conditionalFormatting>
  <conditionalFormatting sqref="L198:L209">
    <cfRule type="expression" dxfId="182" priority="96" stopIfTrue="1">
      <formula>"esterreur(reference)"</formula>
    </cfRule>
  </conditionalFormatting>
  <conditionalFormatting sqref="L211:L228">
    <cfRule type="expression" dxfId="181" priority="72" stopIfTrue="1">
      <formula>"esterreur(reference)"</formula>
    </cfRule>
  </conditionalFormatting>
  <conditionalFormatting sqref="L254:L265">
    <cfRule type="expression" dxfId="180" priority="95" stopIfTrue="1">
      <formula>"esterreur(reference)"</formula>
    </cfRule>
  </conditionalFormatting>
  <conditionalFormatting sqref="L267:L284">
    <cfRule type="expression" dxfId="179" priority="71" stopIfTrue="1">
      <formula>"esterreur(reference)"</formula>
    </cfRule>
  </conditionalFormatting>
  <conditionalFormatting sqref="L318:L329">
    <cfRule type="expression" dxfId="178" priority="93" stopIfTrue="1">
      <formula>"esterreur(reference)"</formula>
    </cfRule>
  </conditionalFormatting>
  <conditionalFormatting sqref="L331">
    <cfRule type="expression" dxfId="177" priority="70" stopIfTrue="1">
      <formula>"esterreur(reference)"</formula>
    </cfRule>
  </conditionalFormatting>
  <conditionalFormatting sqref="L334:L343 L345:L348">
    <cfRule type="expression" dxfId="176" priority="92" stopIfTrue="1">
      <formula>"esterreur(reference)"</formula>
    </cfRule>
  </conditionalFormatting>
  <conditionalFormatting sqref="L356:L357 H357:I357 K357 J357:J358 H359:L359">
    <cfRule type="expression" dxfId="175" priority="107" stopIfTrue="1">
      <formula>"esterreur(reference)"</formula>
    </cfRule>
  </conditionalFormatting>
  <conditionalFormatting sqref="L5:Q14">
    <cfRule type="expression" dxfId="174" priority="62" stopIfTrue="1">
      <formula>"esterreur(reference)"</formula>
    </cfRule>
  </conditionalFormatting>
  <conditionalFormatting sqref="L156:Q162">
    <cfRule type="expression" dxfId="173" priority="28" stopIfTrue="1">
      <formula>"esterreur(reference)"</formula>
    </cfRule>
  </conditionalFormatting>
  <conditionalFormatting sqref="M95:M97">
    <cfRule type="expression" dxfId="172" priority="103" stopIfTrue="1">
      <formula>"esterreur(reference)"</formula>
    </cfRule>
  </conditionalFormatting>
  <conditionalFormatting sqref="O13:O14 O16 O18:O24 O83:Q85">
    <cfRule type="expression" dxfId="171" priority="66" stopIfTrue="1">
      <formula>"esterreur(reference)"</formula>
    </cfRule>
  </conditionalFormatting>
  <conditionalFormatting sqref="O172:O196 Q183 O198:P229 O232:Q232 O233:P233">
    <cfRule type="expression" dxfId="170" priority="55" stopIfTrue="1">
      <formula>"esterreur(reference)"</formula>
    </cfRule>
  </conditionalFormatting>
  <conditionalFormatting sqref="O318:P348 O349:Q349 O352:Q352 O353:P353">
    <cfRule type="expression" dxfId="169" priority="39" stopIfTrue="1">
      <formula>"esterreur(reference)"</formula>
    </cfRule>
  </conditionalFormatting>
  <conditionalFormatting sqref="O25:Q72">
    <cfRule type="expression" dxfId="168" priority="4" stopIfTrue="1">
      <formula>"esterreur(reference)"</formula>
    </cfRule>
  </conditionalFormatting>
  <conditionalFormatting sqref="O97:Q98 O122:Q122 O156:P157 O164:Q164 O165:P165">
    <cfRule type="expression" dxfId="167" priority="61" stopIfTrue="1">
      <formula>"esterreur(reference)"</formula>
    </cfRule>
  </conditionalFormatting>
  <conditionalFormatting sqref="O101:Q111">
    <cfRule type="expression" dxfId="166" priority="59" stopIfTrue="1">
      <formula>"esterreur(reference)"</formula>
    </cfRule>
  </conditionalFormatting>
  <conditionalFormatting sqref="O135:Q153">
    <cfRule type="expression" dxfId="165" priority="29" stopIfTrue="1">
      <formula>"esterreur(reference)"</formula>
    </cfRule>
  </conditionalFormatting>
  <conditionalFormatting sqref="O197:Q197">
    <cfRule type="expression" dxfId="164" priority="56" stopIfTrue="1">
      <formula>"esterreur(reference)"</formula>
    </cfRule>
  </conditionalFormatting>
  <conditionalFormatting sqref="O243:Q243 O252:Q253 O254:P284 O285:Q285 O288:Q288 O289:P289">
    <cfRule type="expression" dxfId="163" priority="46" stopIfTrue="1">
      <formula>"esterreur(reference)"</formula>
    </cfRule>
  </conditionalFormatting>
  <conditionalFormatting sqref="O295:Q317">
    <cfRule type="expression" dxfId="162" priority="37" stopIfTrue="1">
      <formula>"esterreur(reference)"</formula>
    </cfRule>
  </conditionalFormatting>
  <conditionalFormatting sqref="O359:Q394">
    <cfRule type="expression" dxfId="161" priority="33" stopIfTrue="1">
      <formula>"esterreur(reference)"</formula>
    </cfRule>
  </conditionalFormatting>
  <conditionalFormatting sqref="O396:Q399">
    <cfRule type="expression" dxfId="160" priority="34" stopIfTrue="1">
      <formula>"esterreur(reference)"</formula>
    </cfRule>
  </conditionalFormatting>
  <conditionalFormatting sqref="P5">
    <cfRule type="expression" dxfId="159" priority="63" stopIfTrue="1">
      <formula>"esterreur(reference)"</formula>
    </cfRule>
  </conditionalFormatting>
  <conditionalFormatting sqref="P175">
    <cfRule type="expression" dxfId="158" priority="50" stopIfTrue="1">
      <formula>"esterreur(reference)"</formula>
    </cfRule>
  </conditionalFormatting>
  <conditionalFormatting sqref="P183:P184">
    <cfRule type="expression" dxfId="157" priority="52" stopIfTrue="1">
      <formula>"esterreur(reference)"</formula>
    </cfRule>
  </conditionalFormatting>
  <conditionalFormatting sqref="P287">
    <cfRule type="expression" dxfId="156" priority="41" stopIfTrue="1">
      <formula>"esterreur(reference)"</formula>
    </cfRule>
  </conditionalFormatting>
  <conditionalFormatting sqref="P395">
    <cfRule type="expression" dxfId="155" priority="35" stopIfTrue="1">
      <formula>"esterreur(reference)"</formula>
    </cfRule>
  </conditionalFormatting>
  <conditionalFormatting sqref="P93:Q96">
    <cfRule type="expression" dxfId="154" priority="58" stopIfTrue="1">
      <formula>"esterreur(reference)"</formula>
    </cfRule>
  </conditionalFormatting>
  <conditionalFormatting sqref="P99:Q100">
    <cfRule type="expression" dxfId="153" priority="60" stopIfTrue="1">
      <formula>"esterreur(reference)"</formula>
    </cfRule>
  </conditionalFormatting>
  <conditionalFormatting sqref="P172:Q173">
    <cfRule type="expression" dxfId="152" priority="51" stopIfTrue="1">
      <formula>"esterreur(reference)"</formula>
    </cfRule>
  </conditionalFormatting>
  <conditionalFormatting sqref="P176:Q182">
    <cfRule type="expression" dxfId="151" priority="49" stopIfTrue="1">
      <formula>"esterreur(reference)"</formula>
    </cfRule>
  </conditionalFormatting>
  <conditionalFormatting sqref="P185:Q196">
    <cfRule type="expression" dxfId="150" priority="48" stopIfTrue="1">
      <formula>"esterreur(reference)"</formula>
    </cfRule>
  </conditionalFormatting>
  <conditionalFormatting sqref="P241:Q241">
    <cfRule type="expression" dxfId="149" priority="42" stopIfTrue="1">
      <formula>"esterreur(reference)"</formula>
    </cfRule>
  </conditionalFormatting>
  <conditionalFormatting sqref="P244:Q244">
    <cfRule type="expression" dxfId="148" priority="44" stopIfTrue="1">
      <formula>"esterreur(reference)"</formula>
    </cfRule>
  </conditionalFormatting>
  <conditionalFormatting sqref="P247:Q247">
    <cfRule type="expression" dxfId="147" priority="43" stopIfTrue="1">
      <formula>"esterreur(reference)"</formula>
    </cfRule>
  </conditionalFormatting>
  <conditionalFormatting sqref="Q16:Q24">
    <cfRule type="expression" dxfId="146" priority="65" stopIfTrue="1">
      <formula>"esterreur(reference)"</formula>
    </cfRule>
  </conditionalFormatting>
  <conditionalFormatting sqref="Q75:Q82">
    <cfRule type="expression" dxfId="145" priority="64" stopIfTrue="1">
      <formula>"esterreur(reference)"</formula>
    </cfRule>
  </conditionalFormatting>
  <conditionalFormatting sqref="Q174:Q175">
    <cfRule type="expression" dxfId="144" priority="54" stopIfTrue="1">
      <formula>"esterreur(reference)"</formula>
    </cfRule>
  </conditionalFormatting>
  <conditionalFormatting sqref="Q198:Q209">
    <cfRule type="expression" dxfId="143" priority="53" stopIfTrue="1">
      <formula>"esterreur(reference)"</formula>
    </cfRule>
  </conditionalFormatting>
  <conditionalFormatting sqref="Q211:Q228">
    <cfRule type="expression" dxfId="142" priority="47" stopIfTrue="1">
      <formula>"esterreur(reference)"</formula>
    </cfRule>
  </conditionalFormatting>
  <conditionalFormatting sqref="Q254:Q265">
    <cfRule type="expression" dxfId="141" priority="45" stopIfTrue="1">
      <formula>"esterreur(reference)"</formula>
    </cfRule>
  </conditionalFormatting>
  <conditionalFormatting sqref="Q267:Q284">
    <cfRule type="expression" dxfId="140" priority="40" stopIfTrue="1">
      <formula>"esterreur(reference)"</formula>
    </cfRule>
  </conditionalFormatting>
  <conditionalFormatting sqref="Q318:Q329">
    <cfRule type="expression" dxfId="139" priority="38" stopIfTrue="1">
      <formula>"esterreur(reference)"</formula>
    </cfRule>
  </conditionalFormatting>
  <conditionalFormatting sqref="Q331:Q348">
    <cfRule type="expression" dxfId="138" priority="36" stopIfTrue="1">
      <formula>"esterreur(reference)"</formula>
    </cfRule>
  </conditionalFormatting>
  <conditionalFormatting sqref="R312">
    <cfRule type="expression" dxfId="137" priority="104" stopIfTrue="1">
      <formula>"esterreur(reference)"</formula>
    </cfRule>
  </conditionalFormatting>
  <conditionalFormatting sqref="S186">
    <cfRule type="expression" dxfId="136" priority="75" stopIfTrue="1">
      <formula>"esterreur(reference)"</formula>
    </cfRule>
  </conditionalFormatting>
  <conditionalFormatting sqref="Z425:Z427">
    <cfRule type="cellIs" dxfId="135" priority="24" operator="greaterThan">
      <formula>0</formula>
    </cfRule>
  </conditionalFormatting>
  <conditionalFormatting sqref="Z432">
    <cfRule type="cellIs" dxfId="134" priority="21" operator="greaterThan">
      <formula>0</formula>
    </cfRule>
  </conditionalFormatting>
  <conditionalFormatting sqref="Z449:Z451">
    <cfRule type="cellIs" dxfId="133" priority="17" operator="greaterThan">
      <formula>0</formula>
    </cfRule>
  </conditionalFormatting>
  <conditionalFormatting sqref="Z463:Z465">
    <cfRule type="cellIs" dxfId="132" priority="13" operator="greaterThan">
      <formula>0</formula>
    </cfRule>
  </conditionalFormatting>
  <conditionalFormatting sqref="Z478:Z479">
    <cfRule type="cellIs" dxfId="131" priority="10" operator="greaterThan">
      <formula>0</formula>
    </cfRule>
  </conditionalFormatting>
  <conditionalFormatting sqref="Z495:Z497">
    <cfRule type="cellIs" dxfId="130" priority="7" operator="greaterThan">
      <formula>0</formula>
    </cfRule>
  </conditionalFormatting>
  <conditionalFormatting sqref="AC425:AC427">
    <cfRule type="cellIs" dxfId="129" priority="25" operator="greaterThan">
      <formula>0</formula>
    </cfRule>
  </conditionalFormatting>
  <conditionalFormatting sqref="AC432">
    <cfRule type="cellIs" dxfId="128" priority="22" operator="greaterThan">
      <formula>0</formula>
    </cfRule>
  </conditionalFormatting>
  <conditionalFormatting sqref="AC449:AC451">
    <cfRule type="cellIs" dxfId="127" priority="18" operator="greaterThan">
      <formula>0</formula>
    </cfRule>
  </conditionalFormatting>
  <conditionalFormatting sqref="AC463:AC465">
    <cfRule type="cellIs" dxfId="126" priority="14" operator="greaterThan">
      <formula>0</formula>
    </cfRule>
  </conditionalFormatting>
  <conditionalFormatting sqref="AC478:AC479">
    <cfRule type="cellIs" dxfId="125" priority="11" operator="greaterThan">
      <formula>0</formula>
    </cfRule>
  </conditionalFormatting>
  <conditionalFormatting sqref="AC495:AC497">
    <cfRule type="cellIs" dxfId="124" priority="8" operator="greaterThan">
      <formula>0</formula>
    </cfRule>
  </conditionalFormatting>
  <conditionalFormatting sqref="AG409:AI418">
    <cfRule type="cellIs" dxfId="123" priority="27" operator="greaterThan">
      <formula>0</formula>
    </cfRule>
  </conditionalFormatting>
  <conditionalFormatting sqref="AH449:AH452">
    <cfRule type="cellIs" dxfId="122" priority="19" operator="greaterThan">
      <formula>0</formula>
    </cfRule>
  </conditionalFormatting>
  <conditionalFormatting sqref="AH461:AH466">
    <cfRule type="cellIs" dxfId="121" priority="15" operator="greaterThan">
      <formula>0</formula>
    </cfRule>
  </conditionalFormatting>
  <conditionalFormatting sqref="AH420:AI448">
    <cfRule type="cellIs" dxfId="120" priority="23" operator="greaterThan">
      <formula>0</formula>
    </cfRule>
  </conditionalFormatting>
  <conditionalFormatting sqref="AH453:AI460 AH467:AI468">
    <cfRule type="cellIs" dxfId="119" priority="105" operator="greaterThan">
      <formula>0</formula>
    </cfRule>
  </conditionalFormatting>
  <conditionalFormatting sqref="AH469:AI477 AH480:AI480">
    <cfRule type="cellIs" dxfId="118" priority="106" operator="lessThan">
      <formula>0</formula>
    </cfRule>
  </conditionalFormatting>
  <conditionalFormatting sqref="AH478:AI479">
    <cfRule type="cellIs" dxfId="117" priority="12" operator="greaterThan">
      <formula>0</formula>
    </cfRule>
  </conditionalFormatting>
  <conditionalFormatting sqref="AH491:AI497">
    <cfRule type="cellIs" dxfId="116" priority="9" operator="greaterThan">
      <formula>0</formula>
    </cfRule>
  </conditionalFormatting>
  <conditionalFormatting sqref="AI449:AI451">
    <cfRule type="cellIs" dxfId="115" priority="20" operator="greaterThan">
      <formula>0</formula>
    </cfRule>
  </conditionalFormatting>
  <conditionalFormatting sqref="AI463:AI465">
    <cfRule type="cellIs" dxfId="114" priority="16" operator="greaterThan">
      <formula>0</formula>
    </cfRule>
  </conditionalFormatting>
  <conditionalFormatting sqref="AO409:AO418">
    <cfRule type="cellIs" dxfId="113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02"/>
  <sheetViews>
    <sheetView topLeftCell="F437" zoomScale="60" zoomScaleNormal="60" workbookViewId="0">
      <selection activeCell="F437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271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72" t="s">
        <v>2</v>
      </c>
      <c r="E2" s="472" t="s">
        <v>3</v>
      </c>
      <c r="F2" s="472" t="s">
        <v>4</v>
      </c>
      <c r="G2" s="472"/>
      <c r="H2" s="472"/>
      <c r="I2" s="472"/>
      <c r="J2" s="472" t="s">
        <v>211</v>
      </c>
      <c r="K2" s="472"/>
      <c r="L2" s="472" t="s">
        <v>212</v>
      </c>
      <c r="M2" s="473"/>
      <c r="N2" s="473"/>
      <c r="O2" s="472" t="s">
        <v>2</v>
      </c>
      <c r="P2" s="472" t="s">
        <v>3</v>
      </c>
      <c r="Q2" s="472" t="s">
        <v>4</v>
      </c>
      <c r="R2" s="10"/>
      <c r="S2" s="10"/>
      <c r="T2" s="10"/>
      <c r="U2" s="10"/>
    </row>
    <row r="3" spans="1:40" ht="21" thickTop="1">
      <c r="B3" s="11"/>
      <c r="C3" s="12"/>
      <c r="D3" s="463" t="s">
        <v>5</v>
      </c>
      <c r="E3" s="464"/>
      <c r="F3" s="465"/>
      <c r="G3" s="466"/>
      <c r="H3" s="464"/>
      <c r="I3" s="465"/>
      <c r="J3" s="466" t="s">
        <v>7</v>
      </c>
      <c r="K3" s="464"/>
      <c r="L3" s="465"/>
      <c r="M3" s="466" t="s">
        <v>213</v>
      </c>
      <c r="N3" s="465"/>
      <c r="O3" s="463" t="s">
        <v>8</v>
      </c>
      <c r="P3" s="464"/>
      <c r="Q3" s="465"/>
      <c r="R3" s="470" t="s">
        <v>214</v>
      </c>
      <c r="S3" s="471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2803316.5103153354</v>
      </c>
      <c r="G5" s="23"/>
      <c r="H5" s="21"/>
      <c r="I5" s="24"/>
      <c r="J5" s="23"/>
      <c r="K5" s="25"/>
      <c r="L5" s="22">
        <v>3270847.4400000004</v>
      </c>
      <c r="M5" s="26"/>
      <c r="N5" s="27"/>
      <c r="O5" s="23"/>
      <c r="P5" s="25"/>
      <c r="Q5" s="22">
        <v>3061839.71999999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9</v>
      </c>
      <c r="E6" s="30">
        <f>IF(D6=0,0,F6/D6)</f>
        <v>5144.9382716049386</v>
      </c>
      <c r="F6" s="30">
        <v>46304.444444444445</v>
      </c>
      <c r="G6" s="31"/>
      <c r="H6" s="30"/>
      <c r="I6" s="30"/>
      <c r="J6" s="31">
        <v>12</v>
      </c>
      <c r="K6" s="30">
        <f>IF(J6=0,0,L6/J6)</f>
        <v>4900.4450000000134</v>
      </c>
      <c r="L6" s="32">
        <v>58805.340000000157</v>
      </c>
      <c r="M6" s="31">
        <f t="shared" ref="M6:M12" si="2">J6-D6</f>
        <v>3</v>
      </c>
      <c r="N6" s="33">
        <f t="shared" ref="N6:N12" si="3">L6-F6</f>
        <v>12500.895555555711</v>
      </c>
      <c r="O6" s="31">
        <v>12</v>
      </c>
      <c r="P6" s="30">
        <f t="shared" ref="P6:P12" si="4">IF(O6=0,0,Q6/O6)</f>
        <v>4855.6391666666577</v>
      </c>
      <c r="Q6" s="32">
        <v>58267.669999999896</v>
      </c>
      <c r="R6" s="31">
        <f>J6-O6</f>
        <v>0</v>
      </c>
      <c r="S6" s="34">
        <f>L6-Q6</f>
        <v>537.67000000026019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17</v>
      </c>
      <c r="E7" s="30">
        <f t="shared" ref="E7:E12" si="5">IF(D7=0,0,F7/D7)</f>
        <v>5386.4238410596026</v>
      </c>
      <c r="F7" s="30">
        <v>91569.205298013243</v>
      </c>
      <c r="G7" s="31"/>
      <c r="H7" s="30"/>
      <c r="I7" s="30"/>
      <c r="J7" s="31">
        <v>22</v>
      </c>
      <c r="K7" s="30">
        <f t="shared" ref="K7:K12" si="6">IF(J7=0,0,L7/J7)</f>
        <v>4523.4468181818165</v>
      </c>
      <c r="L7" s="32">
        <v>99515.829999999958</v>
      </c>
      <c r="M7" s="31">
        <f t="shared" si="2"/>
        <v>5</v>
      </c>
      <c r="N7" s="33">
        <f t="shared" si="3"/>
        <v>7946.6247019867151</v>
      </c>
      <c r="O7" s="31">
        <v>16</v>
      </c>
      <c r="P7" s="30">
        <f t="shared" si="4"/>
        <v>5055.2143749999941</v>
      </c>
      <c r="Q7" s="32">
        <v>80883.429999999906</v>
      </c>
      <c r="R7" s="31">
        <f t="shared" ref="R7:R12" si="7">J7-O7</f>
        <v>6</v>
      </c>
      <c r="S7" s="34">
        <f t="shared" ref="S7:S12" si="8">L7-Q7</f>
        <v>18632.400000000052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91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26</v>
      </c>
      <c r="E13" s="36">
        <f>IF(D13&lt;=0,0,F13/D13)</f>
        <v>5302.8326824022188</v>
      </c>
      <c r="F13" s="37">
        <f>+SUM(F6:F12)</f>
        <v>137873.6497424577</v>
      </c>
      <c r="G13" s="38"/>
      <c r="H13" s="36"/>
      <c r="I13" s="37"/>
      <c r="J13" s="38">
        <f>+SUM(J6:J12)</f>
        <v>34</v>
      </c>
      <c r="K13" s="36">
        <f>IF(J13&lt;=0,0,L13/J13)</f>
        <v>4656.5050000000028</v>
      </c>
      <c r="L13" s="37">
        <f>+SUM(L6:L12)</f>
        <v>158321.1700000001</v>
      </c>
      <c r="M13" s="38">
        <f>+SUM(M6:M12)</f>
        <v>8</v>
      </c>
      <c r="N13" s="37">
        <f t="shared" ref="N13" si="10">+SUM(N6:N12)</f>
        <v>20447.520257542426</v>
      </c>
      <c r="O13" s="38">
        <f>+SUM(O6:O12)</f>
        <v>28</v>
      </c>
      <c r="P13" s="36">
        <f>IF(O13&lt;=0,0,Q13/O13)</f>
        <v>4969.6821428571357</v>
      </c>
      <c r="Q13" s="37">
        <f t="shared" ref="Q13" si="11">+SUM(Q6:Q12)</f>
        <v>139151.0999999998</v>
      </c>
      <c r="R13" s="38">
        <f>+SUM(R6:R12)</f>
        <v>6</v>
      </c>
      <c r="S13" s="39">
        <f>+SUM(S6:S12)</f>
        <v>19170.070000000313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0.30769230769230771</v>
      </c>
      <c r="N14" s="43">
        <f>IF(F13=0,0,N13/F13)</f>
        <v>0.1483062230943879</v>
      </c>
      <c r="O14" s="41"/>
      <c r="P14" s="30"/>
      <c r="Q14" s="40"/>
      <c r="R14" s="42">
        <f>R13/O13</f>
        <v>0.21428571428571427</v>
      </c>
      <c r="S14" s="44">
        <f>IF(Q13=0,0,(S13/Q13))</f>
        <v>0.13776441580411752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</v>
      </c>
      <c r="E15" s="25">
        <f>IF(D15=0,0,F15/D15)</f>
        <v>2500</v>
      </c>
      <c r="F15" s="22">
        <v>7500</v>
      </c>
      <c r="G15" s="46"/>
      <c r="H15" s="47"/>
      <c r="I15" s="48"/>
      <c r="J15" s="49">
        <v>5</v>
      </c>
      <c r="K15" s="50">
        <f>IF(J15=0,0,L15/J15)</f>
        <v>588.60600000000557</v>
      </c>
      <c r="L15" s="50">
        <v>2943.0300000000279</v>
      </c>
      <c r="M15" s="51">
        <f>J15-D15</f>
        <v>2</v>
      </c>
      <c r="N15" s="48">
        <f>L15-F15</f>
        <v>-4556.9699999999721</v>
      </c>
      <c r="O15" s="49">
        <v>4</v>
      </c>
      <c r="P15" s="50">
        <f>IF(O15=0,0,Q15/O15)</f>
        <v>5079.2874999999749</v>
      </c>
      <c r="Q15" s="50">
        <v>20317.1499999999</v>
      </c>
      <c r="R15" s="51">
        <f>J15-O15</f>
        <v>1</v>
      </c>
      <c r="S15" s="52">
        <f>L15-Q15</f>
        <v>-17374.119999999872</v>
      </c>
      <c r="T15" s="13"/>
      <c r="U15" s="13"/>
      <c r="V15" s="11"/>
      <c r="W15" s="474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1</v>
      </c>
      <c r="E17" s="30">
        <f>IF(D17=0,0,F17/D17)</f>
        <v>2500</v>
      </c>
      <c r="F17" s="30">
        <v>2500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-1</v>
      </c>
      <c r="N17" s="33">
        <f>L17-F17</f>
        <v>-2500</v>
      </c>
      <c r="O17" s="51">
        <v>0</v>
      </c>
      <c r="P17" s="30">
        <f>IF(O17=0,0,Q17/O17)</f>
        <v>0</v>
      </c>
      <c r="Q17" s="33">
        <v>0</v>
      </c>
      <c r="R17" s="31">
        <f>J17-O17</f>
        <v>0</v>
      </c>
      <c r="S17" s="34">
        <f>L17-Q17</f>
        <v>0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6629.0563613401637</v>
      </c>
      <c r="G19" s="31"/>
      <c r="H19" s="30"/>
      <c r="I19" s="30"/>
      <c r="J19" s="46"/>
      <c r="K19" s="30"/>
      <c r="L19" s="33">
        <v>8901.109999999986</v>
      </c>
      <c r="M19" s="31"/>
      <c r="N19" s="33">
        <f>L19-F19</f>
        <v>2272.0536386598224</v>
      </c>
      <c r="O19" s="46"/>
      <c r="P19" s="30"/>
      <c r="Q19" s="33">
        <v>8515.3300000000108</v>
      </c>
      <c r="R19" s="31">
        <f>O19-K19</f>
        <v>0</v>
      </c>
      <c r="S19" s="34">
        <f>L19-Q19</f>
        <v>385.77999999997519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2465</v>
      </c>
      <c r="G21" s="41"/>
      <c r="H21" s="30"/>
      <c r="I21" s="30"/>
      <c r="J21" s="31"/>
      <c r="K21" s="30">
        <f>IF(J13=0,0,L21/(J13+J15))</f>
        <v>-31.520769230769229</v>
      </c>
      <c r="L21" s="33">
        <v>-1229.31</v>
      </c>
      <c r="M21" s="31"/>
      <c r="N21" s="33">
        <f>L21-F21</f>
        <v>-3694.31</v>
      </c>
      <c r="O21" s="31"/>
      <c r="P21" s="30"/>
      <c r="Q21" s="33">
        <v>8078</v>
      </c>
      <c r="R21" s="31">
        <f>O21-K21</f>
        <v>31.520769230769229</v>
      </c>
      <c r="S21" s="34">
        <f>L21-Q21</f>
        <v>-9307.31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29580</v>
      </c>
      <c r="G22" s="41"/>
      <c r="H22" s="30"/>
      <c r="I22" s="30"/>
      <c r="J22" s="31"/>
      <c r="K22" s="30">
        <f>IF(J13=0,0,L22/(J13+J15))</f>
        <v>1158.7410256410258</v>
      </c>
      <c r="L22" s="33">
        <v>45190.9</v>
      </c>
      <c r="M22" s="31"/>
      <c r="N22" s="33">
        <f>L22-F22</f>
        <v>15610.900000000001</v>
      </c>
      <c r="O22" s="31"/>
      <c r="P22" s="30"/>
      <c r="Q22" s="33">
        <v>36238.57</v>
      </c>
      <c r="R22" s="31">
        <f>O22-K22</f>
        <v>-1158.7410256410258</v>
      </c>
      <c r="S22" s="34">
        <f>L22-Q22</f>
        <v>8952.3300000000017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14355</v>
      </c>
      <c r="G23" s="41"/>
      <c r="H23" s="30"/>
      <c r="I23" s="30"/>
      <c r="J23" s="31"/>
      <c r="K23" s="30">
        <f>IF(J13=0,0,L23/(J13+J15))</f>
        <v>440.92179487179487</v>
      </c>
      <c r="L23" s="33">
        <v>17195.95</v>
      </c>
      <c r="M23" s="51"/>
      <c r="N23" s="33">
        <f>L23-F23</f>
        <v>2840.9500000000007</v>
      </c>
      <c r="O23" s="31"/>
      <c r="P23" s="30"/>
      <c r="Q23" s="33">
        <v>13869.4</v>
      </c>
      <c r="R23" s="31">
        <f>O23-K23</f>
        <v>-440.92179487179487</v>
      </c>
      <c r="S23" s="34">
        <f>L23-Q23</f>
        <v>3326.5500000000011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29</v>
      </c>
      <c r="E24" s="36">
        <f>IF(D24&lt;=0,0,F24/D24)</f>
        <v>1600</v>
      </c>
      <c r="F24" s="37">
        <f>F21+F22+F23</f>
        <v>46400</v>
      </c>
      <c r="G24" s="38"/>
      <c r="H24" s="36"/>
      <c r="I24" s="37"/>
      <c r="J24" s="38">
        <f>+J15+J13</f>
        <v>39</v>
      </c>
      <c r="K24" s="36">
        <f>IF(J24&lt;=0,0,L24/J24)</f>
        <v>1568.1420512820514</v>
      </c>
      <c r="L24" s="37">
        <f>L21+L22+L23</f>
        <v>61157.540000000008</v>
      </c>
      <c r="M24" s="58">
        <f>J24-D24</f>
        <v>10</v>
      </c>
      <c r="N24" s="37">
        <f>L24-F24</f>
        <v>14757.540000000008</v>
      </c>
      <c r="O24" s="38">
        <f>+O15+O13</f>
        <v>32</v>
      </c>
      <c r="P24" s="36">
        <f>IF(O24&lt;=0,0,Q24/O24)</f>
        <v>1818.3115625</v>
      </c>
      <c r="Q24" s="37">
        <f>Q21+Q22+Q23</f>
        <v>58185.97</v>
      </c>
      <c r="R24" s="56"/>
      <c r="S24" s="39">
        <f>L24-Q24</f>
        <v>2971.570000000007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0.31805043103448294</v>
      </c>
      <c r="O25" s="41"/>
      <c r="P25" s="13"/>
      <c r="Q25" s="59"/>
      <c r="R25" s="60"/>
      <c r="S25" s="44">
        <f>IF(Q24=0,0,(S24/Q24))</f>
        <v>5.107021503637401E-2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30</v>
      </c>
      <c r="E27" s="64">
        <f>IF(D27&lt;=0,0,F27/D27)</f>
        <v>6696.7568701265955</v>
      </c>
      <c r="F27" s="65">
        <f>F13+F17+F24+F19+F15</f>
        <v>200902.70610379786</v>
      </c>
      <c r="G27" s="66"/>
      <c r="H27" s="67"/>
      <c r="I27" s="65"/>
      <c r="J27" s="66">
        <f>+J13+J15+J17</f>
        <v>39</v>
      </c>
      <c r="K27" s="67">
        <f>IF(J27&lt;=0,0,L27/J27)</f>
        <v>5931.3551282051312</v>
      </c>
      <c r="L27" s="65">
        <f>L13+L17+L24+L19+L15</f>
        <v>231322.85000000012</v>
      </c>
      <c r="M27" s="66">
        <f>J27-D27</f>
        <v>9</v>
      </c>
      <c r="N27" s="65">
        <f>L27-F27</f>
        <v>30420.143896202266</v>
      </c>
      <c r="O27" s="66">
        <f>+O13+O15+O17</f>
        <v>32</v>
      </c>
      <c r="P27" s="67">
        <f>IF(O27&lt;=0,0,Q27/O27)</f>
        <v>7067.7984374999915</v>
      </c>
      <c r="Q27" s="65">
        <f>Q13+Q17+Q24+Q19+Q15</f>
        <v>226169.54999999973</v>
      </c>
      <c r="R27" s="66">
        <f>J27-O27</f>
        <v>7</v>
      </c>
      <c r="S27" s="68">
        <f>L27-Q27</f>
        <v>5153.3000000003958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0.3</v>
      </c>
      <c r="N28" s="74">
        <f>N27/F27</f>
        <v>0.15141729290836667</v>
      </c>
      <c r="O28" s="72"/>
      <c r="P28" s="70"/>
      <c r="Q28" s="71"/>
      <c r="R28" s="73">
        <f>R27/O27</f>
        <v>0.21875</v>
      </c>
      <c r="S28" s="75">
        <f>IF(Q27=0,0,S27/Q27)</f>
        <v>2.2785118509544729E-2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0.29628195118027412</v>
      </c>
      <c r="E31" s="82">
        <f t="shared" ref="E31:E36" si="12">F31/D$24</f>
        <v>1485.2271929618316</v>
      </c>
      <c r="F31" s="30">
        <v>43071.588595893118</v>
      </c>
      <c r="G31" s="157"/>
      <c r="H31" s="82"/>
      <c r="I31" s="30"/>
      <c r="J31" s="157">
        <f>L31/(L13+L15)</f>
        <v>0.32227369744803841</v>
      </c>
      <c r="K31" s="82">
        <f t="shared" ref="K31:K36" si="13">IF(L31=0,0,L31/J$24)</f>
        <v>1332.5951282051283</v>
      </c>
      <c r="L31" s="30">
        <v>51971.21</v>
      </c>
      <c r="M31" s="41"/>
      <c r="N31" s="59">
        <f t="shared" ref="N31:N53" si="14">L31-F31</f>
        <v>8899.6214041068815</v>
      </c>
      <c r="O31" s="157">
        <f>Q31/(Q13+Q15+Q17)</f>
        <v>0.3164066201265775</v>
      </c>
      <c r="P31" s="82">
        <f t="shared" ref="P31:P40" si="15">Q31/O$24</f>
        <v>1576.7753124999999</v>
      </c>
      <c r="Q31" s="33">
        <v>50456.81</v>
      </c>
      <c r="R31" s="41"/>
      <c r="S31" s="85">
        <f t="shared" ref="S31:S41" si="16">L31-Q31</f>
        <v>1514.4000000000015</v>
      </c>
      <c r="T31" s="13"/>
      <c r="U31" s="13"/>
      <c r="V31" s="11" t="s">
        <v>251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0.25</v>
      </c>
      <c r="E32" s="88">
        <f t="shared" si="12"/>
        <v>400</v>
      </c>
      <c r="F32" s="22">
        <v>11600</v>
      </c>
      <c r="G32" s="162"/>
      <c r="H32" s="90"/>
      <c r="I32" s="22"/>
      <c r="J32" s="162">
        <f>L32/L24</f>
        <v>0.37678559340352791</v>
      </c>
      <c r="K32" s="88">
        <f t="shared" si="13"/>
        <v>590.85333333333335</v>
      </c>
      <c r="L32" s="22">
        <v>23043.279999999999</v>
      </c>
      <c r="M32" s="23"/>
      <c r="N32" s="91">
        <f t="shared" si="14"/>
        <v>11443.279999999999</v>
      </c>
      <c r="O32" s="162">
        <f>Q32/Q24</f>
        <v>0.24986195125732197</v>
      </c>
      <c r="P32" s="88">
        <f t="shared" si="15"/>
        <v>454.32687499999997</v>
      </c>
      <c r="Q32" s="22">
        <v>14538.46</v>
      </c>
      <c r="R32" s="23"/>
      <c r="S32" s="92">
        <f t="shared" si="16"/>
        <v>8504.82</v>
      </c>
      <c r="T32" s="13"/>
      <c r="U32" s="13"/>
      <c r="V32" s="11" t="s">
        <v>252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2"/>
        <v>100</v>
      </c>
      <c r="F33" s="30">
        <v>2900</v>
      </c>
      <c r="G33" s="83"/>
      <c r="H33" s="82"/>
      <c r="I33" s="30"/>
      <c r="J33" s="41"/>
      <c r="K33" s="82">
        <f t="shared" si="13"/>
        <v>82.459230769230771</v>
      </c>
      <c r="L33" s="30">
        <v>3215.91</v>
      </c>
      <c r="M33" s="41"/>
      <c r="N33" s="59">
        <f t="shared" si="14"/>
        <v>315.90999999999985</v>
      </c>
      <c r="O33" s="41"/>
      <c r="P33" s="82">
        <f t="shared" si="15"/>
        <v>41.204374999999999</v>
      </c>
      <c r="Q33" s="33">
        <v>1318.54</v>
      </c>
      <c r="R33" s="41"/>
      <c r="S33" s="85">
        <f t="shared" si="16"/>
        <v>1897.37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2"/>
        <v>45</v>
      </c>
      <c r="F34" s="30">
        <v>1305</v>
      </c>
      <c r="G34" s="83"/>
      <c r="H34" s="82"/>
      <c r="I34" s="30"/>
      <c r="J34" s="41"/>
      <c r="K34" s="82">
        <f t="shared" si="13"/>
        <v>29.536923076923078</v>
      </c>
      <c r="L34" s="30">
        <v>1151.94</v>
      </c>
      <c r="M34" s="41"/>
      <c r="N34" s="59">
        <f t="shared" si="14"/>
        <v>-153.05999999999995</v>
      </c>
      <c r="O34" s="41"/>
      <c r="P34" s="82">
        <f t="shared" si="15"/>
        <v>49.581562499999997</v>
      </c>
      <c r="Q34" s="33">
        <v>1586.61</v>
      </c>
      <c r="R34" s="41"/>
      <c r="S34" s="85">
        <f t="shared" si="16"/>
        <v>-434.66999999999985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2"/>
        <v>45.172413793103445</v>
      </c>
      <c r="F35" s="22">
        <v>1310</v>
      </c>
      <c r="G35" s="89"/>
      <c r="H35" s="90"/>
      <c r="I35" s="22"/>
      <c r="J35" s="23"/>
      <c r="K35" s="88">
        <f t="shared" si="13"/>
        <v>25.282051282051281</v>
      </c>
      <c r="L35" s="22">
        <v>986</v>
      </c>
      <c r="M35" s="23"/>
      <c r="N35" s="91">
        <f t="shared" si="14"/>
        <v>-324</v>
      </c>
      <c r="O35" s="23"/>
      <c r="P35" s="88">
        <f t="shared" si="15"/>
        <v>52.022187500000001</v>
      </c>
      <c r="Q35" s="33">
        <v>1664.71</v>
      </c>
      <c r="R35" s="23"/>
      <c r="S35" s="92">
        <f t="shared" si="16"/>
        <v>-678.71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2"/>
        <v>496.609375</v>
      </c>
      <c r="F36" s="30">
        <v>14401.671875</v>
      </c>
      <c r="G36" s="83"/>
      <c r="H36" s="82"/>
      <c r="I36" s="30"/>
      <c r="J36" s="41"/>
      <c r="K36" s="82">
        <f t="shared" si="13"/>
        <v>373.90333333333331</v>
      </c>
      <c r="L36" s="475">
        <v>14582.23</v>
      </c>
      <c r="M36" s="13"/>
      <c r="N36" s="59">
        <f t="shared" si="14"/>
        <v>180.55812499999956</v>
      </c>
      <c r="O36" s="41"/>
      <c r="P36" s="82">
        <f t="shared" si="15"/>
        <v>436.26749999999998</v>
      </c>
      <c r="Q36" s="55">
        <v>13960.56</v>
      </c>
      <c r="R36" s="41"/>
      <c r="S36" s="85">
        <f t="shared" si="16"/>
        <v>621.67000000000007</v>
      </c>
      <c r="T36" s="13"/>
      <c r="U36" s="13"/>
      <c r="V36" s="11">
        <f>32443-1000</f>
        <v>31443</v>
      </c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1007.2564167282692</v>
      </c>
      <c r="F37" s="30">
        <v>29210.436085119807</v>
      </c>
      <c r="G37" s="83"/>
      <c r="H37" s="82"/>
      <c r="I37" s="30"/>
      <c r="J37" s="41"/>
      <c r="K37" s="82">
        <f>IF(L37=0,0,L37/J$24)</f>
        <v>899.60974358974352</v>
      </c>
      <c r="L37" s="476">
        <v>35084.78</v>
      </c>
      <c r="M37" s="13"/>
      <c r="N37" s="59">
        <f t="shared" si="14"/>
        <v>5874.3439148801917</v>
      </c>
      <c r="O37" s="41"/>
      <c r="P37" s="82">
        <f t="shared" si="15"/>
        <v>236.32093750000001</v>
      </c>
      <c r="Q37" s="33">
        <v>7562.27</v>
      </c>
      <c r="R37" s="41"/>
      <c r="S37" s="85">
        <f>L37-Q37</f>
        <v>27522.51</v>
      </c>
      <c r="T37" s="13"/>
      <c r="U37" s="13"/>
      <c r="V37" s="474">
        <v>35085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76">
        <v>0</v>
      </c>
      <c r="M38" s="13"/>
      <c r="N38" s="59">
        <f t="shared" si="14"/>
        <v>0</v>
      </c>
      <c r="O38" s="41"/>
      <c r="P38" s="82">
        <f t="shared" si="15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76">
        <v>0</v>
      </c>
      <c r="M39" s="13"/>
      <c r="N39" s="59">
        <f t="shared" si="14"/>
        <v>0</v>
      </c>
      <c r="O39" s="41"/>
      <c r="P39" s="82">
        <f t="shared" si="15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119" si="17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77">
        <v>0</v>
      </c>
      <c r="M40" s="13"/>
      <c r="N40" s="59">
        <f t="shared" si="14"/>
        <v>0</v>
      </c>
      <c r="O40" s="41"/>
      <c r="P40" s="82">
        <f t="shared" si="15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7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0.51666151526293813</v>
      </c>
      <c r="F41" s="96">
        <f>SUM(F31:F40)</f>
        <v>103798.69655601293</v>
      </c>
      <c r="G41" s="97"/>
      <c r="H41" s="95"/>
      <c r="I41" s="96"/>
      <c r="J41" s="97" t="s">
        <v>38</v>
      </c>
      <c r="K41" s="95">
        <f>L41/L$27</f>
        <v>0.56213793838351866</v>
      </c>
      <c r="L41" s="96">
        <f>SUM(L31:L40)</f>
        <v>130035.34999999999</v>
      </c>
      <c r="M41" s="98"/>
      <c r="N41" s="96">
        <f t="shared" si="14"/>
        <v>26236.653443987059</v>
      </c>
      <c r="O41" s="97" t="s">
        <v>38</v>
      </c>
      <c r="P41" s="95">
        <f>Q41/Q$27</f>
        <v>0.40274192525032709</v>
      </c>
      <c r="Q41" s="99">
        <f>SUM(Q31:Q40)</f>
        <v>91087.96</v>
      </c>
      <c r="R41" s="100"/>
      <c r="S41" s="101">
        <f t="shared" ref="S41:S51" si="18">L41-Q41</f>
        <v>38947.389999999985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7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12750.16882951654</v>
      </c>
      <c r="G42" s="41"/>
      <c r="H42" s="13"/>
      <c r="I42" s="30"/>
      <c r="J42" s="41"/>
      <c r="K42" s="13"/>
      <c r="L42" s="33">
        <v>12792.2</v>
      </c>
      <c r="M42" s="41"/>
      <c r="N42" s="59">
        <f t="shared" si="14"/>
        <v>42.031170483460301</v>
      </c>
      <c r="O42" s="41"/>
      <c r="P42" s="13"/>
      <c r="Q42" s="33">
        <v>15431.24</v>
      </c>
      <c r="R42" s="41"/>
      <c r="S42" s="85">
        <f t="shared" si="18"/>
        <v>-2639.0399999999991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7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9014.8377862595426</v>
      </c>
      <c r="G43" s="83"/>
      <c r="H43" s="13"/>
      <c r="I43" s="22"/>
      <c r="J43" s="41"/>
      <c r="K43" s="13"/>
      <c r="L43" s="33">
        <v>9961.3799999999992</v>
      </c>
      <c r="M43" s="41"/>
      <c r="N43" s="59">
        <f t="shared" si="14"/>
        <v>946.54221374045665</v>
      </c>
      <c r="O43" s="41"/>
      <c r="P43" s="13"/>
      <c r="Q43" s="33">
        <v>8287.01</v>
      </c>
      <c r="R43" s="41"/>
      <c r="S43" s="85">
        <f t="shared" si="18"/>
        <v>1674.369999999999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7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4"/>
        <v>0</v>
      </c>
      <c r="O44" s="107"/>
      <c r="P44" s="105"/>
      <c r="Q44" s="108">
        <v>342</v>
      </c>
      <c r="R44" s="107"/>
      <c r="S44" s="110">
        <f t="shared" si="18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7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4"/>
        <v>0</v>
      </c>
      <c r="O45" s="41"/>
      <c r="P45" s="13"/>
      <c r="Q45" s="33">
        <v>0</v>
      </c>
      <c r="R45" s="41"/>
      <c r="S45" s="85">
        <f t="shared" si="18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4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4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4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128" si="19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8639.8780003077063</v>
      </c>
      <c r="G49" s="83"/>
      <c r="H49" s="13"/>
      <c r="I49" s="22"/>
      <c r="J49" s="41"/>
      <c r="K49" s="13"/>
      <c r="L49" s="22">
        <v>9459.39</v>
      </c>
      <c r="M49" s="41"/>
      <c r="N49" s="59">
        <f t="shared" si="14"/>
        <v>819.5119996922931</v>
      </c>
      <c r="O49" s="41"/>
      <c r="P49" s="13"/>
      <c r="Q49" s="22">
        <v>7533.08</v>
      </c>
      <c r="R49" s="41"/>
      <c r="S49" s="85">
        <f t="shared" ref="S49:S60" si="20">L49-Q49</f>
        <v>1926.3099999999995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9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11311.440425617326</v>
      </c>
      <c r="G50" s="106"/>
      <c r="H50" s="105"/>
      <c r="I50" s="30"/>
      <c r="J50" s="107"/>
      <c r="K50" s="105"/>
      <c r="L50" s="33">
        <v>13673.1</v>
      </c>
      <c r="M50" s="107"/>
      <c r="N50" s="109">
        <f t="shared" si="14"/>
        <v>2361.6595743826747</v>
      </c>
      <c r="O50" s="107"/>
      <c r="P50" s="105"/>
      <c r="Q50" s="33">
        <v>11152.22</v>
      </c>
      <c r="R50" s="107"/>
      <c r="S50" s="110">
        <f t="shared" si="20"/>
        <v>2520.880000000001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9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5194.8837510242529</v>
      </c>
      <c r="G51" s="83"/>
      <c r="H51" s="13"/>
      <c r="I51" s="30"/>
      <c r="J51" s="41"/>
      <c r="K51" s="13"/>
      <c r="L51" s="33">
        <v>5353.05</v>
      </c>
      <c r="M51" s="41"/>
      <c r="N51" s="59">
        <f t="shared" si="14"/>
        <v>158.16624897574729</v>
      </c>
      <c r="O51" s="41"/>
      <c r="P51" s="13"/>
      <c r="Q51" s="33">
        <v>4253.3</v>
      </c>
      <c r="R51" s="41"/>
      <c r="S51" s="85">
        <f t="shared" si="20"/>
        <v>1099.75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9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1173.0382663603152</v>
      </c>
      <c r="G52" s="83"/>
      <c r="H52" s="13"/>
      <c r="I52" s="30"/>
      <c r="J52" s="41"/>
      <c r="K52" s="13"/>
      <c r="L52" s="33">
        <v>1671.23</v>
      </c>
      <c r="M52" s="41"/>
      <c r="N52" s="59">
        <f t="shared" si="14"/>
        <v>498.1917336396848</v>
      </c>
      <c r="O52" s="41"/>
      <c r="P52" s="13"/>
      <c r="Q52" s="33">
        <v>1068.9000000000001</v>
      </c>
      <c r="R52" s="41"/>
      <c r="S52" s="85">
        <f t="shared" si="20"/>
        <v>602.32999999999993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9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4"/>
        <v>0</v>
      </c>
      <c r="O53" s="23"/>
      <c r="P53" s="111"/>
      <c r="Q53" s="33">
        <v>0</v>
      </c>
      <c r="R53" s="23"/>
      <c r="S53" s="92">
        <f t="shared" si="20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9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0.24104327909881865</v>
      </c>
      <c r="F54" s="96">
        <f>+SUM(F42:F53)</f>
        <v>48426.247059085683</v>
      </c>
      <c r="G54" s="97"/>
      <c r="H54" s="95"/>
      <c r="I54" s="96"/>
      <c r="J54" s="97" t="s">
        <v>38</v>
      </c>
      <c r="K54" s="95">
        <f>L54/L$27</f>
        <v>0.23020791071872052</v>
      </c>
      <c r="L54" s="96">
        <f>+SUM(L42:L53)</f>
        <v>53252.350000000006</v>
      </c>
      <c r="M54" s="100"/>
      <c r="N54" s="96">
        <f>+SUM(N42:N53)</f>
        <v>4826.1029409143166</v>
      </c>
      <c r="O54" s="97" t="s">
        <v>38</v>
      </c>
      <c r="P54" s="95">
        <f>Q54/Q$27</f>
        <v>0.21252971498594778</v>
      </c>
      <c r="Q54" s="96">
        <f>+SUM(Q42:Q53)</f>
        <v>48067.750000000007</v>
      </c>
      <c r="R54" s="100"/>
      <c r="S54" s="101">
        <f>+SUM(S42:S53)</f>
        <v>5184.6000000000004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9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21">L55-F55</f>
        <v>0</v>
      </c>
      <c r="O55" s="41"/>
      <c r="P55" s="13"/>
      <c r="Q55" s="33">
        <v>0</v>
      </c>
      <c r="R55" s="41"/>
      <c r="S55" s="85">
        <f t="shared" ref="S55:S71" si="22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9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21"/>
        <v>0</v>
      </c>
      <c r="O56" s="41"/>
      <c r="P56" s="13"/>
      <c r="Q56" s="33">
        <v>0</v>
      </c>
      <c r="R56" s="41"/>
      <c r="S56" s="85">
        <f t="shared" si="22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9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5080.0833333333339</v>
      </c>
      <c r="G57" s="89"/>
      <c r="H57" s="111"/>
      <c r="I57" s="22"/>
      <c r="J57" s="23"/>
      <c r="K57" s="111"/>
      <c r="L57" s="22">
        <v>8441.26</v>
      </c>
      <c r="M57" s="23"/>
      <c r="N57" s="91">
        <f t="shared" si="21"/>
        <v>3361.1766666666663</v>
      </c>
      <c r="O57" s="23"/>
      <c r="P57" s="111"/>
      <c r="Q57" s="22">
        <v>4318.92</v>
      </c>
      <c r="R57" s="23"/>
      <c r="S57" s="92">
        <f t="shared" si="22"/>
        <v>4122.34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9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4993.05</v>
      </c>
      <c r="G58" s="83"/>
      <c r="H58" s="13"/>
      <c r="I58" s="30"/>
      <c r="J58" s="41"/>
      <c r="K58" s="13"/>
      <c r="L58" s="33">
        <v>5260.81</v>
      </c>
      <c r="M58" s="41"/>
      <c r="N58" s="59">
        <f t="shared" si="21"/>
        <v>267.76000000000022</v>
      </c>
      <c r="O58" s="41"/>
      <c r="P58" s="13"/>
      <c r="Q58" s="33">
        <v>5673.05</v>
      </c>
      <c r="R58" s="41"/>
      <c r="S58" s="85">
        <f t="shared" si="22"/>
        <v>-412.23999999999978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9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822.6</v>
      </c>
      <c r="G59" s="83"/>
      <c r="H59" s="13"/>
      <c r="I59" s="30"/>
      <c r="J59" s="41"/>
      <c r="K59" s="13"/>
      <c r="L59" s="33">
        <v>1088.52</v>
      </c>
      <c r="M59" s="41"/>
      <c r="N59" s="59">
        <f t="shared" si="21"/>
        <v>265.91999999999996</v>
      </c>
      <c r="O59" s="41"/>
      <c r="P59" s="13"/>
      <c r="Q59" s="33">
        <v>555.96</v>
      </c>
      <c r="R59" s="41"/>
      <c r="S59" s="85">
        <f t="shared" si="22"/>
        <v>532.55999999999995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9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2754.4500000000003</v>
      </c>
      <c r="G60" s="89"/>
      <c r="H60" s="111"/>
      <c r="I60" s="22"/>
      <c r="J60" s="23"/>
      <c r="K60" s="111"/>
      <c r="L60" s="22">
        <v>3645.57</v>
      </c>
      <c r="M60" s="23"/>
      <c r="N60" s="91">
        <f t="shared" si="21"/>
        <v>891.11999999999989</v>
      </c>
      <c r="O60" s="23"/>
      <c r="P60" s="111"/>
      <c r="Q60" s="22">
        <v>2080.7199999999998</v>
      </c>
      <c r="R60" s="23"/>
      <c r="S60" s="92">
        <f t="shared" si="22"/>
        <v>1564.8500000000004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9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90.625</v>
      </c>
      <c r="G61" s="83"/>
      <c r="H61" s="13"/>
      <c r="I61" s="30"/>
      <c r="J61" s="41"/>
      <c r="K61" s="13"/>
      <c r="L61" s="33">
        <v>32.58</v>
      </c>
      <c r="M61" s="41"/>
      <c r="N61" s="59">
        <f t="shared" si="21"/>
        <v>-58.045000000000002</v>
      </c>
      <c r="O61" s="41"/>
      <c r="P61" s="13"/>
      <c r="Q61" s="33">
        <v>210.75</v>
      </c>
      <c r="R61" s="41"/>
      <c r="S61" s="85">
        <f t="shared" si="22"/>
        <v>-178.17000000000002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9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15</v>
      </c>
      <c r="G62" s="83"/>
      <c r="H62" s="13"/>
      <c r="I62" s="30"/>
      <c r="J62" s="41"/>
      <c r="K62" s="13"/>
      <c r="L62" s="33">
        <v>0</v>
      </c>
      <c r="M62" s="41"/>
      <c r="N62" s="59">
        <f t="shared" si="21"/>
        <v>-15</v>
      </c>
      <c r="O62" s="41"/>
      <c r="P62" s="13"/>
      <c r="Q62" s="33">
        <v>0</v>
      </c>
      <c r="R62" s="41"/>
      <c r="S62" s="85">
        <f t="shared" si="22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9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787.5</v>
      </c>
      <c r="G63" s="83"/>
      <c r="H63" s="13"/>
      <c r="I63" s="30"/>
      <c r="J63" s="41"/>
      <c r="K63" s="13"/>
      <c r="L63" s="32">
        <v>899.59</v>
      </c>
      <c r="M63" s="41"/>
      <c r="N63" s="59">
        <f t="shared" si="21"/>
        <v>112.09000000000003</v>
      </c>
      <c r="O63" s="41"/>
      <c r="P63" s="13"/>
      <c r="Q63" s="32">
        <v>561.34</v>
      </c>
      <c r="R63" s="41"/>
      <c r="S63" s="85">
        <f t="shared" si="22"/>
        <v>338.25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9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222.63</v>
      </c>
      <c r="M64" s="41"/>
      <c r="N64" s="59">
        <f t="shared" si="21"/>
        <v>12.22999999999999</v>
      </c>
      <c r="O64" s="41"/>
      <c r="P64" s="13"/>
      <c r="Q64" s="33">
        <v>340.2</v>
      </c>
      <c r="R64" s="41"/>
      <c r="S64" s="85">
        <f t="shared" si="22"/>
        <v>-117.57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9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225</v>
      </c>
      <c r="G65" s="83"/>
      <c r="H65" s="13"/>
      <c r="I65" s="30"/>
      <c r="J65" s="41"/>
      <c r="K65" s="13"/>
      <c r="L65" s="33">
        <v>312.69</v>
      </c>
      <c r="M65" s="41"/>
      <c r="N65" s="59">
        <f t="shared" si="21"/>
        <v>87.69</v>
      </c>
      <c r="O65" s="41"/>
      <c r="P65" s="13"/>
      <c r="Q65" s="33">
        <v>165.25</v>
      </c>
      <c r="R65" s="41"/>
      <c r="S65" s="85">
        <f t="shared" si="22"/>
        <v>147.44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9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836.1</v>
      </c>
      <c r="G66" s="83"/>
      <c r="H66" s="13"/>
      <c r="I66" s="30"/>
      <c r="J66" s="41"/>
      <c r="K66" s="13"/>
      <c r="L66" s="33">
        <v>650.70000000000005</v>
      </c>
      <c r="M66" s="41"/>
      <c r="N66" s="59">
        <f t="shared" si="21"/>
        <v>-185.39999999999998</v>
      </c>
      <c r="O66" s="41"/>
      <c r="P66" s="13"/>
      <c r="Q66" s="33">
        <v>972.45</v>
      </c>
      <c r="R66" s="41"/>
      <c r="S66" s="85">
        <f t="shared" si="22"/>
        <v>-321.75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482.16381333333317</v>
      </c>
      <c r="G67" s="83"/>
      <c r="H67" s="13"/>
      <c r="I67" s="30"/>
      <c r="J67" s="41"/>
      <c r="K67" s="13"/>
      <c r="L67" s="59">
        <v>-894.63</v>
      </c>
      <c r="M67" s="41"/>
      <c r="N67" s="59">
        <f t="shared" si="21"/>
        <v>-1376.7938133333332</v>
      </c>
      <c r="O67" s="41"/>
      <c r="P67" s="13"/>
      <c r="Q67" s="33">
        <v>239.26</v>
      </c>
      <c r="R67" s="41"/>
      <c r="S67" s="85">
        <f>L67-Q67</f>
        <v>-1133.8899999999999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3588.6371577687878</v>
      </c>
      <c r="G68" s="83"/>
      <c r="H68" s="13"/>
      <c r="I68" s="30"/>
      <c r="J68" s="41"/>
      <c r="K68" s="13"/>
      <c r="L68" s="32">
        <v>4109.05</v>
      </c>
      <c r="M68" s="41"/>
      <c r="N68" s="59">
        <f t="shared" si="21"/>
        <v>520.41284223121238</v>
      </c>
      <c r="O68" s="41"/>
      <c r="P68" s="13"/>
      <c r="Q68" s="33">
        <v>3184.55</v>
      </c>
      <c r="R68" s="41"/>
      <c r="S68" s="85">
        <f>L68-Q68</f>
        <v>924.5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21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149" si="23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21"/>
        <v>0</v>
      </c>
      <c r="O70" s="41"/>
      <c r="P70" s="13"/>
      <c r="Q70" s="33">
        <v>0</v>
      </c>
      <c r="R70" s="41"/>
      <c r="S70" s="85">
        <f t="shared" ref="S70:S86" si="24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3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21"/>
        <v>0</v>
      </c>
      <c r="O71" s="41"/>
      <c r="P71" s="13"/>
      <c r="Q71" s="33">
        <v>0</v>
      </c>
      <c r="R71" s="41"/>
      <c r="S71" s="85">
        <f t="shared" si="24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3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9.8981291442442845E-2</v>
      </c>
      <c r="F72" s="96">
        <f>+SUM(F55:F71)</f>
        <v>19885.609304435457</v>
      </c>
      <c r="G72" s="97"/>
      <c r="H72" s="95"/>
      <c r="I72" s="96"/>
      <c r="J72" s="97" t="s">
        <v>38</v>
      </c>
      <c r="K72" s="95">
        <f>L72/L$27</f>
        <v>0.10275150077045994</v>
      </c>
      <c r="L72" s="96">
        <f>+SUM(L55:L71)</f>
        <v>23768.77</v>
      </c>
      <c r="M72" s="100"/>
      <c r="N72" s="96">
        <f>+SUM(N55:N71)</f>
        <v>3883.1606955645452</v>
      </c>
      <c r="O72" s="97" t="s">
        <v>38</v>
      </c>
      <c r="P72" s="95">
        <f>Q72/Q$27</f>
        <v>8.0923581445866713E-2</v>
      </c>
      <c r="Q72" s="96">
        <f>+SUM(Q55:Q71)</f>
        <v>18302.45</v>
      </c>
      <c r="R72" s="100"/>
      <c r="S72" s="101">
        <f>+SUM(S55:S71)</f>
        <v>5466.32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3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3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0.85668608580419958</v>
      </c>
      <c r="F74" s="96">
        <f>F41+F54+F72</f>
        <v>172110.55291953406</v>
      </c>
      <c r="G74" s="97"/>
      <c r="H74" s="95"/>
      <c r="I74" s="96"/>
      <c r="J74" s="97" t="s">
        <v>38</v>
      </c>
      <c r="K74" s="95">
        <f>L74/L$27</f>
        <v>0.89509734987269907</v>
      </c>
      <c r="L74" s="96">
        <f>L41+L54+L72</f>
        <v>207056.47</v>
      </c>
      <c r="M74" s="100"/>
      <c r="N74" s="113">
        <f t="shared" ref="N74:N82" si="25">L74-F74</f>
        <v>34945.917080465937</v>
      </c>
      <c r="O74" s="97" t="s">
        <v>38</v>
      </c>
      <c r="P74" s="95">
        <f>Q74/Q$27</f>
        <v>0.69619522168214165</v>
      </c>
      <c r="Q74" s="96">
        <f>Q41+Q54+Q72</f>
        <v>157458.16000000003</v>
      </c>
      <c r="R74" s="100"/>
      <c r="S74" s="114">
        <f>L74-Q74</f>
        <v>49598.309999999969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3"/>
        <v>Véhicules neufsRBSC neuf</v>
      </c>
      <c r="B75" s="11" t="str">
        <f t="shared" si="0"/>
        <v>Véhicules neufs</v>
      </c>
      <c r="C75" s="29" t="s">
        <v>218</v>
      </c>
      <c r="D75" s="81"/>
      <c r="E75" s="13"/>
      <c r="F75" s="30">
        <v>43681.324615384634</v>
      </c>
      <c r="G75" s="83"/>
      <c r="H75" s="13"/>
      <c r="I75" s="30"/>
      <c r="J75" s="41"/>
      <c r="K75" s="13"/>
      <c r="L75" s="32">
        <v>57768.59</v>
      </c>
      <c r="M75" s="41"/>
      <c r="N75" s="59">
        <f t="shared" si="25"/>
        <v>14087.265384615363</v>
      </c>
      <c r="O75" s="41"/>
      <c r="P75" s="13"/>
      <c r="Q75" s="32">
        <v>38478.17</v>
      </c>
      <c r="R75" s="41"/>
      <c r="S75" s="85">
        <f>L75-Q75</f>
        <v>19290.419999999998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>
      <c r="A76" t="str">
        <f t="shared" si="23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5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>
      <c r="A77" t="str">
        <f t="shared" si="23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5"/>
        <v>0</v>
      </c>
      <c r="O77" s="41"/>
      <c r="P77" s="13"/>
      <c r="Q77" s="32">
        <v>0</v>
      </c>
      <c r="R77" s="41"/>
      <c r="S77" s="85">
        <f t="shared" ref="S77:S82" si="26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3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49921.513846153859</v>
      </c>
      <c r="G78" s="83"/>
      <c r="H78" s="13"/>
      <c r="I78" s="30"/>
      <c r="J78" s="41"/>
      <c r="K78" s="13"/>
      <c r="L78" s="33">
        <v>57980.4</v>
      </c>
      <c r="M78" s="41"/>
      <c r="N78" s="59">
        <f t="shared" si="25"/>
        <v>8058.8861538461424</v>
      </c>
      <c r="O78" s="41"/>
      <c r="P78" s="13"/>
      <c r="Q78" s="32">
        <v>57482.6</v>
      </c>
      <c r="R78" s="41"/>
      <c r="S78" s="85">
        <f t="shared" si="26"/>
        <v>497.80000000000291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5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5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5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161" si="27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17082.45</v>
      </c>
      <c r="G82" s="83"/>
      <c r="H82" s="13"/>
      <c r="I82" s="30"/>
      <c r="J82" s="41"/>
      <c r="K82" s="13"/>
      <c r="L82" s="32">
        <v>23800</v>
      </c>
      <c r="M82" s="41"/>
      <c r="N82" s="59">
        <f t="shared" si="25"/>
        <v>6717.5499999999993</v>
      </c>
      <c r="O82" s="41"/>
      <c r="P82" s="13"/>
      <c r="Q82" s="32">
        <v>18945</v>
      </c>
      <c r="R82" s="41"/>
      <c r="S82" s="85">
        <f t="shared" ref="S82:S87" si="28">L82-Q82</f>
        <v>4855</v>
      </c>
      <c r="T82" s="13"/>
      <c r="U82" s="13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7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110685.28846153848</v>
      </c>
      <c r="G83" s="97"/>
      <c r="H83" s="95"/>
      <c r="I83" s="96"/>
      <c r="J83" s="97"/>
      <c r="K83" s="95"/>
      <c r="L83" s="96">
        <f>+SUM(L75:L82)</f>
        <v>139548.99</v>
      </c>
      <c r="M83" s="100"/>
      <c r="N83" s="96">
        <f>+SUM(N75:N82)</f>
        <v>28863.701538461504</v>
      </c>
      <c r="O83" s="97"/>
      <c r="P83" s="95"/>
      <c r="Q83" s="96">
        <f>+SUM(Q75:Q82)</f>
        <v>114905.76999999999</v>
      </c>
      <c r="R83" s="100"/>
      <c r="S83" s="101">
        <f>+SUM(S75:S82)</f>
        <v>24643.22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7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7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139477.44164580229</v>
      </c>
      <c r="G85" s="128"/>
      <c r="H85" s="126"/>
      <c r="I85" s="127"/>
      <c r="J85" s="128"/>
      <c r="K85" s="125"/>
      <c r="L85" s="127">
        <f>L27-L74+L83</f>
        <v>163815.37000000011</v>
      </c>
      <c r="M85" s="128"/>
      <c r="N85" s="127">
        <f>N27-N41-N54-N72+N83</f>
        <v>24337.928354197851</v>
      </c>
      <c r="O85" s="128"/>
      <c r="P85" s="125"/>
      <c r="Q85" s="127">
        <f>Q27-Q74+Q83</f>
        <v>183617.15999999968</v>
      </c>
      <c r="R85" s="128"/>
      <c r="S85" s="129">
        <f>S27-S41-S54-S72+S83</f>
        <v>-19801.789999999586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Mai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63" t="s">
        <v>5</v>
      </c>
      <c r="E91" s="464"/>
      <c r="F91" s="465"/>
      <c r="G91" s="466"/>
      <c r="H91" s="464"/>
      <c r="I91" s="465"/>
      <c r="J91" s="466" t="s">
        <v>7</v>
      </c>
      <c r="K91" s="464"/>
      <c r="L91" s="465"/>
      <c r="M91" s="466" t="s">
        <v>213</v>
      </c>
      <c r="N91" s="465"/>
      <c r="O91" s="463" t="s">
        <v>8</v>
      </c>
      <c r="P91" s="464"/>
      <c r="Q91" s="465"/>
      <c r="R91" s="470" t="s">
        <v>214</v>
      </c>
      <c r="S91" s="471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219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9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1890275.8620689656</v>
      </c>
      <c r="G93" s="46"/>
      <c r="H93" s="25"/>
      <c r="I93" s="22"/>
      <c r="J93" s="23"/>
      <c r="K93" s="25"/>
      <c r="L93" s="22">
        <v>1654438.7499999998</v>
      </c>
      <c r="M93" s="137"/>
      <c r="N93" s="138"/>
      <c r="O93" s="23"/>
      <c r="P93" s="25"/>
      <c r="Q93" s="22">
        <v>1602636.35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9"/>
        <v>Véhicules usagésCertifié</v>
      </c>
      <c r="B94" s="11" t="s">
        <v>70</v>
      </c>
      <c r="C94" s="29" t="s">
        <v>72</v>
      </c>
      <c r="D94" s="30">
        <v>8</v>
      </c>
      <c r="E94" s="30">
        <f>IF(D94=0,0,F94/D94)</f>
        <v>3000</v>
      </c>
      <c r="F94" s="30">
        <v>24000</v>
      </c>
      <c r="G94" s="31"/>
      <c r="H94" s="30"/>
      <c r="I94" s="30"/>
      <c r="J94" s="31">
        <v>6</v>
      </c>
      <c r="K94" s="30">
        <f>IF(J94=0,0,L94/J94)</f>
        <v>1976.7783333333361</v>
      </c>
      <c r="L94" s="33">
        <v>11860.670000000016</v>
      </c>
      <c r="M94" s="31">
        <f>J94-D94</f>
        <v>-2</v>
      </c>
      <c r="N94" s="33">
        <f>L94-F94</f>
        <v>-12139.329999999984</v>
      </c>
      <c r="O94" s="31">
        <v>5</v>
      </c>
      <c r="P94" s="30">
        <f t="shared" ref="P94:P96" si="30">IF(O94=0,0,Q94/O94)</f>
        <v>2240.6879999999801</v>
      </c>
      <c r="Q94" s="33">
        <v>11203.4399999999</v>
      </c>
      <c r="R94" s="31">
        <f>J94-O94</f>
        <v>1</v>
      </c>
      <c r="S94" s="34">
        <f>L94-Q94</f>
        <v>657.23000000011598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9"/>
        <v>Véhicules usagésNon Certifié</v>
      </c>
      <c r="B95" s="11" t="s">
        <v>70</v>
      </c>
      <c r="C95" s="29" t="s">
        <v>73</v>
      </c>
      <c r="D95" s="30">
        <v>6</v>
      </c>
      <c r="E95" s="30">
        <f t="shared" ref="E95:E105" si="31">IF(D95=0,0,F95/D95)</f>
        <v>2200</v>
      </c>
      <c r="F95" s="30">
        <v>13200</v>
      </c>
      <c r="G95" s="31"/>
      <c r="H95" s="30"/>
      <c r="I95" s="30"/>
      <c r="J95" s="31">
        <v>13</v>
      </c>
      <c r="K95" s="30">
        <f>IF(J95=0,0,L95/J95)</f>
        <v>1923.2669230769243</v>
      </c>
      <c r="L95" s="32">
        <v>25002.470000000016</v>
      </c>
      <c r="M95" s="31">
        <f>J95-D95</f>
        <v>7</v>
      </c>
      <c r="N95" s="33">
        <f>L95-F95</f>
        <v>11802.470000000016</v>
      </c>
      <c r="O95" s="31">
        <v>15</v>
      </c>
      <c r="P95" s="30">
        <f t="shared" si="30"/>
        <v>2698.6186666666667</v>
      </c>
      <c r="Q95" s="32">
        <v>40479.279999999999</v>
      </c>
      <c r="R95" s="31">
        <f>J95-O95</f>
        <v>-2</v>
      </c>
      <c r="S95" s="34">
        <f>L95-Q95</f>
        <v>-15476.809999999983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9"/>
        <v>Véhicules usagésAutres marques</v>
      </c>
      <c r="B96" s="11" t="s">
        <v>70</v>
      </c>
      <c r="C96" s="29" t="s">
        <v>207</v>
      </c>
      <c r="D96" s="30">
        <v>10</v>
      </c>
      <c r="E96" s="25">
        <f t="shared" si="31"/>
        <v>1850</v>
      </c>
      <c r="F96" s="30">
        <v>18500</v>
      </c>
      <c r="G96" s="31"/>
      <c r="H96" s="30"/>
      <c r="I96" s="30"/>
      <c r="J96" s="31">
        <v>5</v>
      </c>
      <c r="K96" s="30">
        <f>IF(J96=0,0,L96/J96)</f>
        <v>981.52599999999916</v>
      </c>
      <c r="L96" s="32">
        <v>4907.6299999999956</v>
      </c>
      <c r="M96" s="31">
        <f>J96-D96</f>
        <v>-5</v>
      </c>
      <c r="N96" s="33">
        <f>L96-F96</f>
        <v>-13592.370000000004</v>
      </c>
      <c r="O96" s="31">
        <v>0</v>
      </c>
      <c r="P96" s="30">
        <f t="shared" si="30"/>
        <v>0</v>
      </c>
      <c r="Q96" s="32">
        <v>0</v>
      </c>
      <c r="R96" s="31">
        <f>J96-O96</f>
        <v>5</v>
      </c>
      <c r="S96" s="34">
        <f>L96-Q96</f>
        <v>4907.6299999999956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9"/>
        <v>Véhicules usagésTotal Usagés</v>
      </c>
      <c r="B97" s="11" t="s">
        <v>70</v>
      </c>
      <c r="C97" s="35" t="s">
        <v>74</v>
      </c>
      <c r="D97" s="36">
        <f>+D95+D94+D96</f>
        <v>24</v>
      </c>
      <c r="E97" s="30">
        <f t="shared" si="31"/>
        <v>2320.8333333333335</v>
      </c>
      <c r="F97" s="37">
        <f>+F94+F95+F96</f>
        <v>55700</v>
      </c>
      <c r="G97" s="38"/>
      <c r="H97" s="36"/>
      <c r="I97" s="37"/>
      <c r="J97" s="38">
        <f>+J94+J95+J96</f>
        <v>24</v>
      </c>
      <c r="K97" s="36">
        <f>IF(J97&lt;=0,0,L97/J97)</f>
        <v>1740.4487500000012</v>
      </c>
      <c r="L97" s="37">
        <f>+L94+L95+L96</f>
        <v>41770.770000000026</v>
      </c>
      <c r="M97" s="38">
        <f>J97-D97</f>
        <v>0</v>
      </c>
      <c r="N97" s="37">
        <f>L97-F97</f>
        <v>-13929.229999999974</v>
      </c>
      <c r="O97" s="38">
        <f>+O95+O94+O96</f>
        <v>20</v>
      </c>
      <c r="P97" s="36">
        <f>IF(O97=0,0,Q97/O97)</f>
        <v>2584.135999999995</v>
      </c>
      <c r="Q97" s="37">
        <f>+Q94+Q95+Q96</f>
        <v>51682.719999999899</v>
      </c>
      <c r="R97" s="38">
        <f>R94+R95</f>
        <v>-1</v>
      </c>
      <c r="S97" s="39">
        <f>S94+S95</f>
        <v>-14819.579999999867</v>
      </c>
      <c r="T97" s="13"/>
      <c r="U97" s="13"/>
      <c r="V97" s="13"/>
      <c r="W97" s="478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9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0</v>
      </c>
      <c r="N98" s="43">
        <f>N97/F97</f>
        <v>-0.25007594254937116</v>
      </c>
      <c r="O98" s="41"/>
      <c r="P98" s="13"/>
      <c r="Q98" s="40"/>
      <c r="R98" s="42">
        <f>R97/O97</f>
        <v>-0.05</v>
      </c>
      <c r="S98" s="44">
        <f>IF(Q97=0,0,(S97/Q97))</f>
        <v>-0.2867414872901406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9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9"/>
        <v>Véhicules usagésVentes au Gros</v>
      </c>
      <c r="B100" s="11" t="s">
        <v>70</v>
      </c>
      <c r="C100" s="29" t="s">
        <v>75</v>
      </c>
      <c r="D100" s="30">
        <v>26</v>
      </c>
      <c r="E100" s="30">
        <f t="shared" si="31"/>
        <v>375</v>
      </c>
      <c r="F100" s="30">
        <v>9750</v>
      </c>
      <c r="G100" s="31"/>
      <c r="H100" s="30"/>
      <c r="I100" s="30"/>
      <c r="J100" s="31">
        <v>21</v>
      </c>
      <c r="K100" s="30">
        <f>IF(J100=0,0,L100/J100)</f>
        <v>72.271428571431898</v>
      </c>
      <c r="L100" s="33">
        <v>1517.7000000000698</v>
      </c>
      <c r="M100" s="31">
        <f>J100-D100</f>
        <v>-5</v>
      </c>
      <c r="N100" s="33">
        <f>L100-F100</f>
        <v>-8232.2999999999302</v>
      </c>
      <c r="O100" s="31">
        <v>26</v>
      </c>
      <c r="P100" s="30">
        <f>IF(O100=0,0,Q100/O100)</f>
        <v>11.195384615387461</v>
      </c>
      <c r="Q100" s="33">
        <v>291.08000000007399</v>
      </c>
      <c r="R100" s="31">
        <f>J100-O100</f>
        <v>-5</v>
      </c>
      <c r="S100" s="34">
        <f>L100-Q100</f>
        <v>1226.6199999999958</v>
      </c>
      <c r="T100" s="13"/>
      <c r="U100" s="13"/>
      <c r="V100" s="13"/>
      <c r="W100" s="478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9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9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12" si="32">IF(D102=0,0,F102/D102)</f>
        <v>0</v>
      </c>
      <c r="F102" s="33">
        <v>14400</v>
      </c>
      <c r="G102" s="31"/>
      <c r="H102" s="30"/>
      <c r="I102" s="30"/>
      <c r="J102" s="31"/>
      <c r="K102" s="30">
        <f>IF(J97=0,0,L102/J97)</f>
        <v>327.625</v>
      </c>
      <c r="L102" s="33">
        <v>7863</v>
      </c>
      <c r="M102" s="31"/>
      <c r="N102" s="33">
        <f>L102-F102</f>
        <v>-6537</v>
      </c>
      <c r="O102" s="31"/>
      <c r="P102" s="30"/>
      <c r="Q102" s="33">
        <v>16734.349999999999</v>
      </c>
      <c r="R102" s="31">
        <f>O102-K102</f>
        <v>-327.625</v>
      </c>
      <c r="S102" s="34">
        <f>L102-Q102</f>
        <v>-8871.3499999999985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9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2"/>
        <v>0</v>
      </c>
      <c r="F103" s="33">
        <v>21120</v>
      </c>
      <c r="G103" s="31"/>
      <c r="H103" s="30"/>
      <c r="I103" s="30"/>
      <c r="J103" s="31"/>
      <c r="K103" s="30">
        <f>IF(J97=0,0,L103/J97)</f>
        <v>1132.5679166666666</v>
      </c>
      <c r="L103" s="33">
        <v>27181.63</v>
      </c>
      <c r="M103" s="31"/>
      <c r="N103" s="33">
        <f>L103-F103</f>
        <v>6061.630000000001</v>
      </c>
      <c r="O103" s="31"/>
      <c r="P103" s="30"/>
      <c r="Q103" s="33">
        <v>17178.04</v>
      </c>
      <c r="R103" s="31">
        <f>O103-K103</f>
        <v>-1132.5679166666666</v>
      </c>
      <c r="S103" s="34">
        <f>L103-Q103</f>
        <v>10003.59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9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2"/>
        <v>0</v>
      </c>
      <c r="F104" s="33">
        <v>4080</v>
      </c>
      <c r="G104" s="31"/>
      <c r="H104" s="47"/>
      <c r="I104" s="30"/>
      <c r="J104" s="31"/>
      <c r="K104" s="47">
        <f>IF(J97=0,0,L104/J97)</f>
        <v>153.58333333333334</v>
      </c>
      <c r="L104" s="33">
        <v>3686</v>
      </c>
      <c r="M104" s="51"/>
      <c r="N104" s="33">
        <f>L104-F104</f>
        <v>-394</v>
      </c>
      <c r="O104" s="31"/>
      <c r="P104" s="47"/>
      <c r="Q104" s="33">
        <v>4058.5</v>
      </c>
      <c r="R104" s="31">
        <f>O104-K104</f>
        <v>-153.58333333333334</v>
      </c>
      <c r="S104" s="34">
        <f>L104-Q104</f>
        <v>-372.5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9"/>
        <v>Véhicules usagésTotal F&amp;I</v>
      </c>
      <c r="B105" s="11" t="s">
        <v>70</v>
      </c>
      <c r="C105" s="35" t="s">
        <v>27</v>
      </c>
      <c r="D105" s="36">
        <f>D97</f>
        <v>24</v>
      </c>
      <c r="E105" s="30">
        <f t="shared" si="32"/>
        <v>1650</v>
      </c>
      <c r="F105" s="37">
        <f>F102+F103+F104</f>
        <v>39600</v>
      </c>
      <c r="G105" s="38"/>
      <c r="H105" s="36"/>
      <c r="I105" s="37"/>
      <c r="J105" s="38">
        <f>J97</f>
        <v>24</v>
      </c>
      <c r="K105" s="36">
        <f>IF(J105&lt;=0,0,L105/J105)</f>
        <v>1613.7762500000001</v>
      </c>
      <c r="L105" s="37">
        <f>L102+L103+L104</f>
        <v>38730.630000000005</v>
      </c>
      <c r="M105" s="31">
        <f>J105-D105</f>
        <v>0</v>
      </c>
      <c r="N105" s="37">
        <f>L105-F105</f>
        <v>-869.36999999999534</v>
      </c>
      <c r="O105" s="38">
        <f>O97</f>
        <v>20</v>
      </c>
      <c r="P105" s="36">
        <f t="shared" ref="P105" si="33">IF(O105=0,0,Q105/O105)</f>
        <v>1898.5445</v>
      </c>
      <c r="Q105" s="37">
        <f>Q102+Q103+Q104</f>
        <v>37970.89</v>
      </c>
      <c r="R105" s="56"/>
      <c r="S105" s="39">
        <f>L105-Q105</f>
        <v>759.74000000000524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9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-2.195378787878776E-2</v>
      </c>
      <c r="O106" s="41"/>
      <c r="P106" s="13"/>
      <c r="Q106" s="59"/>
      <c r="R106" s="60"/>
      <c r="S106" s="44">
        <f>IF(Q105=0,0,(S105/Q105))</f>
        <v>2.0008485447668076E-2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9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9"/>
        <v>Véhicules usagésTotal Dépt. Usagés</v>
      </c>
      <c r="B108" s="11" t="s">
        <v>70</v>
      </c>
      <c r="C108" s="62" t="s">
        <v>76</v>
      </c>
      <c r="D108" s="63">
        <f>D97+D100</f>
        <v>50</v>
      </c>
      <c r="E108" s="67">
        <f>IF(D108&lt;=0,0,F108/D108)</f>
        <v>2101</v>
      </c>
      <c r="F108" s="65">
        <f>F97+F105+F100</f>
        <v>105050</v>
      </c>
      <c r="G108" s="66"/>
      <c r="H108" s="67"/>
      <c r="I108" s="65"/>
      <c r="J108" s="66">
        <f>J97+J100</f>
        <v>45</v>
      </c>
      <c r="K108" s="67">
        <f>IF(J108&lt;=0,0,L108/J108)</f>
        <v>1822.6466666666688</v>
      </c>
      <c r="L108" s="65">
        <f>L97+L105+L100</f>
        <v>82019.100000000093</v>
      </c>
      <c r="M108" s="66">
        <f>J108-D108</f>
        <v>-5</v>
      </c>
      <c r="N108" s="65">
        <f>L108-F108</f>
        <v>-23030.899999999907</v>
      </c>
      <c r="O108" s="66">
        <f>O97+O100</f>
        <v>46</v>
      </c>
      <c r="P108" s="67">
        <f>IF(O108&lt;=0,0,Q108/O108)</f>
        <v>1955.3193478260864</v>
      </c>
      <c r="Q108" s="65">
        <f>Q97+Q105+Q100</f>
        <v>89944.689999999973</v>
      </c>
      <c r="R108" s="66">
        <f>J108-O108</f>
        <v>-1</v>
      </c>
      <c r="S108" s="68">
        <f>L108-Q108</f>
        <v>-7925.5899999998801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9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-0.1</v>
      </c>
      <c r="N109" s="74">
        <f>N108/F108</f>
        <v>-0.21923750594954694</v>
      </c>
      <c r="O109" s="72"/>
      <c r="P109" s="70"/>
      <c r="Q109" s="71"/>
      <c r="R109" s="73">
        <f>O108/R108</f>
        <v>-46</v>
      </c>
      <c r="S109" s="145">
        <f>IF(Q108=0,0,(S108/Q108))</f>
        <v>-8.8116263450348009E-2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9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9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9"/>
        <v>Véhicules usagésComm. vendeurs</v>
      </c>
      <c r="B112" s="11" t="s">
        <v>70</v>
      </c>
      <c r="C112" s="29" t="s">
        <v>30</v>
      </c>
      <c r="D112" s="148">
        <f>F112/(F97+F105)</f>
        <v>0.1921060852430653</v>
      </c>
      <c r="E112" s="82">
        <f t="shared" ref="E112:E121" si="34">F112/D$97</f>
        <v>762.8212468193384</v>
      </c>
      <c r="F112" s="30">
        <v>18307.709923664122</v>
      </c>
      <c r="G112" s="157"/>
      <c r="H112" s="82"/>
      <c r="I112" s="30"/>
      <c r="J112" s="157">
        <f>L112/L97</f>
        <v>0.35446557485054719</v>
      </c>
      <c r="K112" s="82">
        <f>IF($J$97=0,0,L112/(J$94+J$95+J96))</f>
        <v>616.92916666666667</v>
      </c>
      <c r="L112" s="33">
        <v>14806.3</v>
      </c>
      <c r="M112" s="41"/>
      <c r="N112" s="59">
        <f t="shared" ref="N112:N153" si="35">L112-F112</f>
        <v>-3501.4099236641232</v>
      </c>
      <c r="O112" s="157">
        <f>Q112/Q97</f>
        <v>0.26773126491794602</v>
      </c>
      <c r="P112" s="82">
        <f t="shared" ref="P112:P121" si="36">Q112/O$97</f>
        <v>691.85400000000004</v>
      </c>
      <c r="Q112" s="33">
        <v>13837.08</v>
      </c>
      <c r="R112" s="41"/>
      <c r="S112" s="85">
        <f t="shared" ref="S112:S122" si="37">L112-Q112</f>
        <v>969.21999999999935</v>
      </c>
      <c r="T112" s="13"/>
      <c r="U112" s="13"/>
      <c r="V112" s="11" t="s">
        <v>253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9"/>
        <v>Véhicules usagésComm. F&amp;I</v>
      </c>
      <c r="B113" s="11" t="s">
        <v>70</v>
      </c>
      <c r="C113" s="86" t="s">
        <v>31</v>
      </c>
      <c r="D113" s="218">
        <f>F113/(F105+F19)</f>
        <v>0.21415102922756268</v>
      </c>
      <c r="E113" s="88">
        <f t="shared" si="34"/>
        <v>412.5</v>
      </c>
      <c r="F113" s="22">
        <v>9900</v>
      </c>
      <c r="G113" s="162"/>
      <c r="H113" s="88"/>
      <c r="I113" s="22"/>
      <c r="J113" s="162">
        <f>L113/L105</f>
        <v>0.38147223528251406</v>
      </c>
      <c r="K113" s="88">
        <f>IF($J$97=0,0,L113/(J$94+J$95+J96))</f>
        <v>615.61083333333329</v>
      </c>
      <c r="L113" s="33">
        <v>14774.66</v>
      </c>
      <c r="M113" s="23"/>
      <c r="N113" s="91">
        <f t="shared" si="35"/>
        <v>4874.66</v>
      </c>
      <c r="O113" s="162">
        <f>Q113/(Q105+Q19)</f>
        <v>0.1956732554292433</v>
      </c>
      <c r="P113" s="88">
        <f t="shared" si="36"/>
        <v>454.80550000000005</v>
      </c>
      <c r="Q113" s="33">
        <v>9096.11</v>
      </c>
      <c r="R113" s="23"/>
      <c r="S113" s="92">
        <f t="shared" si="37"/>
        <v>5678.5499999999993</v>
      </c>
      <c r="T113" s="13"/>
      <c r="U113" s="13"/>
      <c r="V113" s="11" t="s">
        <v>252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9"/>
        <v>Véhicules usagésFrais de livraison</v>
      </c>
      <c r="B114" s="11" t="s">
        <v>70</v>
      </c>
      <c r="C114" s="29" t="s">
        <v>32</v>
      </c>
      <c r="D114" s="81"/>
      <c r="E114" s="82">
        <f t="shared" si="34"/>
        <v>110</v>
      </c>
      <c r="F114" s="30">
        <v>2640</v>
      </c>
      <c r="G114" s="83"/>
      <c r="H114" s="82"/>
      <c r="I114" s="30"/>
      <c r="J114" s="41"/>
      <c r="K114" s="82">
        <f>IF($J$97=0,0,L114/(J$94+J$95+J96))</f>
        <v>96.757499999999993</v>
      </c>
      <c r="L114" s="108">
        <v>2322.1799999999998</v>
      </c>
      <c r="M114" s="41"/>
      <c r="N114" s="59">
        <f t="shared" si="35"/>
        <v>-317.82000000000016</v>
      </c>
      <c r="O114" s="41"/>
      <c r="P114" s="82">
        <f t="shared" si="36"/>
        <v>72.029499999999999</v>
      </c>
      <c r="Q114" s="108">
        <v>1440.59</v>
      </c>
      <c r="R114" s="41"/>
      <c r="S114" s="85">
        <f t="shared" si="37"/>
        <v>881.58999999999992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9"/>
        <v>Véhicules usagésService gratuit 1</v>
      </c>
      <c r="B115" s="11" t="s">
        <v>70</v>
      </c>
      <c r="C115" s="29" t="s">
        <v>33</v>
      </c>
      <c r="D115" s="81"/>
      <c r="E115" s="82">
        <f t="shared" si="34"/>
        <v>90</v>
      </c>
      <c r="F115" s="30">
        <v>2160</v>
      </c>
      <c r="G115" s="83"/>
      <c r="H115" s="82"/>
      <c r="I115" s="30"/>
      <c r="J115" s="41"/>
      <c r="K115" s="82">
        <f>IF($J$97=0,0,L115/(J$94+J$95+J96))</f>
        <v>112.935</v>
      </c>
      <c r="L115" s="33">
        <v>2710.44</v>
      </c>
      <c r="M115" s="41"/>
      <c r="N115" s="59">
        <f t="shared" si="35"/>
        <v>550.44000000000005</v>
      </c>
      <c r="O115" s="41"/>
      <c r="P115" s="82">
        <f t="shared" si="36"/>
        <v>244.64150000000001</v>
      </c>
      <c r="Q115" s="33">
        <v>4892.83</v>
      </c>
      <c r="R115" s="41"/>
      <c r="S115" s="85">
        <f t="shared" si="37"/>
        <v>-2182.39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9"/>
        <v>Véhicules usagésEntretien stock</v>
      </c>
      <c r="B116" s="11" t="s">
        <v>70</v>
      </c>
      <c r="C116" s="86" t="s">
        <v>34</v>
      </c>
      <c r="D116" s="87"/>
      <c r="E116" s="88">
        <f t="shared" si="34"/>
        <v>91.666666666666671</v>
      </c>
      <c r="F116" s="22">
        <v>2200</v>
      </c>
      <c r="G116" s="89"/>
      <c r="H116" s="88"/>
      <c r="I116" s="22"/>
      <c r="J116" s="23"/>
      <c r="K116" s="88">
        <f>IF($J$97=0,0,L116/(J$94+J$95+J96))</f>
        <v>91.784166666666678</v>
      </c>
      <c r="L116" s="48">
        <v>2202.8200000000002</v>
      </c>
      <c r="M116" s="23"/>
      <c r="N116" s="91">
        <f t="shared" si="35"/>
        <v>2.8200000000001637</v>
      </c>
      <c r="O116" s="23"/>
      <c r="P116" s="88">
        <f t="shared" si="36"/>
        <v>95.619</v>
      </c>
      <c r="Q116" s="48">
        <v>1912.38</v>
      </c>
      <c r="R116" s="23"/>
      <c r="S116" s="92">
        <f t="shared" si="37"/>
        <v>290.44000000000005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9"/>
        <v>Véhicules usagésPublicité 1</v>
      </c>
      <c r="B117" s="11" t="s">
        <v>70</v>
      </c>
      <c r="C117" s="29" t="s">
        <v>35</v>
      </c>
      <c r="D117" s="81"/>
      <c r="E117" s="82">
        <f t="shared" si="34"/>
        <v>251.50347222222226</v>
      </c>
      <c r="F117" s="30">
        <v>6036.0833333333339</v>
      </c>
      <c r="G117" s="83"/>
      <c r="H117" s="82"/>
      <c r="I117" s="30"/>
      <c r="J117" s="41"/>
      <c r="K117" s="82">
        <f>IF($J$97=0,0,L117/(J$94+J$95+J96))</f>
        <v>314.72666666666669</v>
      </c>
      <c r="L117" s="33">
        <v>7553.4400000000005</v>
      </c>
      <c r="M117" s="41"/>
      <c r="N117" s="59">
        <f t="shared" si="35"/>
        <v>1517.3566666666666</v>
      </c>
      <c r="O117" s="41"/>
      <c r="P117" s="82">
        <f t="shared" si="36"/>
        <v>254.26350000000002</v>
      </c>
      <c r="Q117" s="33">
        <v>5085.2700000000004</v>
      </c>
      <c r="R117" s="41"/>
      <c r="S117" s="85">
        <f t="shared" si="37"/>
        <v>2468.17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4"/>
        <v>374.36485943136358</v>
      </c>
      <c r="F118" s="30">
        <v>8984.756626352726</v>
      </c>
      <c r="G118" s="83"/>
      <c r="H118" s="82"/>
      <c r="I118" s="30"/>
      <c r="J118" s="41"/>
      <c r="K118" s="82">
        <f>IF($J$97=0,0,L118/(J$94+J$95+J96))</f>
        <v>386.935</v>
      </c>
      <c r="L118" s="33">
        <v>9286.44</v>
      </c>
      <c r="M118" s="41"/>
      <c r="N118" s="59">
        <f t="shared" si="35"/>
        <v>301.68337364727449</v>
      </c>
      <c r="O118" s="41"/>
      <c r="P118" s="82">
        <f t="shared" si="36"/>
        <v>254.708</v>
      </c>
      <c r="Q118" s="33">
        <v>5094.16</v>
      </c>
      <c r="R118" s="41"/>
      <c r="S118" s="85">
        <f>L118-Q118</f>
        <v>4192.2800000000007</v>
      </c>
      <c r="T118" s="13"/>
      <c r="U118" s="13"/>
      <c r="V118" s="13">
        <v>9286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4"/>
        <v>0</v>
      </c>
      <c r="F119" s="30">
        <v>0</v>
      </c>
      <c r="G119" s="83"/>
      <c r="H119" s="82"/>
      <c r="I119" s="30"/>
      <c r="J119" s="41"/>
      <c r="K119" s="82">
        <f t="shared" ref="K119:K121" si="38">IF($J$97=0,0,L119/(J$94+J$95))</f>
        <v>0</v>
      </c>
      <c r="L119" s="33">
        <v>0</v>
      </c>
      <c r="M119" s="41"/>
      <c r="N119" s="59">
        <f t="shared" si="35"/>
        <v>0</v>
      </c>
      <c r="O119" s="41"/>
      <c r="P119" s="82">
        <f t="shared" si="36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4"/>
        <v>0</v>
      </c>
      <c r="F120" s="30">
        <v>0</v>
      </c>
      <c r="G120" s="83"/>
      <c r="H120" s="82"/>
      <c r="I120" s="30"/>
      <c r="J120" s="41"/>
      <c r="K120" s="82">
        <f t="shared" si="38"/>
        <v>0</v>
      </c>
      <c r="L120" s="33">
        <v>0</v>
      </c>
      <c r="M120" s="41"/>
      <c r="N120" s="59">
        <f t="shared" si="35"/>
        <v>0</v>
      </c>
      <c r="O120" s="41"/>
      <c r="P120" s="82">
        <f t="shared" si="36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4"/>
        <v>0</v>
      </c>
      <c r="F121" s="30">
        <v>0</v>
      </c>
      <c r="G121" s="83"/>
      <c r="H121" s="82"/>
      <c r="I121" s="30"/>
      <c r="J121" s="41"/>
      <c r="K121" s="82">
        <f t="shared" si="38"/>
        <v>0</v>
      </c>
      <c r="L121" s="33">
        <v>0</v>
      </c>
      <c r="M121" s="41"/>
      <c r="N121" s="59">
        <f t="shared" si="35"/>
        <v>0</v>
      </c>
      <c r="O121" s="41"/>
      <c r="P121" s="82">
        <f t="shared" si="36"/>
        <v>0</v>
      </c>
      <c r="Q121" s="33">
        <v>0</v>
      </c>
      <c r="R121" s="41"/>
      <c r="S121" s="85">
        <f t="shared" ref="S121:S131" si="39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87" si="40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0.47813945629081567</v>
      </c>
      <c r="F122" s="96">
        <f>SUM(F112:F121)</f>
        <v>50228.549883350184</v>
      </c>
      <c r="G122" s="97"/>
      <c r="H122" s="95"/>
      <c r="I122" s="96"/>
      <c r="J122" s="97" t="s">
        <v>38</v>
      </c>
      <c r="K122" s="95">
        <f>L122/L$108</f>
        <v>0.65419249906424171</v>
      </c>
      <c r="L122" s="96">
        <f>SUM(L112:L121)</f>
        <v>53656.280000000006</v>
      </c>
      <c r="M122" s="100"/>
      <c r="N122" s="96">
        <f t="shared" si="35"/>
        <v>3427.7301166498219</v>
      </c>
      <c r="O122" s="97" t="s">
        <v>38</v>
      </c>
      <c r="P122" s="95">
        <f>Q122/Q$108</f>
        <v>0.4598205852952521</v>
      </c>
      <c r="Q122" s="96">
        <f>SUM(Q112:Q121)</f>
        <v>41358.42</v>
      </c>
      <c r="R122" s="100"/>
      <c r="S122" s="101">
        <f t="shared" si="39"/>
        <v>12297.860000000008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40"/>
        <v>Véhicules usagésSalaires cadres</v>
      </c>
      <c r="B123" s="11" t="s">
        <v>70</v>
      </c>
      <c r="C123" s="102" t="s">
        <v>40</v>
      </c>
      <c r="D123" s="13"/>
      <c r="E123" s="13"/>
      <c r="F123" s="30">
        <v>5133.4486005089057</v>
      </c>
      <c r="G123" s="41"/>
      <c r="H123" s="13"/>
      <c r="I123" s="30"/>
      <c r="J123" s="41"/>
      <c r="K123" s="13"/>
      <c r="L123" s="33">
        <v>4429.1499999999996</v>
      </c>
      <c r="M123" s="41"/>
      <c r="N123" s="59">
        <f t="shared" si="35"/>
        <v>-704.29860050890602</v>
      </c>
      <c r="O123" s="41"/>
      <c r="P123" s="13"/>
      <c r="Q123" s="33">
        <v>1417.1</v>
      </c>
      <c r="R123" s="41"/>
      <c r="S123" s="85">
        <f t="shared" si="39"/>
        <v>3012.0499999999997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0"/>
        <v>Véhicules usagésSalaires commis</v>
      </c>
      <c r="B124" s="11" t="s">
        <v>70</v>
      </c>
      <c r="C124" s="103" t="s">
        <v>41</v>
      </c>
      <c r="D124" s="81"/>
      <c r="E124" s="13"/>
      <c r="F124" s="22">
        <v>2825.1366412213742</v>
      </c>
      <c r="G124" s="83"/>
      <c r="H124" s="13"/>
      <c r="I124" s="22"/>
      <c r="J124" s="41"/>
      <c r="K124" s="13"/>
      <c r="L124" s="22">
        <v>3118.35</v>
      </c>
      <c r="M124" s="41"/>
      <c r="N124" s="59">
        <f t="shared" si="35"/>
        <v>293.21335877862566</v>
      </c>
      <c r="O124" s="41"/>
      <c r="P124" s="13"/>
      <c r="Q124" s="22">
        <v>7797.28</v>
      </c>
      <c r="R124" s="41"/>
      <c r="S124" s="85">
        <f t="shared" si="39"/>
        <v>-4678.93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0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5"/>
        <v>0</v>
      </c>
      <c r="O125" s="107"/>
      <c r="P125" s="105"/>
      <c r="Q125" s="33">
        <v>2809</v>
      </c>
      <c r="R125" s="107"/>
      <c r="S125" s="110">
        <f t="shared" si="39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4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5"/>
        <v>0</v>
      </c>
      <c r="O126" s="41"/>
      <c r="P126" s="13"/>
      <c r="Q126" s="33">
        <v>0</v>
      </c>
      <c r="R126" s="41"/>
      <c r="S126" s="85">
        <f t="shared" si="39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5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5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5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95" si="41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4179.580023661676</v>
      </c>
      <c r="G130" s="83"/>
      <c r="H130" s="13"/>
      <c r="I130" s="30"/>
      <c r="J130" s="41"/>
      <c r="K130" s="13"/>
      <c r="L130" s="33">
        <v>4551.4399999999996</v>
      </c>
      <c r="M130" s="41"/>
      <c r="N130" s="59">
        <f t="shared" si="35"/>
        <v>371.85997633832358</v>
      </c>
      <c r="O130" s="41"/>
      <c r="P130" s="13"/>
      <c r="Q130" s="33">
        <v>5847.62</v>
      </c>
      <c r="R130" s="41"/>
      <c r="S130" s="85">
        <f>L130-Q130</f>
        <v>-1296.1800000000003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41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5471.9604188931298</v>
      </c>
      <c r="G131" s="106"/>
      <c r="H131" s="105"/>
      <c r="I131" s="54"/>
      <c r="J131" s="107"/>
      <c r="K131" s="105"/>
      <c r="L131" s="55">
        <v>6104.86</v>
      </c>
      <c r="M131" s="107"/>
      <c r="N131" s="109">
        <f t="shared" si="35"/>
        <v>632.89958110686985</v>
      </c>
      <c r="O131" s="107"/>
      <c r="P131" s="105"/>
      <c r="Q131" s="55">
        <v>7130.69</v>
      </c>
      <c r="R131" s="107"/>
      <c r="S131" s="110">
        <f t="shared" ref="S131:S148" si="42">L131-Q131</f>
        <v>-1025.83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41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2513.048488676845</v>
      </c>
      <c r="G132" s="83"/>
      <c r="H132" s="13"/>
      <c r="I132" s="30"/>
      <c r="J132" s="41"/>
      <c r="K132" s="13"/>
      <c r="L132" s="33">
        <v>2606.46</v>
      </c>
      <c r="M132" s="41"/>
      <c r="N132" s="59">
        <f t="shared" si="35"/>
        <v>93.411511323155082</v>
      </c>
      <c r="O132" s="41"/>
      <c r="P132" s="13"/>
      <c r="Q132" s="33">
        <v>2501.83</v>
      </c>
      <c r="R132" s="41"/>
      <c r="S132" s="85">
        <f t="shared" si="42"/>
        <v>104.63000000000011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41"/>
        <v>Véhicules usagésCsst</v>
      </c>
      <c r="B133" s="11" t="s">
        <v>70</v>
      </c>
      <c r="C133" s="102" t="s">
        <v>47</v>
      </c>
      <c r="D133" s="81"/>
      <c r="E133" s="13"/>
      <c r="F133" s="30">
        <v>567.46256195928754</v>
      </c>
      <c r="G133" s="83"/>
      <c r="H133" s="13"/>
      <c r="I133" s="30"/>
      <c r="J133" s="41"/>
      <c r="K133" s="13"/>
      <c r="L133" s="33">
        <v>871.7</v>
      </c>
      <c r="M133" s="41"/>
      <c r="N133" s="59">
        <f t="shared" si="35"/>
        <v>304.2374380407125</v>
      </c>
      <c r="O133" s="41"/>
      <c r="P133" s="13"/>
      <c r="Q133" s="33">
        <v>886.59</v>
      </c>
      <c r="R133" s="41"/>
      <c r="S133" s="85">
        <f t="shared" si="42"/>
        <v>-14.889999999999986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41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5"/>
        <v>0</v>
      </c>
      <c r="O134" s="23"/>
      <c r="P134" s="111"/>
      <c r="Q134" s="33">
        <v>0</v>
      </c>
      <c r="R134" s="23"/>
      <c r="S134" s="92">
        <f t="shared" si="42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41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0.22369954055136812</v>
      </c>
      <c r="F135" s="96">
        <f>+SUM(F123:F134)</f>
        <v>23499.63673492122</v>
      </c>
      <c r="G135" s="97"/>
      <c r="H135" s="95"/>
      <c r="I135" s="96"/>
      <c r="J135" s="97" t="s">
        <v>38</v>
      </c>
      <c r="K135" s="95">
        <f>L135/L$108</f>
        <v>0.2986006917900827</v>
      </c>
      <c r="L135" s="96">
        <f>SUM(L123:L134)</f>
        <v>24490.959999999999</v>
      </c>
      <c r="M135" s="479"/>
      <c r="N135" s="480">
        <f t="shared" si="35"/>
        <v>991.32326507877951</v>
      </c>
      <c r="O135" s="97" t="s">
        <v>38</v>
      </c>
      <c r="P135" s="95">
        <f>Q135/Q$108</f>
        <v>0.31563964476390999</v>
      </c>
      <c r="Q135" s="96">
        <f>+SUM(Q123:Q134)</f>
        <v>28390.109999999997</v>
      </c>
      <c r="R135" s="147"/>
      <c r="S135" s="114">
        <f t="shared" si="42"/>
        <v>-3899.1499999999978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41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5"/>
        <v>0</v>
      </c>
      <c r="O136" s="41"/>
      <c r="P136" s="13"/>
      <c r="Q136" s="33">
        <v>0</v>
      </c>
      <c r="R136" s="41"/>
      <c r="S136" s="85">
        <f t="shared" si="42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41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5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41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857.83333333333326</v>
      </c>
      <c r="G138" s="89"/>
      <c r="H138" s="111"/>
      <c r="I138" s="22"/>
      <c r="J138" s="23"/>
      <c r="K138" s="111"/>
      <c r="L138" s="22">
        <v>1261.03</v>
      </c>
      <c r="M138" s="23"/>
      <c r="N138" s="91">
        <f t="shared" si="35"/>
        <v>403.19666666666672</v>
      </c>
      <c r="O138" s="23"/>
      <c r="P138" s="111"/>
      <c r="Q138" s="22">
        <v>801.6</v>
      </c>
      <c r="R138" s="23"/>
      <c r="S138" s="92">
        <f t="shared" si="42"/>
        <v>459.42999999999995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41"/>
        <v>Véhicules usagésInformatique</v>
      </c>
      <c r="B139" s="11" t="s">
        <v>70</v>
      </c>
      <c r="C139" s="29" t="s">
        <v>52</v>
      </c>
      <c r="D139" s="81"/>
      <c r="E139" s="13"/>
      <c r="F139" s="30">
        <v>1419.9</v>
      </c>
      <c r="G139" s="83"/>
      <c r="H139" s="13"/>
      <c r="I139" s="30"/>
      <c r="J139" s="41"/>
      <c r="K139" s="13"/>
      <c r="L139" s="33">
        <v>1819.08</v>
      </c>
      <c r="M139" s="41"/>
      <c r="N139" s="59">
        <f t="shared" si="35"/>
        <v>399.17999999999984</v>
      </c>
      <c r="O139" s="41"/>
      <c r="P139" s="13"/>
      <c r="Q139" s="33">
        <v>1841.29</v>
      </c>
      <c r="R139" s="41"/>
      <c r="S139" s="85">
        <f t="shared" si="42"/>
        <v>-22.210000000000036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41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182.8</v>
      </c>
      <c r="G140" s="83"/>
      <c r="H140" s="13"/>
      <c r="I140" s="30"/>
      <c r="J140" s="41"/>
      <c r="K140" s="13"/>
      <c r="L140" s="33">
        <v>181.56</v>
      </c>
      <c r="M140" s="41"/>
      <c r="N140" s="59">
        <f t="shared" si="35"/>
        <v>-1.2400000000000091</v>
      </c>
      <c r="O140" s="41"/>
      <c r="P140" s="13"/>
      <c r="Q140" s="33">
        <v>196.28</v>
      </c>
      <c r="R140" s="41"/>
      <c r="S140" s="85">
        <f t="shared" si="42"/>
        <v>-14.719999999999999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41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612.1</v>
      </c>
      <c r="G141" s="89"/>
      <c r="H141" s="111"/>
      <c r="I141" s="22"/>
      <c r="J141" s="23"/>
      <c r="K141" s="111"/>
      <c r="L141" s="22">
        <v>898.12</v>
      </c>
      <c r="M141" s="23"/>
      <c r="N141" s="91">
        <f t="shared" si="35"/>
        <v>286.02</v>
      </c>
      <c r="O141" s="23"/>
      <c r="P141" s="111"/>
      <c r="Q141" s="22">
        <v>493.32</v>
      </c>
      <c r="R141" s="23"/>
      <c r="S141" s="92">
        <f t="shared" si="42"/>
        <v>404.8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41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52.941176470588239</v>
      </c>
      <c r="G142" s="83"/>
      <c r="H142" s="13"/>
      <c r="I142" s="30"/>
      <c r="J142" s="41"/>
      <c r="K142" s="13"/>
      <c r="L142" s="33">
        <v>0</v>
      </c>
      <c r="M142" s="41"/>
      <c r="N142" s="59">
        <f t="shared" si="35"/>
        <v>-52.941176470588239</v>
      </c>
      <c r="O142" s="41"/>
      <c r="P142" s="13"/>
      <c r="Q142" s="33">
        <v>50.9</v>
      </c>
      <c r="R142" s="41"/>
      <c r="S142" s="85">
        <f t="shared" si="42"/>
        <v>-50.9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41"/>
        <v>Véhicules usagésUniformes</v>
      </c>
      <c r="B143" s="11" t="s">
        <v>70</v>
      </c>
      <c r="C143" s="29" t="s">
        <v>56</v>
      </c>
      <c r="D143" s="81"/>
      <c r="E143" s="13"/>
      <c r="F143" s="30">
        <v>5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5"/>
        <v>-5</v>
      </c>
      <c r="O143" s="41"/>
      <c r="P143" s="13"/>
      <c r="Q143" s="33">
        <v>0</v>
      </c>
      <c r="R143" s="41"/>
      <c r="S143" s="85">
        <f t="shared" si="42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41"/>
        <v>Véhicules usagésPapeterie</v>
      </c>
      <c r="B144" s="11" t="s">
        <v>70</v>
      </c>
      <c r="C144" s="29" t="s">
        <v>57</v>
      </c>
      <c r="D144" s="81"/>
      <c r="E144" s="13"/>
      <c r="F144" s="30">
        <v>175</v>
      </c>
      <c r="G144" s="83"/>
      <c r="H144" s="13"/>
      <c r="I144" s="30"/>
      <c r="J144" s="41"/>
      <c r="K144" s="13"/>
      <c r="L144" s="32">
        <v>294.20999999999998</v>
      </c>
      <c r="M144" s="41"/>
      <c r="N144" s="59">
        <f t="shared" si="35"/>
        <v>119.20999999999998</v>
      </c>
      <c r="O144" s="41"/>
      <c r="P144" s="13"/>
      <c r="Q144" s="32">
        <v>211.1</v>
      </c>
      <c r="R144" s="41"/>
      <c r="S144" s="85">
        <f t="shared" si="42"/>
        <v>83.109999999999985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41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86.42</v>
      </c>
      <c r="M145" s="41"/>
      <c r="N145" s="59">
        <f t="shared" si="35"/>
        <v>23.22</v>
      </c>
      <c r="O145" s="41"/>
      <c r="P145" s="13"/>
      <c r="Q145" s="33">
        <v>31.16</v>
      </c>
      <c r="R145" s="41"/>
      <c r="S145" s="85">
        <f t="shared" si="42"/>
        <v>55.260000000000005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41"/>
        <v>Véhicules usagésFrais postaux</v>
      </c>
      <c r="B146" s="11" t="s">
        <v>70</v>
      </c>
      <c r="C146" s="29" t="s">
        <v>59</v>
      </c>
      <c r="D146" s="81"/>
      <c r="E146" s="13"/>
      <c r="F146" s="30">
        <v>50</v>
      </c>
      <c r="G146" s="83"/>
      <c r="H146" s="13"/>
      <c r="I146" s="30"/>
      <c r="J146" s="41"/>
      <c r="K146" s="13"/>
      <c r="L146" s="33">
        <v>317.89</v>
      </c>
      <c r="M146" s="41"/>
      <c r="N146" s="59">
        <f t="shared" si="35"/>
        <v>267.89</v>
      </c>
      <c r="O146" s="41"/>
      <c r="P146" s="13"/>
      <c r="Q146" s="33">
        <v>190.65</v>
      </c>
      <c r="R146" s="41"/>
      <c r="S146" s="85">
        <f t="shared" si="42"/>
        <v>127.23999999999998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41"/>
        <v>Véhicules usagésDivers</v>
      </c>
      <c r="B147" s="11" t="s">
        <v>70</v>
      </c>
      <c r="C147" s="29" t="s">
        <v>60</v>
      </c>
      <c r="D147" s="81"/>
      <c r="E147" s="13"/>
      <c r="F147" s="30">
        <v>185.8</v>
      </c>
      <c r="G147" s="83"/>
      <c r="H147" s="13"/>
      <c r="I147" s="30"/>
      <c r="J147" s="41"/>
      <c r="K147" s="13"/>
      <c r="L147" s="33">
        <v>144.6</v>
      </c>
      <c r="M147" s="41"/>
      <c r="N147" s="59">
        <f t="shared" si="35"/>
        <v>-41.200000000000017</v>
      </c>
      <c r="O147" s="41"/>
      <c r="P147" s="13"/>
      <c r="Q147" s="33">
        <v>216.1</v>
      </c>
      <c r="R147" s="41"/>
      <c r="S147" s="85">
        <f t="shared" si="42"/>
        <v>-71.5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41"/>
        <v>Véhicules usagésFormation</v>
      </c>
      <c r="B148" s="11" t="s">
        <v>70</v>
      </c>
      <c r="C148" s="29" t="s">
        <v>61</v>
      </c>
      <c r="D148" s="81"/>
      <c r="E148" s="13"/>
      <c r="F148" s="30">
        <v>137.24010666666663</v>
      </c>
      <c r="G148" s="83"/>
      <c r="H148" s="13"/>
      <c r="I148" s="30"/>
      <c r="J148" s="41"/>
      <c r="K148" s="13"/>
      <c r="L148" s="59">
        <v>-198.8</v>
      </c>
      <c r="M148" s="41"/>
      <c r="N148" s="59">
        <f t="shared" si="35"/>
        <v>-336.04010666666665</v>
      </c>
      <c r="O148" s="41"/>
      <c r="P148" s="13"/>
      <c r="Q148" s="33">
        <v>53.17</v>
      </c>
      <c r="R148" s="41"/>
      <c r="S148" s="85">
        <f t="shared" si="42"/>
        <v>-251.97000000000003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797.47492394861956</v>
      </c>
      <c r="G149" s="83"/>
      <c r="H149" s="13"/>
      <c r="I149" s="30"/>
      <c r="J149" s="41"/>
      <c r="K149" s="13"/>
      <c r="L149" s="33">
        <v>913.13</v>
      </c>
      <c r="M149" s="41"/>
      <c r="N149" s="59">
        <f t="shared" si="35"/>
        <v>115.65507605138043</v>
      </c>
      <c r="O149" s="41"/>
      <c r="P149" s="13"/>
      <c r="Q149" s="33">
        <v>707.68</v>
      </c>
      <c r="R149" s="41"/>
      <c r="S149" s="85">
        <f>L149-Q149</f>
        <v>205.45000000000005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5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5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5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218" si="43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4.3210752407607876E-2</v>
      </c>
      <c r="F153" s="96">
        <f>+SUM(F136:F152)</f>
        <v>4539.2895404192077</v>
      </c>
      <c r="G153" s="97"/>
      <c r="H153" s="95"/>
      <c r="I153" s="96"/>
      <c r="J153" s="97" t="s">
        <v>38</v>
      </c>
      <c r="K153" s="95">
        <f>L153/L$108</f>
        <v>6.9706202579642967E-2</v>
      </c>
      <c r="L153" s="96">
        <f>+SUM(L136:L152)</f>
        <v>5717.2400000000007</v>
      </c>
      <c r="M153" s="100"/>
      <c r="N153" s="96">
        <f t="shared" si="35"/>
        <v>1177.950459580793</v>
      </c>
      <c r="O153" s="97" t="s">
        <v>38</v>
      </c>
      <c r="P153" s="95">
        <f>Q153/Q$108</f>
        <v>5.3291083664861162E-2</v>
      </c>
      <c r="Q153" s="96">
        <f>+SUM(Q136:Q152)</f>
        <v>4793.25</v>
      </c>
      <c r="R153" s="100"/>
      <c r="S153" s="101">
        <f>L153-Q153</f>
        <v>923.99000000000069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3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3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0.74504974924979162</v>
      </c>
      <c r="F155" s="96">
        <f>F122+F135+F153</f>
        <v>78267.47615869061</v>
      </c>
      <c r="G155" s="97"/>
      <c r="H155" s="95"/>
      <c r="I155" s="96"/>
      <c r="J155" s="97" t="s">
        <v>38</v>
      </c>
      <c r="K155" s="95">
        <f>L155/L$108</f>
        <v>1.0224993934339675</v>
      </c>
      <c r="L155" s="96">
        <f>L122+L135+L153</f>
        <v>83864.48000000001</v>
      </c>
      <c r="M155" s="100"/>
      <c r="N155" s="113">
        <f t="shared" ref="N155:N162" si="44">L155-F155</f>
        <v>5597.0038413094007</v>
      </c>
      <c r="O155" s="97" t="s">
        <v>38</v>
      </c>
      <c r="P155" s="95">
        <f>Q155/Q$108</f>
        <v>0.82875131372402333</v>
      </c>
      <c r="Q155" s="96">
        <f>Q122+Q135+Q153</f>
        <v>74541.78</v>
      </c>
      <c r="R155" s="100"/>
      <c r="S155" s="114">
        <f t="shared" ref="S155:S162" si="45">L155-Q155</f>
        <v>9322.7000000000116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3"/>
        <v>Véhicules usagésRBSC used</v>
      </c>
      <c r="B156" s="11" t="s">
        <v>70</v>
      </c>
      <c r="C156" s="29" t="s">
        <v>222</v>
      </c>
      <c r="D156" s="149"/>
      <c r="E156" s="150"/>
      <c r="F156" s="30">
        <v>3000</v>
      </c>
      <c r="G156" s="151"/>
      <c r="H156" s="150"/>
      <c r="I156" s="30"/>
      <c r="J156" s="151"/>
      <c r="K156" s="150"/>
      <c r="L156" s="32">
        <v>2250</v>
      </c>
      <c r="M156" s="41"/>
      <c r="N156" s="59">
        <f t="shared" si="44"/>
        <v>-750</v>
      </c>
      <c r="O156" s="151"/>
      <c r="P156" s="150"/>
      <c r="Q156" s="33">
        <v>2625</v>
      </c>
      <c r="R156" s="41"/>
      <c r="S156" s="85">
        <f t="shared" si="45"/>
        <v>-375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3"/>
        <v>Véhicules usagésProgramme 360</v>
      </c>
      <c r="B157" s="11" t="s">
        <v>70</v>
      </c>
      <c r="C157" s="29" t="s">
        <v>223</v>
      </c>
      <c r="D157" s="149"/>
      <c r="E157" s="150"/>
      <c r="F157" s="30">
        <v>2082.3529411764707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4"/>
        <v>-2082.3529411764707</v>
      </c>
      <c r="O157" s="151"/>
      <c r="P157" s="150"/>
      <c r="Q157" s="33">
        <v>0</v>
      </c>
      <c r="R157" s="41"/>
      <c r="S157" s="85">
        <f t="shared" si="45"/>
        <v>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>
      <c r="A158" t="str">
        <f t="shared" si="43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4"/>
        <v>0</v>
      </c>
      <c r="O158" s="41"/>
      <c r="P158" s="13"/>
      <c r="Q158" s="33">
        <v>0</v>
      </c>
      <c r="R158" s="41"/>
      <c r="S158" s="85">
        <f t="shared" si="45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12138</v>
      </c>
      <c r="G159" s="83"/>
      <c r="H159" s="13"/>
      <c r="I159" s="30"/>
      <c r="J159" s="41"/>
      <c r="K159" s="13"/>
      <c r="L159" s="32">
        <v>10710</v>
      </c>
      <c r="M159" s="41"/>
      <c r="N159" s="59">
        <f t="shared" si="44"/>
        <v>-1428</v>
      </c>
      <c r="O159" s="41"/>
      <c r="P159" s="13"/>
      <c r="Q159" s="33">
        <v>10710</v>
      </c>
      <c r="R159" s="41"/>
      <c r="S159" s="85">
        <f t="shared" si="45"/>
        <v>0</v>
      </c>
      <c r="T159" s="112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17220.352941176468</v>
      </c>
      <c r="G163" s="97"/>
      <c r="H163" s="95"/>
      <c r="I163" s="96"/>
      <c r="J163" s="97"/>
      <c r="K163" s="95"/>
      <c r="L163" s="96">
        <f>+SUM(L156:L162)</f>
        <v>12960</v>
      </c>
      <c r="M163" s="100"/>
      <c r="N163" s="96">
        <f>SUM(N156:N159)</f>
        <v>-4260.3529411764703</v>
      </c>
      <c r="O163" s="97"/>
      <c r="P163" s="95"/>
      <c r="Q163" s="96">
        <f>+SUM(Q156:Q162)</f>
        <v>13335</v>
      </c>
      <c r="R163" s="100"/>
      <c r="S163" s="101">
        <f>+SUM(S156:S162)</f>
        <v>-375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44002.876782485859</v>
      </c>
      <c r="G165" s="153"/>
      <c r="H165" s="125"/>
      <c r="I165" s="127"/>
      <c r="J165" s="154"/>
      <c r="K165" s="126"/>
      <c r="L165" s="127">
        <f>L108-L155+L163</f>
        <v>11114.620000000083</v>
      </c>
      <c r="M165" s="154"/>
      <c r="N165" s="127">
        <f>L165-F165</f>
        <v>-32888.256782485776</v>
      </c>
      <c r="O165" s="154"/>
      <c r="P165" s="126"/>
      <c r="Q165" s="127">
        <f>Q108-Q155+Q163</f>
        <v>28737.909999999974</v>
      </c>
      <c r="R165" s="154"/>
      <c r="S165" s="129">
        <f>L165-Q165</f>
        <v>-17623.289999999892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Mai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63" t="s">
        <v>5</v>
      </c>
      <c r="E170" s="464"/>
      <c r="F170" s="465"/>
      <c r="G170" s="466"/>
      <c r="H170" s="464"/>
      <c r="I170" s="465"/>
      <c r="J170" s="466" t="s">
        <v>7</v>
      </c>
      <c r="K170" s="464"/>
      <c r="L170" s="465"/>
      <c r="M170" s="466" t="s">
        <v>213</v>
      </c>
      <c r="N170" s="465"/>
      <c r="O170" s="463" t="s">
        <v>8</v>
      </c>
      <c r="P170" s="464"/>
      <c r="Q170" s="465"/>
      <c r="R170" s="470" t="s">
        <v>214</v>
      </c>
      <c r="S170" s="471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46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224</v>
      </c>
      <c r="N171" s="134" t="s">
        <v>219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6"/>
        <v>ServiceM/O Client</v>
      </c>
      <c r="B172" s="11" t="s">
        <v>78</v>
      </c>
      <c r="C172" s="29" t="s">
        <v>81</v>
      </c>
      <c r="D172" s="13">
        <v>0</v>
      </c>
      <c r="E172" s="82">
        <v>98604.961395925638</v>
      </c>
      <c r="F172" s="82">
        <v>78489.549271156808</v>
      </c>
      <c r="G172" s="156"/>
      <c r="H172" s="82"/>
      <c r="I172" s="82"/>
      <c r="J172" s="60">
        <v>279</v>
      </c>
      <c r="K172" s="30">
        <v>100412.12</v>
      </c>
      <c r="L172" s="33">
        <v>80544.949999999983</v>
      </c>
      <c r="M172" s="157">
        <f>(K172-E172)/E172</f>
        <v>1.8327258370074557E-2</v>
      </c>
      <c r="N172" s="59">
        <f>L172-F172</f>
        <v>2055.4007288431749</v>
      </c>
      <c r="O172" s="60">
        <v>294</v>
      </c>
      <c r="P172" s="30">
        <v>97804.39</v>
      </c>
      <c r="Q172" s="33">
        <v>78201.569999999905</v>
      </c>
      <c r="R172" s="157">
        <f>IF(O172=0,0,J172/O172)</f>
        <v>0.94897959183673475</v>
      </c>
      <c r="S172" s="85">
        <f>L172-Q172</f>
        <v>2343.3800000000774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6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0.79600000000000004</v>
      </c>
      <c r="G173" s="41"/>
      <c r="H173" s="144"/>
      <c r="I173" s="158"/>
      <c r="J173" s="60"/>
      <c r="K173" s="13"/>
      <c r="L173" s="158">
        <f>IF(L172=0,0,L172/K172)</f>
        <v>0.80214370536146418</v>
      </c>
      <c r="M173" s="157"/>
      <c r="N173" s="59"/>
      <c r="O173" s="60"/>
      <c r="P173" s="13"/>
      <c r="Q173" s="158">
        <f>Q172/P172</f>
        <v>0.79957116444364007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6"/>
        <v>Service</v>
      </c>
      <c r="B174" s="11" t="s">
        <v>78</v>
      </c>
      <c r="C174" s="86"/>
      <c r="D174" s="111"/>
      <c r="E174" s="159">
        <f>IFERROR(E172/D172,0)</f>
        <v>0</v>
      </c>
      <c r="F174" s="160"/>
      <c r="G174" s="23"/>
      <c r="H174" s="159"/>
      <c r="I174" s="160"/>
      <c r="J174" s="161"/>
      <c r="K174" s="481">
        <f>IFERROR(K172/J172,0)</f>
        <v>359.90007168458777</v>
      </c>
      <c r="L174" s="160"/>
      <c r="M174" s="162"/>
      <c r="N174" s="91"/>
      <c r="O174" s="161"/>
      <c r="P174" s="481">
        <f>IFERROR(P172/O172,0)</f>
        <v>332.66799319727892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6"/>
        <v>ServiceM/O Garantie</v>
      </c>
      <c r="B175" s="11" t="s">
        <v>78</v>
      </c>
      <c r="C175" s="14" t="s">
        <v>83</v>
      </c>
      <c r="D175" s="163">
        <v>0</v>
      </c>
      <c r="E175" s="82">
        <v>34631.537736300394</v>
      </c>
      <c r="F175" s="82">
        <v>24969.338707872583</v>
      </c>
      <c r="G175" s="164"/>
      <c r="H175" s="82"/>
      <c r="I175" s="82"/>
      <c r="J175" s="164">
        <v>206</v>
      </c>
      <c r="K175" s="165">
        <v>24712.68</v>
      </c>
      <c r="L175" s="33">
        <v>16544.599999999999</v>
      </c>
      <c r="M175" s="157">
        <f>(K175-E175)/E175</f>
        <v>-0.28641112652365869</v>
      </c>
      <c r="N175" s="109">
        <f>L175-F175</f>
        <v>-8424.7387078725842</v>
      </c>
      <c r="O175" s="164">
        <v>239</v>
      </c>
      <c r="P175" s="165">
        <v>33207.660000000003</v>
      </c>
      <c r="Q175" s="33">
        <v>23378.67</v>
      </c>
      <c r="R175" s="157">
        <f>IF(O175=0,0,J175/O175)</f>
        <v>0.86192468619246865</v>
      </c>
      <c r="S175" s="85">
        <f>L175-Q175</f>
        <v>-6834.07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6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/>
      <c r="J176" s="41"/>
      <c r="K176" s="13"/>
      <c r="L176" s="158">
        <f>IF(L175=0,0,L175/K175)</f>
        <v>0.66947817881346738</v>
      </c>
      <c r="M176" s="42"/>
      <c r="N176" s="43"/>
      <c r="O176" s="41"/>
      <c r="P176" s="13"/>
      <c r="Q176" s="158">
        <f>Q175/P175</f>
        <v>0.70401437499661212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6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138.94418410041843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6"/>
        <v>ServiceM/O Interne</v>
      </c>
      <c r="B178" s="11" t="s">
        <v>78</v>
      </c>
      <c r="C178" s="29" t="s">
        <v>84</v>
      </c>
      <c r="D178" s="13">
        <v>0</v>
      </c>
      <c r="E178" s="82">
        <v>51841.353960612578</v>
      </c>
      <c r="F178" s="82">
        <v>32037.956747658573</v>
      </c>
      <c r="G178" s="41"/>
      <c r="H178" s="82"/>
      <c r="I178" s="82"/>
      <c r="J178" s="60">
        <v>250</v>
      </c>
      <c r="K178" s="165">
        <v>63177.869999999995</v>
      </c>
      <c r="L178" s="33">
        <v>39665.360000000001</v>
      </c>
      <c r="M178" s="157">
        <f>(K178-E178)/E178</f>
        <v>0.21867708254688997</v>
      </c>
      <c r="N178" s="59">
        <f>L178-F178</f>
        <v>7627.403252341428</v>
      </c>
      <c r="O178" s="60">
        <v>207</v>
      </c>
      <c r="P178" s="165">
        <v>40853.910000000003</v>
      </c>
      <c r="Q178" s="33">
        <v>24226.57</v>
      </c>
      <c r="R178" s="157">
        <f>IF(O178=0,0,J178/O178)</f>
        <v>1.2077294685990339</v>
      </c>
      <c r="S178" s="85">
        <f>L178-Q178</f>
        <v>15438.79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6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0.61799999999999999</v>
      </c>
      <c r="G179" s="41"/>
      <c r="H179" s="144"/>
      <c r="I179" s="158"/>
      <c r="J179" s="60"/>
      <c r="K179" s="144"/>
      <c r="L179" s="158">
        <f>IF(L178=0,0,L178/K178)</f>
        <v>0.62783629774159855</v>
      </c>
      <c r="M179" s="157"/>
      <c r="N179" s="59">
        <f>L179-F179</f>
        <v>9.8362977415985542E-3</v>
      </c>
      <c r="O179" s="60"/>
      <c r="P179" s="144"/>
      <c r="Q179" s="158">
        <f>Q178/P178</f>
        <v>0.59300492902637714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6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197.36188405797103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6"/>
        <v>ServiceM/O Esthétique</v>
      </c>
      <c r="B181" s="11" t="s">
        <v>78</v>
      </c>
      <c r="C181" s="14" t="s">
        <v>85</v>
      </c>
      <c r="D181" s="105">
        <v>0</v>
      </c>
      <c r="E181" s="82">
        <v>17089.18928105462</v>
      </c>
      <c r="F181" s="82">
        <v>6835.6757124218484</v>
      </c>
      <c r="G181" s="107"/>
      <c r="H181" s="82"/>
      <c r="I181" s="82"/>
      <c r="J181" s="164">
        <v>86</v>
      </c>
      <c r="K181" s="165">
        <v>16422.670000000002</v>
      </c>
      <c r="L181" s="108">
        <v>6604.4100000000017</v>
      </c>
      <c r="M181" s="173">
        <f>IF(E181=0,0,(K181-E181)/E181)</f>
        <v>-3.9002393272894044E-2</v>
      </c>
      <c r="N181" s="109">
        <f>L181-F181</f>
        <v>-231.26571242184673</v>
      </c>
      <c r="O181" s="164">
        <v>93</v>
      </c>
      <c r="P181" s="165">
        <v>17672.64</v>
      </c>
      <c r="Q181" s="108">
        <v>7452.4</v>
      </c>
      <c r="R181" s="157">
        <f>IF(O181=0,0,J181/O181)</f>
        <v>0.92473118279569888</v>
      </c>
      <c r="S181" s="110">
        <f>L181-Q181</f>
        <v>-847.98999999999796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6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0.40215202521879823</v>
      </c>
      <c r="M182" s="60">
        <f>J182-D182</f>
        <v>0</v>
      </c>
      <c r="N182" s="176"/>
      <c r="O182" s="175"/>
      <c r="P182" s="174"/>
      <c r="Q182" s="158">
        <f>IFERROR(Q181/P181,0)</f>
        <v>0.42169138283810453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6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190.0283870967742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6"/>
        <v>ServiceAjustement M/O</v>
      </c>
      <c r="B184" s="11" t="s">
        <v>78</v>
      </c>
      <c r="C184" s="29" t="s">
        <v>86</v>
      </c>
      <c r="D184" s="13"/>
      <c r="E184" s="13"/>
      <c r="F184" s="59">
        <v>-2991.7260967391708</v>
      </c>
      <c r="G184" s="41"/>
      <c r="H184" s="82"/>
      <c r="I184" s="82"/>
      <c r="J184" s="60"/>
      <c r="K184" s="82"/>
      <c r="L184" s="82">
        <v>-2669.26</v>
      </c>
      <c r="M184" s="175"/>
      <c r="N184" s="59">
        <f>L184-F184</f>
        <v>322.46609673917055</v>
      </c>
      <c r="O184" s="60"/>
      <c r="P184" s="82"/>
      <c r="Q184" s="82">
        <v>-4394.6499999999996</v>
      </c>
      <c r="R184" s="184"/>
      <c r="S184" s="85">
        <f>L184-Q184</f>
        <v>1725.3899999999994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6"/>
        <v>ServiceSous-total M/O</v>
      </c>
      <c r="B185" s="11" t="s">
        <v>78</v>
      </c>
      <c r="C185" s="185" t="s">
        <v>87</v>
      </c>
      <c r="D185" s="186">
        <f>D172+D175+D178+D181+D184</f>
        <v>0</v>
      </c>
      <c r="E185" s="186">
        <f>E172+E175+E178+E181+E184</f>
        <v>202167.04237389326</v>
      </c>
      <c r="F185" s="187">
        <f>F172+F175+F178+F181+F184</f>
        <v>139340.79434237065</v>
      </c>
      <c r="G185" s="188"/>
      <c r="H185" s="186"/>
      <c r="I185" s="187"/>
      <c r="J185" s="188">
        <f>J172+J175+J178+J181+J184</f>
        <v>821</v>
      </c>
      <c r="K185" s="186">
        <f>K172+K175+K178+K181+K184</f>
        <v>204725.34</v>
      </c>
      <c r="L185" s="187">
        <f>L172+L175+L178+L181+L184</f>
        <v>140690.05999999997</v>
      </c>
      <c r="M185" s="189">
        <f>(K185-E185)/E185</f>
        <v>1.2654375293156599E-2</v>
      </c>
      <c r="N185" s="187">
        <f>L185-F185</f>
        <v>1349.265657629323</v>
      </c>
      <c r="O185" s="188">
        <f t="shared" ref="O185:Q185" si="47">O172+O175+O178+O181+O184</f>
        <v>833</v>
      </c>
      <c r="P185" s="186">
        <f t="shared" si="47"/>
        <v>189538.60000000003</v>
      </c>
      <c r="Q185" s="187">
        <f t="shared" si="47"/>
        <v>128864.55999999991</v>
      </c>
      <c r="R185" s="42">
        <f>IF(O185=0,0,J185/O185)</f>
        <v>0.98559423769507803</v>
      </c>
      <c r="S185" s="190">
        <f>L185-Q185</f>
        <v>11825.500000000058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6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0.68923595412089955</v>
      </c>
      <c r="G186" s="194"/>
      <c r="H186" s="192"/>
      <c r="I186" s="43"/>
      <c r="J186" s="194"/>
      <c r="K186" s="443">
        <f>IF(J185=0,0,K185/J185)</f>
        <v>249.36095006090133</v>
      </c>
      <c r="L186" s="43">
        <f>IF(L185=0,0,L185/K185)</f>
        <v>0.68721370788784608</v>
      </c>
      <c r="M186" s="194"/>
      <c r="N186" s="193">
        <f>N185/F185</f>
        <v>9.6832063000450355E-3</v>
      </c>
      <c r="O186" s="194"/>
      <c r="P186" s="443">
        <f>IF(O185=0,0,P185/O185)</f>
        <v>227.53733493397363</v>
      </c>
      <c r="Q186" s="43">
        <f>Q185/P185</f>
        <v>0.67988557475891398</v>
      </c>
      <c r="R186" s="194"/>
      <c r="S186" s="44">
        <f>IF(R185=0,0,S185/R185)</f>
        <v>11998.345310596893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6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6"/>
        <v>ServiceSous-traitement</v>
      </c>
      <c r="B188" s="11" t="s">
        <v>78</v>
      </c>
      <c r="C188" s="29" t="s">
        <v>89</v>
      </c>
      <c r="D188" s="82"/>
      <c r="E188" s="82">
        <v>5195.4004662893567</v>
      </c>
      <c r="F188" s="82">
        <v>888.41347973548011</v>
      </c>
      <c r="G188" s="60"/>
      <c r="H188" s="82"/>
      <c r="I188" s="82"/>
      <c r="J188" s="60"/>
      <c r="K188" s="30">
        <v>5830.38</v>
      </c>
      <c r="L188" s="33">
        <v>1140.3800000000001</v>
      </c>
      <c r="M188" s="84">
        <f>IF(E188=0,0,(K188-E188)/E188)</f>
        <v>0.12221955512972354</v>
      </c>
      <c r="N188" s="59">
        <f>L188-F188</f>
        <v>251.96652026452</v>
      </c>
      <c r="O188" s="60"/>
      <c r="P188" s="30">
        <v>1473.21</v>
      </c>
      <c r="Q188" s="33">
        <v>259.37</v>
      </c>
      <c r="R188" s="157">
        <f>IF(O188=0,0,J188/O188)</f>
        <v>0</v>
      </c>
      <c r="S188" s="85">
        <f>L188-Q188</f>
        <v>881.0100000000001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6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0.17100000000000001</v>
      </c>
      <c r="G189" s="41"/>
      <c r="H189" s="144"/>
      <c r="I189" s="158"/>
      <c r="J189" s="175"/>
      <c r="K189" s="174"/>
      <c r="L189" s="158">
        <f>IF(L188=0,0,L188/K188)</f>
        <v>0.19559274009584282</v>
      </c>
      <c r="M189" s="175"/>
      <c r="N189" s="176"/>
      <c r="O189" s="175"/>
      <c r="P189" s="174"/>
      <c r="Q189" s="158">
        <f>IFERROR(Q188/P188,0)</f>
        <v>0.17605772428913732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>
      <c r="A190" t="str">
        <f t="shared" si="46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>
      <c r="A191" t="str">
        <f t="shared" si="46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>
      <c r="A192" t="str">
        <f t="shared" si="46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6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6"/>
        <v>ServiceTotal Mécanique</v>
      </c>
      <c r="B194" s="11" t="s">
        <v>78</v>
      </c>
      <c r="C194" s="62" t="s">
        <v>91</v>
      </c>
      <c r="D194" s="63"/>
      <c r="E194" s="63">
        <f>E185+E188+E191</f>
        <v>207362.44284018263</v>
      </c>
      <c r="F194" s="65">
        <f>F185+F188+F191</f>
        <v>140229.20782210614</v>
      </c>
      <c r="G194" s="66"/>
      <c r="H194" s="63"/>
      <c r="I194" s="65"/>
      <c r="J194" s="66"/>
      <c r="K194" s="63">
        <f>K185+K188+K191</f>
        <v>210555.72</v>
      </c>
      <c r="L194" s="65">
        <f>L185+L188+L191</f>
        <v>141830.43999999997</v>
      </c>
      <c r="M194" s="206">
        <f>L195-F195</f>
        <v>-2.651207867283123E-3</v>
      </c>
      <c r="N194" s="65">
        <f>L194-F194</f>
        <v>1601.2321778938349</v>
      </c>
      <c r="O194" s="66"/>
      <c r="P194" s="63">
        <f t="shared" ref="P194:Q194" si="48">P185+P188+P191</f>
        <v>191011.81000000003</v>
      </c>
      <c r="Q194" s="65">
        <f t="shared" si="48"/>
        <v>129123.92999999991</v>
      </c>
      <c r="R194" s="206">
        <f>L195-Q195</f>
        <v>-2.3992113814719218E-3</v>
      </c>
      <c r="S194" s="68">
        <f>L194-Q194</f>
        <v>12706.510000000068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6"/>
        <v>Service</v>
      </c>
      <c r="B195" s="11" t="s">
        <v>78</v>
      </c>
      <c r="C195" s="69"/>
      <c r="D195" s="70"/>
      <c r="E195" s="70"/>
      <c r="F195" s="74">
        <f>F194/E194</f>
        <v>0.67625171608430035</v>
      </c>
      <c r="G195" s="72"/>
      <c r="H195" s="70"/>
      <c r="I195" s="74"/>
      <c r="J195" s="72"/>
      <c r="K195" s="70"/>
      <c r="L195" s="74">
        <f>L194/K194</f>
        <v>0.67360050821701722</v>
      </c>
      <c r="M195" s="73"/>
      <c r="N195" s="74">
        <f>N194/F194</f>
        <v>1.1418678054040978E-2</v>
      </c>
      <c r="O195" s="72"/>
      <c r="P195" s="70"/>
      <c r="Q195" s="74">
        <f>Q194/P194</f>
        <v>0.67599971959848915</v>
      </c>
      <c r="R195" s="73"/>
      <c r="S195" s="75">
        <f>L194/S194</f>
        <v>11.162029542336898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6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82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6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6"/>
        <v>ServiceSalaires cadres</v>
      </c>
      <c r="B198" s="11" t="s">
        <v>78</v>
      </c>
      <c r="C198" s="102" t="s">
        <v>40</v>
      </c>
      <c r="D198" s="13"/>
      <c r="E198" s="13"/>
      <c r="F198" s="30">
        <v>9894.0984096692118</v>
      </c>
      <c r="G198" s="41"/>
      <c r="H198" s="13"/>
      <c r="I198" s="30"/>
      <c r="J198" s="41"/>
      <c r="K198" s="13"/>
      <c r="L198" s="33">
        <v>10212.879999999999</v>
      </c>
      <c r="M198" s="41"/>
      <c r="N198" s="59">
        <f t="shared" ref="N198:N229" si="49">L198-F198</f>
        <v>318.78159033078737</v>
      </c>
      <c r="O198" s="41"/>
      <c r="P198" s="13"/>
      <c r="Q198" s="33">
        <v>9455.49</v>
      </c>
      <c r="R198" s="41"/>
      <c r="S198" s="85">
        <f t="shared" ref="S198:S228" si="50">L198-Q198</f>
        <v>757.38999999999942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6"/>
        <v>ServiceSalaires commis</v>
      </c>
      <c r="B199" s="11" t="s">
        <v>78</v>
      </c>
      <c r="C199" s="103" t="s">
        <v>41</v>
      </c>
      <c r="D199" s="81"/>
      <c r="E199" s="13"/>
      <c r="F199" s="22">
        <v>5158.1075699745543</v>
      </c>
      <c r="G199" s="83"/>
      <c r="H199" s="13"/>
      <c r="I199" s="22"/>
      <c r="J199" s="41"/>
      <c r="K199" s="13"/>
      <c r="L199" s="33">
        <v>5992.31</v>
      </c>
      <c r="M199" s="41"/>
      <c r="N199" s="59">
        <f t="shared" si="49"/>
        <v>834.20243002544612</v>
      </c>
      <c r="O199" s="41"/>
      <c r="P199" s="13"/>
      <c r="Q199" s="33">
        <v>4947.74</v>
      </c>
      <c r="R199" s="41"/>
      <c r="S199" s="85">
        <f t="shared" si="50"/>
        <v>1044.5700000000006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6"/>
        <v>ServiceSalaires autres</v>
      </c>
      <c r="B200" s="11" t="s">
        <v>78</v>
      </c>
      <c r="C200" s="102" t="s">
        <v>42</v>
      </c>
      <c r="D200" s="104"/>
      <c r="E200" s="105"/>
      <c r="F200" s="30">
        <v>4622.2290076335885</v>
      </c>
      <c r="G200" s="106"/>
      <c r="H200" s="105"/>
      <c r="I200" s="30"/>
      <c r="J200" s="107"/>
      <c r="K200" s="105"/>
      <c r="L200" s="108">
        <v>7265.5</v>
      </c>
      <c r="M200" s="107"/>
      <c r="N200" s="109">
        <f t="shared" si="49"/>
        <v>2643.2709923664115</v>
      </c>
      <c r="O200" s="107"/>
      <c r="P200" s="105"/>
      <c r="Q200" s="108">
        <v>4653.3500000000004</v>
      </c>
      <c r="R200" s="107"/>
      <c r="S200" s="110">
        <f t="shared" si="50"/>
        <v>2612.1499999999996</v>
      </c>
      <c r="T200" s="13"/>
      <c r="U200" s="13"/>
      <c r="V200" s="13" t="s">
        <v>225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6"/>
        <v>ServiceSalaires spécialistes</v>
      </c>
      <c r="B201" s="11" t="s">
        <v>78</v>
      </c>
      <c r="C201" s="102" t="s">
        <v>43</v>
      </c>
      <c r="D201" s="81"/>
      <c r="E201" s="13"/>
      <c r="F201" s="30">
        <v>13843.692830312786</v>
      </c>
      <c r="G201" s="83"/>
      <c r="H201" s="13"/>
      <c r="I201" s="30"/>
      <c r="J201" s="41"/>
      <c r="K201" s="13"/>
      <c r="L201" s="33">
        <v>17092.900000000001</v>
      </c>
      <c r="M201" s="41"/>
      <c r="N201" s="59">
        <f t="shared" si="49"/>
        <v>3249.2071696872154</v>
      </c>
      <c r="O201" s="41"/>
      <c r="P201" s="13"/>
      <c r="Q201" s="33">
        <v>13021.88</v>
      </c>
      <c r="R201" s="41"/>
      <c r="S201" s="85">
        <f t="shared" si="50"/>
        <v>4071.0200000000023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6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9"/>
        <v>0</v>
      </c>
      <c r="O202" s="41"/>
      <c r="P202" s="13"/>
      <c r="Q202" s="33">
        <v>0</v>
      </c>
      <c r="R202" s="41"/>
      <c r="S202" s="85">
        <f t="shared" si="50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6"/>
        <v>ServiceSalaires en absences</v>
      </c>
      <c r="B205" s="11" t="s">
        <v>78</v>
      </c>
      <c r="C205" s="103" t="s">
        <v>44</v>
      </c>
      <c r="D205" s="81"/>
      <c r="E205" s="13"/>
      <c r="F205" s="30">
        <v>8049.6285467121852</v>
      </c>
      <c r="G205" s="83"/>
      <c r="H205" s="13"/>
      <c r="I205" s="30"/>
      <c r="J205" s="41"/>
      <c r="K205" s="13"/>
      <c r="L205" s="33">
        <v>8531.0499999999993</v>
      </c>
      <c r="M205" s="41"/>
      <c r="N205" s="59">
        <f t="shared" si="49"/>
        <v>481.42145328781407</v>
      </c>
      <c r="O205" s="41"/>
      <c r="P205" s="13"/>
      <c r="Q205" s="33">
        <v>8131.49</v>
      </c>
      <c r="R205" s="41"/>
      <c r="S205" s="85">
        <f>L205-Q205</f>
        <v>399.55999999999949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6"/>
        <v>ServiceDéduction à la source</v>
      </c>
      <c r="B206" s="11" t="s">
        <v>78</v>
      </c>
      <c r="C206" s="102" t="s">
        <v>45</v>
      </c>
      <c r="D206" s="104"/>
      <c r="E206" s="105"/>
      <c r="F206" s="55">
        <v>10538.678179395662</v>
      </c>
      <c r="G206" s="106"/>
      <c r="H206" s="105"/>
      <c r="I206" s="55"/>
      <c r="J206" s="107"/>
      <c r="K206" s="105"/>
      <c r="L206" s="108">
        <v>11863.05</v>
      </c>
      <c r="M206" s="107"/>
      <c r="N206" s="109">
        <f t="shared" si="49"/>
        <v>1324.3718206043377</v>
      </c>
      <c r="O206" s="107"/>
      <c r="P206" s="105"/>
      <c r="Q206" s="108">
        <v>10697.59</v>
      </c>
      <c r="R206" s="107"/>
      <c r="S206" s="110">
        <f t="shared" ref="S206:S236" si="51">L206-Q206</f>
        <v>1165.4599999999991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6"/>
        <v>ServiceBénéfices marginaux</v>
      </c>
      <c r="B207" s="11" t="s">
        <v>78</v>
      </c>
      <c r="C207" s="102" t="s">
        <v>46</v>
      </c>
      <c r="D207" s="81"/>
      <c r="E207" s="13"/>
      <c r="F207" s="30">
        <v>4839.9855342409701</v>
      </c>
      <c r="G207" s="83"/>
      <c r="H207" s="13"/>
      <c r="I207" s="30"/>
      <c r="J207" s="41"/>
      <c r="K207" s="13"/>
      <c r="L207" s="33">
        <v>4322.59</v>
      </c>
      <c r="M207" s="41"/>
      <c r="N207" s="59">
        <f t="shared" si="49"/>
        <v>-517.39553424096994</v>
      </c>
      <c r="O207" s="41"/>
      <c r="P207" s="13"/>
      <c r="Q207" s="33">
        <v>4967.51</v>
      </c>
      <c r="R207" s="41"/>
      <c r="S207" s="85">
        <f t="shared" si="51"/>
        <v>-644.92000000000007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6"/>
        <v>ServiceCsst</v>
      </c>
      <c r="B208" s="11" t="s">
        <v>78</v>
      </c>
      <c r="C208" s="102" t="s">
        <v>47</v>
      </c>
      <c r="D208" s="81"/>
      <c r="E208" s="13"/>
      <c r="F208" s="30">
        <v>1092.8999593447354</v>
      </c>
      <c r="G208" s="83"/>
      <c r="H208" s="13"/>
      <c r="I208" s="30"/>
      <c r="J208" s="41"/>
      <c r="K208" s="13"/>
      <c r="L208" s="33">
        <v>1448.81</v>
      </c>
      <c r="M208" s="483"/>
      <c r="N208" s="146">
        <f t="shared" si="49"/>
        <v>355.91004065526454</v>
      </c>
      <c r="O208" s="483"/>
      <c r="P208" s="484"/>
      <c r="Q208" s="22">
        <v>1150.02</v>
      </c>
      <c r="R208" s="483"/>
      <c r="S208" s="485">
        <f t="shared" si="51"/>
        <v>298.78999999999996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6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9"/>
        <v>0</v>
      </c>
      <c r="O209" s="23"/>
      <c r="P209" s="111"/>
      <c r="Q209" s="33">
        <v>0</v>
      </c>
      <c r="R209" s="23"/>
      <c r="S209" s="92">
        <f t="shared" si="51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6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0.41388895322657743</v>
      </c>
      <c r="F210" s="96">
        <f>+SUM(F198:F209)</f>
        <v>58039.320037283695</v>
      </c>
      <c r="G210" s="97"/>
      <c r="H210" s="95"/>
      <c r="I210" s="96"/>
      <c r="J210" s="97" t="s">
        <v>92</v>
      </c>
      <c r="K210" s="95">
        <f>L210/L$194</f>
        <v>0.47048496782496063</v>
      </c>
      <c r="L210" s="96">
        <f>+SUM(L198:L209)</f>
        <v>66729.09</v>
      </c>
      <c r="M210" s="147"/>
      <c r="N210" s="113">
        <f t="shared" si="49"/>
        <v>8689.769962716302</v>
      </c>
      <c r="O210" s="97" t="s">
        <v>92</v>
      </c>
      <c r="P210" s="95">
        <f>Q210/Q$194</f>
        <v>0.44163053277576075</v>
      </c>
      <c r="Q210" s="96">
        <f>+SUM(Q198:Q209)</f>
        <v>57025.069999999992</v>
      </c>
      <c r="R210" s="147"/>
      <c r="S210" s="114">
        <f t="shared" si="51"/>
        <v>9704.0200000000041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6"/>
        <v>ServicePublicité 2</v>
      </c>
      <c r="B211" s="11" t="s">
        <v>78</v>
      </c>
      <c r="C211" s="29" t="s">
        <v>49</v>
      </c>
      <c r="D211" s="81"/>
      <c r="E211" s="13"/>
      <c r="F211" s="30">
        <v>4296.59984040574</v>
      </c>
      <c r="G211" s="83"/>
      <c r="H211" s="13"/>
      <c r="I211" s="30"/>
      <c r="J211" s="41"/>
      <c r="K211" s="13"/>
      <c r="L211" s="33">
        <v>7447.94</v>
      </c>
      <c r="M211" s="41"/>
      <c r="N211" s="59">
        <f t="shared" si="49"/>
        <v>3151.3401595942596</v>
      </c>
      <c r="O211" s="41"/>
      <c r="P211" s="13"/>
      <c r="Q211" s="33">
        <v>6800.51</v>
      </c>
      <c r="R211" s="41"/>
      <c r="S211" s="85">
        <f t="shared" si="51"/>
        <v>647.42999999999938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6"/>
        <v>ServiceService gratuit 2</v>
      </c>
      <c r="B212" s="11" t="s">
        <v>78</v>
      </c>
      <c r="C212" s="29" t="s">
        <v>50</v>
      </c>
      <c r="D212" s="81"/>
      <c r="E212" s="13"/>
      <c r="F212" s="30">
        <v>3700</v>
      </c>
      <c r="G212" s="83"/>
      <c r="H212" s="13"/>
      <c r="I212" s="30"/>
      <c r="J212" s="41"/>
      <c r="K212" s="13"/>
      <c r="L212" s="33">
        <v>4070.9399999999996</v>
      </c>
      <c r="M212" s="41"/>
      <c r="N212" s="59">
        <f t="shared" si="49"/>
        <v>370.9399999999996</v>
      </c>
      <c r="O212" s="41"/>
      <c r="P212" s="13"/>
      <c r="Q212" s="33">
        <v>4785.8999999999996</v>
      </c>
      <c r="R212" s="41"/>
      <c r="S212" s="85">
        <f t="shared" si="51"/>
        <v>-714.96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6"/>
        <v>ServiceFrais véhicules de cie</v>
      </c>
      <c r="B213" s="11" t="s">
        <v>78</v>
      </c>
      <c r="C213" s="86" t="s">
        <v>51</v>
      </c>
      <c r="D213" s="87"/>
      <c r="E213" s="111"/>
      <c r="F213" s="22">
        <v>4822.7083333333339</v>
      </c>
      <c r="G213" s="89"/>
      <c r="H213" s="111"/>
      <c r="I213" s="22"/>
      <c r="J213" s="23"/>
      <c r="K213" s="111"/>
      <c r="L213" s="33">
        <v>5216.07</v>
      </c>
      <c r="M213" s="23"/>
      <c r="N213" s="91">
        <f t="shared" si="49"/>
        <v>393.36166666666577</v>
      </c>
      <c r="O213" s="23"/>
      <c r="P213" s="111"/>
      <c r="Q213" s="33">
        <v>4706.79</v>
      </c>
      <c r="R213" s="23"/>
      <c r="S213" s="92">
        <f t="shared" si="51"/>
        <v>509.27999999999975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6"/>
        <v>ServiceInformatique</v>
      </c>
      <c r="B214" s="11" t="s">
        <v>78</v>
      </c>
      <c r="C214" s="29" t="s">
        <v>52</v>
      </c>
      <c r="D214" s="81"/>
      <c r="E214" s="13"/>
      <c r="F214" s="30">
        <v>5527.0249999999996</v>
      </c>
      <c r="G214" s="83"/>
      <c r="H214" s="13"/>
      <c r="I214" s="30"/>
      <c r="J214" s="41"/>
      <c r="K214" s="13"/>
      <c r="L214" s="108">
        <v>5478.25</v>
      </c>
      <c r="M214" s="41"/>
      <c r="N214" s="59">
        <f t="shared" si="49"/>
        <v>-48.774999999999636</v>
      </c>
      <c r="O214" s="41"/>
      <c r="P214" s="13"/>
      <c r="Q214" s="108">
        <v>4724.66</v>
      </c>
      <c r="R214" s="41"/>
      <c r="S214" s="85">
        <f t="shared" si="51"/>
        <v>753.59000000000015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6"/>
        <v>ServiceFrais de déplacement</v>
      </c>
      <c r="B215" s="11" t="s">
        <v>78</v>
      </c>
      <c r="C215" s="29" t="s">
        <v>53</v>
      </c>
      <c r="D215" s="81"/>
      <c r="E215" s="13"/>
      <c r="F215" s="30">
        <v>411.3</v>
      </c>
      <c r="G215" s="83"/>
      <c r="H215" s="13"/>
      <c r="I215" s="30"/>
      <c r="J215" s="41"/>
      <c r="K215" s="13"/>
      <c r="L215" s="33">
        <v>418.95</v>
      </c>
      <c r="M215" s="41"/>
      <c r="N215" s="59">
        <f t="shared" si="49"/>
        <v>7.6499999999999773</v>
      </c>
      <c r="O215" s="41"/>
      <c r="P215" s="13"/>
      <c r="Q215" s="33">
        <v>313.76</v>
      </c>
      <c r="R215" s="41"/>
      <c r="S215" s="85">
        <f t="shared" si="51"/>
        <v>105.19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6"/>
        <v>ServiceServices extérieurs</v>
      </c>
      <c r="B216" s="11" t="s">
        <v>78</v>
      </c>
      <c r="C216" s="86" t="s">
        <v>54</v>
      </c>
      <c r="D216" s="87"/>
      <c r="E216" s="111"/>
      <c r="F216" s="22">
        <v>5452.2250000000004</v>
      </c>
      <c r="G216" s="89"/>
      <c r="H216" s="111"/>
      <c r="I216" s="22"/>
      <c r="J216" s="23"/>
      <c r="K216" s="111"/>
      <c r="L216" s="33">
        <v>6675.26</v>
      </c>
      <c r="M216" s="23"/>
      <c r="N216" s="91">
        <f t="shared" si="49"/>
        <v>1223.0349999999999</v>
      </c>
      <c r="O216" s="23"/>
      <c r="P216" s="111"/>
      <c r="Q216" s="33">
        <v>5355.78</v>
      </c>
      <c r="R216" s="23"/>
      <c r="S216" s="92">
        <f t="shared" si="51"/>
        <v>1319.4800000000005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108">
        <v>0</v>
      </c>
      <c r="M217" s="41"/>
      <c r="N217" s="59">
        <f t="shared" si="49"/>
        <v>0</v>
      </c>
      <c r="O217" s="41"/>
      <c r="P217" s="13"/>
      <c r="Q217" s="108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75" si="52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1172.6907630522087</v>
      </c>
      <c r="G218" s="83"/>
      <c r="H218" s="13"/>
      <c r="I218" s="30"/>
      <c r="J218" s="41"/>
      <c r="K218" s="13"/>
      <c r="L218" s="33">
        <v>663.88</v>
      </c>
      <c r="M218" s="41"/>
      <c r="N218" s="59">
        <f t="shared" si="49"/>
        <v>-508.8107630522087</v>
      </c>
      <c r="O218" s="41"/>
      <c r="P218" s="13"/>
      <c r="Q218" s="33">
        <v>2122.52</v>
      </c>
      <c r="R218" s="41"/>
      <c r="S218" s="85">
        <f t="shared" ref="S218:S248" si="53">L218-Q218</f>
        <v>-1458.6399999999999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2"/>
        <v>ServiceUniformes</v>
      </c>
      <c r="B219" s="11" t="s">
        <v>78</v>
      </c>
      <c r="C219" s="29" t="s">
        <v>56</v>
      </c>
      <c r="D219" s="81"/>
      <c r="E219" s="13"/>
      <c r="F219" s="30">
        <v>950</v>
      </c>
      <c r="G219" s="83"/>
      <c r="H219" s="13"/>
      <c r="I219" s="30"/>
      <c r="J219" s="41"/>
      <c r="K219" s="13"/>
      <c r="L219" s="33">
        <v>563.67999999999995</v>
      </c>
      <c r="M219" s="41"/>
      <c r="N219" s="59">
        <f t="shared" si="49"/>
        <v>-386.32000000000005</v>
      </c>
      <c r="O219" s="41"/>
      <c r="P219" s="13"/>
      <c r="Q219" s="33">
        <v>1310.78</v>
      </c>
      <c r="R219" s="41"/>
      <c r="S219" s="85">
        <f t="shared" si="53"/>
        <v>-747.1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2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343.72</v>
      </c>
      <c r="M220" s="41"/>
      <c r="N220" s="59">
        <f t="shared" si="49"/>
        <v>-50.029999999999973</v>
      </c>
      <c r="O220" s="41"/>
      <c r="P220" s="13"/>
      <c r="Q220" s="32">
        <v>425.07</v>
      </c>
      <c r="R220" s="41"/>
      <c r="S220" s="85">
        <f t="shared" si="53"/>
        <v>-81.349999999999966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2"/>
        <v>ServiceTéléphone</v>
      </c>
      <c r="B221" s="11" t="s">
        <v>78</v>
      </c>
      <c r="C221" s="29" t="s">
        <v>58</v>
      </c>
      <c r="D221" s="81"/>
      <c r="E221" s="13"/>
      <c r="F221" s="30">
        <v>111.2</v>
      </c>
      <c r="G221" s="83"/>
      <c r="H221" s="13"/>
      <c r="I221" s="30"/>
      <c r="J221" s="41"/>
      <c r="K221" s="13"/>
      <c r="L221" s="33">
        <v>106.7</v>
      </c>
      <c r="M221" s="41"/>
      <c r="N221" s="59">
        <f t="shared" si="49"/>
        <v>-4.5</v>
      </c>
      <c r="O221" s="41"/>
      <c r="P221" s="13"/>
      <c r="Q221" s="33">
        <v>70.11</v>
      </c>
      <c r="R221" s="41"/>
      <c r="S221" s="85">
        <f t="shared" si="53"/>
        <v>36.590000000000003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2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226.25</v>
      </c>
      <c r="M222" s="41"/>
      <c r="N222" s="59">
        <f t="shared" si="49"/>
        <v>113.75</v>
      </c>
      <c r="O222" s="41"/>
      <c r="P222" s="13"/>
      <c r="Q222" s="33">
        <v>13.23</v>
      </c>
      <c r="R222" s="41"/>
      <c r="S222" s="85">
        <f t="shared" si="53"/>
        <v>213.02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2"/>
        <v>ServiceDivers</v>
      </c>
      <c r="B223" s="11" t="s">
        <v>78</v>
      </c>
      <c r="C223" s="29" t="s">
        <v>60</v>
      </c>
      <c r="D223" s="81"/>
      <c r="E223" s="13"/>
      <c r="F223" s="30">
        <v>418.05</v>
      </c>
      <c r="G223" s="83"/>
      <c r="H223" s="13"/>
      <c r="I223" s="30"/>
      <c r="J223" s="41"/>
      <c r="K223" s="13"/>
      <c r="L223" s="33">
        <v>325.36</v>
      </c>
      <c r="M223" s="41"/>
      <c r="N223" s="59">
        <f t="shared" si="49"/>
        <v>-92.69</v>
      </c>
      <c r="O223" s="41"/>
      <c r="P223" s="13"/>
      <c r="Q223" s="33">
        <v>486.24</v>
      </c>
      <c r="R223" s="41"/>
      <c r="S223" s="85">
        <f t="shared" si="53"/>
        <v>-160.88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2"/>
        <v>ServiceFormation</v>
      </c>
      <c r="B224" s="11" t="s">
        <v>78</v>
      </c>
      <c r="C224" s="29" t="s">
        <v>61</v>
      </c>
      <c r="D224" s="81"/>
      <c r="E224" s="13"/>
      <c r="F224" s="30">
        <v>1728.5819066666668</v>
      </c>
      <c r="G224" s="83"/>
      <c r="H224" s="13"/>
      <c r="I224" s="30"/>
      <c r="J224" s="41"/>
      <c r="K224" s="13"/>
      <c r="L224" s="33">
        <v>3325.27</v>
      </c>
      <c r="M224" s="41"/>
      <c r="N224" s="59">
        <f t="shared" si="49"/>
        <v>1596.6880933333332</v>
      </c>
      <c r="O224" s="41"/>
      <c r="P224" s="13"/>
      <c r="Q224" s="33">
        <v>1528.56</v>
      </c>
      <c r="R224" s="41"/>
      <c r="S224" s="85">
        <f t="shared" si="53"/>
        <v>1796.71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2"/>
        <v>ServiceFrais bancaires</v>
      </c>
      <c r="B225" s="11" t="s">
        <v>78</v>
      </c>
      <c r="C225" s="29" t="s">
        <v>62</v>
      </c>
      <c r="D225" s="81"/>
      <c r="E225" s="13"/>
      <c r="F225" s="30">
        <v>1794.3185788843939</v>
      </c>
      <c r="G225" s="83"/>
      <c r="H225" s="13"/>
      <c r="I225" s="30"/>
      <c r="J225" s="41"/>
      <c r="K225" s="13"/>
      <c r="L225" s="33">
        <v>2054.54</v>
      </c>
      <c r="M225" s="41"/>
      <c r="N225" s="59">
        <f t="shared" si="49"/>
        <v>260.22142111560606</v>
      </c>
      <c r="O225" s="41"/>
      <c r="P225" s="13"/>
      <c r="Q225" s="33">
        <v>1592.28</v>
      </c>
      <c r="R225" s="41"/>
      <c r="S225" s="85">
        <f t="shared" si="53"/>
        <v>462.26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2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9"/>
        <v>0</v>
      </c>
      <c r="O226" s="41"/>
      <c r="P226" s="13"/>
      <c r="Q226" s="33">
        <v>0</v>
      </c>
      <c r="R226" s="41"/>
      <c r="S226" s="85">
        <f t="shared" si="53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:A285" si="54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 t="shared" ref="S228:S258" si="55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0.22028898188978149</v>
      </c>
      <c r="F229" s="96">
        <f>+SUM(F211:F228)</f>
        <v>30890.949422342346</v>
      </c>
      <c r="G229" s="97"/>
      <c r="H229" s="95"/>
      <c r="I229" s="96"/>
      <c r="J229" s="97" t="s">
        <v>92</v>
      </c>
      <c r="K229" s="95">
        <f>L229/L$194</f>
        <v>0.2602883414872012</v>
      </c>
      <c r="L229" s="96">
        <f>+SUM(L211:L228)</f>
        <v>36916.81</v>
      </c>
      <c r="M229" s="100"/>
      <c r="N229" s="96">
        <f t="shared" si="49"/>
        <v>6025.8605776576514</v>
      </c>
      <c r="O229" s="97" t="s">
        <v>92</v>
      </c>
      <c r="P229" s="95">
        <f>Q229/Q$194</f>
        <v>0.26514210030627189</v>
      </c>
      <c r="Q229" s="96">
        <f>+SUM(Q211:Q228)</f>
        <v>34236.19</v>
      </c>
      <c r="R229" s="100"/>
      <c r="S229" s="101">
        <f>L229-Q229</f>
        <v>2680.6199999999953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0.63417793511635889</v>
      </c>
      <c r="F231" s="96">
        <f>F210+F229</f>
        <v>88930.269459626041</v>
      </c>
      <c r="G231" s="97"/>
      <c r="H231" s="95"/>
      <c r="I231" s="96"/>
      <c r="J231" s="97" t="s">
        <v>38</v>
      </c>
      <c r="K231" s="95">
        <f>L231/L$194</f>
        <v>0.73077330931216189</v>
      </c>
      <c r="L231" s="96">
        <f>L210+L229</f>
        <v>103645.9</v>
      </c>
      <c r="M231" s="100"/>
      <c r="N231" s="113">
        <f>L231-F231</f>
        <v>14715.630540373953</v>
      </c>
      <c r="O231" s="97" t="s">
        <v>38</v>
      </c>
      <c r="P231" s="95">
        <f>Q231/Q$194</f>
        <v>0.70677263308203264</v>
      </c>
      <c r="Q231" s="96">
        <f>Q210+Q229</f>
        <v>91261.26</v>
      </c>
      <c r="R231" s="100"/>
      <c r="S231" s="114">
        <f>L231-Q231</f>
        <v>12384.64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51298.938362480098</v>
      </c>
      <c r="G233" s="153"/>
      <c r="H233" s="125"/>
      <c r="I233" s="127"/>
      <c r="J233" s="154"/>
      <c r="K233" s="126"/>
      <c r="L233" s="127">
        <f>L194-L231</f>
        <v>38184.539999999979</v>
      </c>
      <c r="M233" s="154"/>
      <c r="N233" s="127">
        <f>L233-F233</f>
        <v>-13114.398362480119</v>
      </c>
      <c r="O233" s="154"/>
      <c r="P233" s="126"/>
      <c r="Q233" s="127">
        <f>Q194-Q231</f>
        <v>37862.669999999911</v>
      </c>
      <c r="R233" s="154"/>
      <c r="S233" s="129">
        <f>L233-Q233</f>
        <v>321.8700000000681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Mai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63" t="s">
        <v>5</v>
      </c>
      <c r="E238" s="464"/>
      <c r="F238" s="465"/>
      <c r="G238" s="466"/>
      <c r="H238" s="464"/>
      <c r="I238" s="465"/>
      <c r="J238" s="466" t="s">
        <v>7</v>
      </c>
      <c r="K238" s="464"/>
      <c r="L238" s="465"/>
      <c r="M238" s="466" t="s">
        <v>213</v>
      </c>
      <c r="N238" s="465"/>
      <c r="O238" s="463" t="s">
        <v>8</v>
      </c>
      <c r="P238" s="464"/>
      <c r="Q238" s="465"/>
      <c r="R238" s="470" t="s">
        <v>214</v>
      </c>
      <c r="S238" s="471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56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219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6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6"/>
        <v>CarrosserieM/O Sous-traitement</v>
      </c>
      <c r="B241" s="11" t="s">
        <v>94</v>
      </c>
      <c r="C241" s="29" t="s">
        <v>95</v>
      </c>
      <c r="D241" s="80">
        <v>0</v>
      </c>
      <c r="E241" s="82">
        <v>4678.3263940875004</v>
      </c>
      <c r="F241" s="82">
        <v>842.09875093574999</v>
      </c>
      <c r="G241" s="156"/>
      <c r="H241" s="82"/>
      <c r="I241" s="82"/>
      <c r="J241" s="60">
        <v>16</v>
      </c>
      <c r="K241" s="30">
        <v>7000.57</v>
      </c>
      <c r="L241" s="33">
        <v>827.80999999999949</v>
      </c>
      <c r="M241" s="157">
        <f>IFERROR((K241-E241)/E241,0)</f>
        <v>0.49638340942764619</v>
      </c>
      <c r="N241" s="59">
        <f>L241-F241</f>
        <v>-14.2887509357505</v>
      </c>
      <c r="O241" s="60">
        <v>11</v>
      </c>
      <c r="P241" s="30">
        <v>1481.64</v>
      </c>
      <c r="Q241" s="33">
        <v>-23.2699999999999</v>
      </c>
      <c r="R241" s="157">
        <f>IF(O241=0,0,J241/O241)</f>
        <v>1.4545454545454546</v>
      </c>
      <c r="S241" s="85">
        <f>L241-Q241</f>
        <v>851.07999999999936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6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/>
      <c r="J242" s="60"/>
      <c r="K242" s="13"/>
      <c r="L242" s="158">
        <f>IFERROR(L241/K241,0)</f>
        <v>0.11824894258610363</v>
      </c>
      <c r="M242" s="157"/>
      <c r="N242" s="486">
        <f>IFERROR(N241/M241,0)</f>
        <v>-28.785714156373825</v>
      </c>
      <c r="O242" s="60"/>
      <c r="P242" s="13"/>
      <c r="Q242" s="158">
        <f>IFERROR(Q241/P241,0)</f>
        <v>-1.5705569504062995E-2</v>
      </c>
      <c r="R242" s="60"/>
      <c r="S242" s="85">
        <f>IFERROR(S241/R241,0)</f>
        <v>585.1174999999995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6"/>
        <v>Carrosserie</v>
      </c>
      <c r="B243" s="11" t="s">
        <v>94</v>
      </c>
      <c r="C243" s="29"/>
      <c r="D243" s="80"/>
      <c r="E243" s="207"/>
      <c r="F243" s="487"/>
      <c r="G243" s="135"/>
      <c r="H243" s="207"/>
      <c r="I243" s="487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6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6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6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6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6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6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6"/>
        <v>CarrosserieTotal Mécanique</v>
      </c>
      <c r="B250" s="11" t="s">
        <v>94</v>
      </c>
      <c r="C250" s="62" t="s">
        <v>91</v>
      </c>
      <c r="D250" s="63"/>
      <c r="E250" s="63">
        <f>E244+E247+E241</f>
        <v>4678.3263940875004</v>
      </c>
      <c r="F250" s="65">
        <f>F244+F247+F241</f>
        <v>842.09875093574999</v>
      </c>
      <c r="G250" s="66"/>
      <c r="H250" s="63"/>
      <c r="I250" s="65"/>
      <c r="J250" s="66"/>
      <c r="K250" s="63">
        <f>K244+K247+K241</f>
        <v>7000.57</v>
      </c>
      <c r="L250" s="65">
        <f>L244+L247+L241</f>
        <v>827.80999999999949</v>
      </c>
      <c r="M250" s="206">
        <f>L251-F251</f>
        <v>-6.175105741389636E-2</v>
      </c>
      <c r="N250" s="65">
        <f>L250-F250</f>
        <v>-14.2887509357505</v>
      </c>
      <c r="O250" s="66"/>
      <c r="P250" s="63">
        <f t="shared" ref="P250:Q250" si="57">P244+P247+P241</f>
        <v>1481.64</v>
      </c>
      <c r="Q250" s="65">
        <f t="shared" si="57"/>
        <v>-23.2699999999999</v>
      </c>
      <c r="R250" s="206">
        <f>L251-Q251</f>
        <v>0.13395451209016662</v>
      </c>
      <c r="S250" s="68">
        <f>L250-Q250</f>
        <v>851.07999999999936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6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/>
      <c r="J251" s="72"/>
      <c r="K251" s="70"/>
      <c r="L251" s="74">
        <f>IF(K250=0,0,L250/K250)</f>
        <v>0.11824894258610363</v>
      </c>
      <c r="M251" s="73"/>
      <c r="N251" s="74">
        <f>N250/F250</f>
        <v>-1.6968022954401335E-2</v>
      </c>
      <c r="O251" s="72"/>
      <c r="P251" s="70"/>
      <c r="Q251" s="74">
        <f>Q250/P250</f>
        <v>-1.5705569504062995E-2</v>
      </c>
      <c r="R251" s="73"/>
      <c r="S251" s="75">
        <f>IF(R250=0,0,S250/R250)</f>
        <v>6353.5000555048546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6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6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6"/>
        <v>CarrosserieSalaires cadres</v>
      </c>
      <c r="B254" s="11" t="s">
        <v>94</v>
      </c>
      <c r="C254" s="102" t="s">
        <v>40</v>
      </c>
      <c r="D254" s="13"/>
      <c r="E254" s="13"/>
      <c r="F254" s="30">
        <v>304.27500000000003</v>
      </c>
      <c r="G254" s="41"/>
      <c r="H254" s="13"/>
      <c r="I254" s="30"/>
      <c r="J254" s="41"/>
      <c r="K254" s="13"/>
      <c r="L254" s="33">
        <v>304.27</v>
      </c>
      <c r="M254" s="41"/>
      <c r="N254" s="59">
        <f t="shared" ref="N254:N284" si="58">L254-F254</f>
        <v>-5.0000000000522959E-3</v>
      </c>
      <c r="O254" s="41"/>
      <c r="P254" s="13"/>
      <c r="Q254" s="33">
        <v>304.27</v>
      </c>
      <c r="R254" s="41"/>
      <c r="S254" s="85">
        <f t="shared" ref="S254:S265" si="59"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6"/>
        <v>CarrosserieSalaires commis</v>
      </c>
      <c r="B255" s="11" t="s">
        <v>94</v>
      </c>
      <c r="C255" s="103" t="s">
        <v>41</v>
      </c>
      <c r="D255" s="81"/>
      <c r="E255" s="13"/>
      <c r="F255" s="22">
        <v>356.44713740458019</v>
      </c>
      <c r="G255" s="83"/>
      <c r="H255" s="13"/>
      <c r="I255" s="22"/>
      <c r="J255" s="41"/>
      <c r="K255" s="13"/>
      <c r="L255" s="33">
        <v>394.45</v>
      </c>
      <c r="M255" s="41"/>
      <c r="N255" s="59">
        <f t="shared" si="58"/>
        <v>38.002862595419799</v>
      </c>
      <c r="O255" s="41"/>
      <c r="P255" s="13"/>
      <c r="Q255" s="33">
        <v>372.79</v>
      </c>
      <c r="R255" s="41"/>
      <c r="S255" s="85">
        <f>L255-Q255</f>
        <v>21.659999999999968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6"/>
        <v>CarrosserieSalaires autres</v>
      </c>
      <c r="B256" s="11" t="s">
        <v>94</v>
      </c>
      <c r="C256" s="102" t="s">
        <v>42</v>
      </c>
      <c r="D256" s="104"/>
      <c r="E256" s="105"/>
      <c r="F256" s="30">
        <v>19</v>
      </c>
      <c r="G256" s="106"/>
      <c r="H256" s="105"/>
      <c r="I256" s="30"/>
      <c r="J256" s="107"/>
      <c r="K256" s="105"/>
      <c r="L256" s="108">
        <v>19</v>
      </c>
      <c r="M256" s="107"/>
      <c r="N256" s="109">
        <f t="shared" si="58"/>
        <v>0</v>
      </c>
      <c r="O256" s="107"/>
      <c r="P256" s="105"/>
      <c r="Q256" s="108">
        <v>19</v>
      </c>
      <c r="R256" s="107"/>
      <c r="S256" s="110">
        <f t="shared" ref="S256:S272" si="60">L256-Q256</f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6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8"/>
        <v>0</v>
      </c>
      <c r="O257" s="41"/>
      <c r="P257" s="13"/>
      <c r="Q257" s="33">
        <v>0</v>
      </c>
      <c r="R257" s="41"/>
      <c r="S257" s="85">
        <f t="shared" si="60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6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6"/>
        <v>CarrosserieSalaires en absences</v>
      </c>
      <c r="B261" s="11" t="s">
        <v>94</v>
      </c>
      <c r="C261" s="103" t="s">
        <v>44</v>
      </c>
      <c r="D261" s="81"/>
      <c r="E261" s="13"/>
      <c r="F261" s="22">
        <v>110.24667767603741</v>
      </c>
      <c r="G261" s="83"/>
      <c r="H261" s="13"/>
      <c r="I261" s="22"/>
      <c r="J261" s="41"/>
      <c r="K261" s="13"/>
      <c r="L261" s="33">
        <v>95.24</v>
      </c>
      <c r="M261" s="41"/>
      <c r="N261" s="59">
        <f t="shared" si="58"/>
        <v>-15.006677676037413</v>
      </c>
      <c r="O261" s="41"/>
      <c r="P261" s="13"/>
      <c r="Q261" s="33">
        <v>86.39</v>
      </c>
      <c r="R261" s="41"/>
      <c r="S261" s="85">
        <f t="shared" si="60"/>
        <v>8.8499999999999943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6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144.33638144083972</v>
      </c>
      <c r="G262" s="106"/>
      <c r="H262" s="105"/>
      <c r="I262" s="30"/>
      <c r="J262" s="107"/>
      <c r="K262" s="105"/>
      <c r="L262" s="108">
        <v>220.92</v>
      </c>
      <c r="M262" s="107"/>
      <c r="N262" s="109">
        <f t="shared" si="58"/>
        <v>76.583618559160271</v>
      </c>
      <c r="O262" s="107"/>
      <c r="P262" s="105"/>
      <c r="Q262" s="108">
        <v>218.25</v>
      </c>
      <c r="R262" s="107"/>
      <c r="S262" s="110">
        <f t="shared" si="60"/>
        <v>2.6699999999999875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6"/>
        <v>CarrosserieBénéfices marginaux</v>
      </c>
      <c r="B263" s="11" t="s">
        <v>94</v>
      </c>
      <c r="C263" s="102" t="s">
        <v>46</v>
      </c>
      <c r="D263" s="81"/>
      <c r="E263" s="13"/>
      <c r="F263" s="30">
        <v>66.287819624681944</v>
      </c>
      <c r="G263" s="83"/>
      <c r="H263" s="13"/>
      <c r="I263" s="30"/>
      <c r="J263" s="41"/>
      <c r="K263" s="13"/>
      <c r="L263" s="33">
        <v>48.46</v>
      </c>
      <c r="M263" s="41"/>
      <c r="N263" s="59">
        <f t="shared" si="58"/>
        <v>-17.827819624681943</v>
      </c>
      <c r="O263" s="41"/>
      <c r="P263" s="13"/>
      <c r="Q263" s="33">
        <v>42.5</v>
      </c>
      <c r="R263" s="41"/>
      <c r="S263" s="85">
        <f t="shared" si="60"/>
        <v>5.9600000000000009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6"/>
        <v>CarrosserieCsst</v>
      </c>
      <c r="B264" s="11" t="s">
        <v>94</v>
      </c>
      <c r="C264" s="102" t="s">
        <v>47</v>
      </c>
      <c r="D264" s="81"/>
      <c r="E264" s="13"/>
      <c r="F264" s="30">
        <v>14.968217334605599</v>
      </c>
      <c r="G264" s="83"/>
      <c r="H264" s="13"/>
      <c r="I264" s="30"/>
      <c r="J264" s="41"/>
      <c r="K264" s="13"/>
      <c r="L264" s="33">
        <v>4.93</v>
      </c>
      <c r="M264" s="483"/>
      <c r="N264" s="146">
        <f t="shared" si="58"/>
        <v>-10.0382173346056</v>
      </c>
      <c r="O264" s="41"/>
      <c r="P264" s="13"/>
      <c r="Q264" s="33">
        <v>4.28</v>
      </c>
      <c r="R264" s="41"/>
      <c r="S264" s="85">
        <f t="shared" si="60"/>
        <v>0.64999999999999947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6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8"/>
        <v>0</v>
      </c>
      <c r="O265" s="23"/>
      <c r="P265" s="111"/>
      <c r="Q265" s="33">
        <v>0</v>
      </c>
      <c r="R265" s="23"/>
      <c r="S265" s="92">
        <f t="shared" si="60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6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1015.5612334807449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1087.2700000000002</v>
      </c>
      <c r="M266" s="147"/>
      <c r="N266" s="113">
        <f t="shared" si="58"/>
        <v>71.708766519255278</v>
      </c>
      <c r="O266" s="97" t="s">
        <v>38</v>
      </c>
      <c r="P266" s="95">
        <f>IF(Q244=0,0,Q266/Q$244)</f>
        <v>0</v>
      </c>
      <c r="Q266" s="96">
        <f>+SUM(Q254:Q265)</f>
        <v>1047.4799999999998</v>
      </c>
      <c r="R266" s="147"/>
      <c r="S266" s="114">
        <f t="shared" si="60"/>
        <v>39.790000000000418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6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8"/>
        <v>0</v>
      </c>
      <c r="O267" s="41"/>
      <c r="P267" s="13"/>
      <c r="Q267" s="33">
        <v>0</v>
      </c>
      <c r="R267" s="41"/>
      <c r="S267" s="85">
        <f t="shared" si="60"/>
        <v>0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6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28.14</v>
      </c>
      <c r="M268" s="41"/>
      <c r="N268" s="59">
        <f t="shared" si="58"/>
        <v>28.14</v>
      </c>
      <c r="O268" s="41"/>
      <c r="P268" s="13"/>
      <c r="Q268" s="33">
        <v>0</v>
      </c>
      <c r="R268" s="41"/>
      <c r="S268" s="85">
        <f t="shared" si="60"/>
        <v>28.14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6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119.375</v>
      </c>
      <c r="G269" s="89"/>
      <c r="H269" s="111"/>
      <c r="I269" s="22"/>
      <c r="J269" s="23"/>
      <c r="K269" s="111"/>
      <c r="L269" s="33">
        <v>195.31</v>
      </c>
      <c r="M269" s="23"/>
      <c r="N269" s="91">
        <f t="shared" si="58"/>
        <v>75.935000000000002</v>
      </c>
      <c r="O269" s="23"/>
      <c r="P269" s="111"/>
      <c r="Q269" s="33">
        <v>145.52000000000001</v>
      </c>
      <c r="R269" s="23"/>
      <c r="S269" s="92">
        <f t="shared" si="60"/>
        <v>49.789999999999992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6"/>
        <v>CarrosserieInformatique</v>
      </c>
      <c r="B270" s="11" t="s">
        <v>94</v>
      </c>
      <c r="C270" s="102" t="s">
        <v>52</v>
      </c>
      <c r="D270" s="81"/>
      <c r="E270" s="13"/>
      <c r="F270" s="30">
        <v>239.22500000000002</v>
      </c>
      <c r="G270" s="83"/>
      <c r="H270" s="13"/>
      <c r="I270" s="30"/>
      <c r="J270" s="41"/>
      <c r="K270" s="13"/>
      <c r="L270" s="108">
        <v>211.01</v>
      </c>
      <c r="M270" s="41"/>
      <c r="N270" s="59">
        <f t="shared" si="58"/>
        <v>-28.215000000000032</v>
      </c>
      <c r="O270" s="41"/>
      <c r="P270" s="13"/>
      <c r="Q270" s="108">
        <v>216.56</v>
      </c>
      <c r="R270" s="41"/>
      <c r="S270" s="85">
        <f t="shared" si="60"/>
        <v>-5.5500000000000114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6"/>
        <v>CarrosserieFrais de déplacement</v>
      </c>
      <c r="B271" s="11" t="s">
        <v>94</v>
      </c>
      <c r="C271" s="102" t="s">
        <v>53</v>
      </c>
      <c r="D271" s="81"/>
      <c r="E271" s="13"/>
      <c r="F271" s="30">
        <v>45.7</v>
      </c>
      <c r="G271" s="83"/>
      <c r="H271" s="13"/>
      <c r="I271" s="30"/>
      <c r="J271" s="41"/>
      <c r="K271" s="13"/>
      <c r="L271" s="33">
        <v>14.79</v>
      </c>
      <c r="M271" s="41"/>
      <c r="N271" s="59">
        <f t="shared" si="58"/>
        <v>-30.910000000000004</v>
      </c>
      <c r="O271" s="41"/>
      <c r="P271" s="13"/>
      <c r="Q271" s="33">
        <v>21.78</v>
      </c>
      <c r="R271" s="41"/>
      <c r="S271" s="85">
        <f t="shared" si="60"/>
        <v>-6.990000000000002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6"/>
        <v>CarrosserieServices extérieurs</v>
      </c>
      <c r="B272" s="11" t="s">
        <v>94</v>
      </c>
      <c r="C272" s="102" t="s">
        <v>54</v>
      </c>
      <c r="D272" s="87"/>
      <c r="E272" s="111"/>
      <c r="F272" s="22">
        <v>153.02500000000001</v>
      </c>
      <c r="G272" s="89"/>
      <c r="H272" s="111"/>
      <c r="I272" s="22"/>
      <c r="J272" s="23"/>
      <c r="K272" s="111"/>
      <c r="L272" s="33">
        <v>191.52</v>
      </c>
      <c r="M272" s="23"/>
      <c r="N272" s="91">
        <f t="shared" si="58"/>
        <v>38.495000000000005</v>
      </c>
      <c r="O272" s="23"/>
      <c r="P272" s="111"/>
      <c r="Q272" s="22">
        <v>111.72</v>
      </c>
      <c r="R272" s="23"/>
      <c r="S272" s="92">
        <f t="shared" si="60"/>
        <v>79.800000000000011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319" si="61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2.4096385542168672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8"/>
        <v>-2.4096385542168672</v>
      </c>
      <c r="O274" s="41"/>
      <c r="P274" s="13"/>
      <c r="Q274" s="33">
        <v>11.2</v>
      </c>
      <c r="R274" s="41"/>
      <c r="S274" s="85">
        <f t="shared" ref="S274:S292" si="62">L274-Q274</f>
        <v>-11.2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61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8"/>
        <v>0</v>
      </c>
      <c r="O275" s="41"/>
      <c r="P275" s="13"/>
      <c r="Q275" s="33">
        <v>0</v>
      </c>
      <c r="R275" s="41"/>
      <c r="S275" s="85">
        <f t="shared" si="62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61"/>
        <v>CarrosseriePapeterie</v>
      </c>
      <c r="B276" s="11" t="s">
        <v>94</v>
      </c>
      <c r="C276" s="102" t="s">
        <v>57</v>
      </c>
      <c r="D276" s="81"/>
      <c r="E276" s="13"/>
      <c r="F276" s="30">
        <v>43.75</v>
      </c>
      <c r="G276" s="83"/>
      <c r="H276" s="13"/>
      <c r="I276" s="30"/>
      <c r="J276" s="41"/>
      <c r="K276" s="13"/>
      <c r="L276" s="32">
        <v>38.18</v>
      </c>
      <c r="M276" s="41"/>
      <c r="N276" s="59">
        <f t="shared" si="58"/>
        <v>-5.57</v>
      </c>
      <c r="O276" s="41"/>
      <c r="P276" s="13"/>
      <c r="Q276" s="32">
        <v>31.17</v>
      </c>
      <c r="R276" s="41"/>
      <c r="S276" s="85">
        <f t="shared" si="62"/>
        <v>7.009999999999998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61"/>
        <v>CarrosserieTéléphone</v>
      </c>
      <c r="B277" s="11" t="s">
        <v>94</v>
      </c>
      <c r="C277" s="102" t="s">
        <v>58</v>
      </c>
      <c r="D277" s="81"/>
      <c r="E277" s="13"/>
      <c r="F277" s="30">
        <v>8.8000000000000007</v>
      </c>
      <c r="G277" s="83"/>
      <c r="H277" s="13"/>
      <c r="I277" s="30"/>
      <c r="J277" s="41"/>
      <c r="K277" s="13"/>
      <c r="L277" s="33">
        <v>7.75</v>
      </c>
      <c r="M277" s="41"/>
      <c r="N277" s="59">
        <f t="shared" si="58"/>
        <v>-1.0500000000000007</v>
      </c>
      <c r="O277" s="41"/>
      <c r="P277" s="13"/>
      <c r="Q277" s="33">
        <v>7.77</v>
      </c>
      <c r="R277" s="41"/>
      <c r="S277" s="85">
        <f t="shared" si="62"/>
        <v>-1.9999999999999574E-2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61"/>
        <v>CarrosserieFrais postaux</v>
      </c>
      <c r="B278" s="11" t="s">
        <v>94</v>
      </c>
      <c r="C278" s="102" t="s">
        <v>59</v>
      </c>
      <c r="D278" s="81"/>
      <c r="E278" s="13"/>
      <c r="F278" s="30">
        <v>12.5</v>
      </c>
      <c r="G278" s="83"/>
      <c r="H278" s="13"/>
      <c r="I278" s="30"/>
      <c r="J278" s="41"/>
      <c r="K278" s="13"/>
      <c r="L278" s="33">
        <v>7.64</v>
      </c>
      <c r="M278" s="41"/>
      <c r="N278" s="59">
        <f t="shared" si="58"/>
        <v>-4.8600000000000003</v>
      </c>
      <c r="O278" s="41"/>
      <c r="P278" s="13"/>
      <c r="Q278" s="33">
        <v>1.47</v>
      </c>
      <c r="R278" s="41"/>
      <c r="S278" s="85">
        <f t="shared" si="62"/>
        <v>6.17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61"/>
        <v>CarrosserieDivers</v>
      </c>
      <c r="B279" s="11" t="s">
        <v>94</v>
      </c>
      <c r="C279" s="102" t="s">
        <v>60</v>
      </c>
      <c r="D279" s="81"/>
      <c r="E279" s="13"/>
      <c r="F279" s="30">
        <v>46.45</v>
      </c>
      <c r="G279" s="83"/>
      <c r="H279" s="13"/>
      <c r="I279" s="30"/>
      <c r="J279" s="41"/>
      <c r="K279" s="13"/>
      <c r="L279" s="33">
        <v>36.14</v>
      </c>
      <c r="M279" s="41"/>
      <c r="N279" s="59">
        <f t="shared" si="58"/>
        <v>-10.310000000000002</v>
      </c>
      <c r="O279" s="41"/>
      <c r="P279" s="13"/>
      <c r="Q279" s="33">
        <v>54.01</v>
      </c>
      <c r="R279" s="41"/>
      <c r="S279" s="85">
        <f t="shared" si="62"/>
        <v>-17.869999999999997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61"/>
        <v>CarrosserieFormation</v>
      </c>
      <c r="B280" s="11" t="s">
        <v>94</v>
      </c>
      <c r="C280" s="102" t="s">
        <v>61</v>
      </c>
      <c r="D280" s="81"/>
      <c r="E280" s="13"/>
      <c r="F280" s="30">
        <v>20.768359999999994</v>
      </c>
      <c r="G280" s="83"/>
      <c r="H280" s="13"/>
      <c r="I280" s="30"/>
      <c r="J280" s="41"/>
      <c r="K280" s="13"/>
      <c r="L280" s="33">
        <v>-49.72</v>
      </c>
      <c r="M280" s="41"/>
      <c r="N280" s="59">
        <f t="shared" si="58"/>
        <v>-70.48836</v>
      </c>
      <c r="O280" s="41"/>
      <c r="P280" s="13"/>
      <c r="Q280" s="33">
        <v>13.27</v>
      </c>
      <c r="R280" s="41"/>
      <c r="S280" s="85">
        <f t="shared" si="62"/>
        <v>-62.989999999999995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61"/>
        <v>CarrosserieFrais bancaires</v>
      </c>
      <c r="B281" s="11" t="s">
        <v>94</v>
      </c>
      <c r="C281" s="102" t="s">
        <v>62</v>
      </c>
      <c r="D281" s="81"/>
      <c r="E281" s="13"/>
      <c r="F281" s="30">
        <v>199.36873098715489</v>
      </c>
      <c r="G281" s="83"/>
      <c r="H281" s="13"/>
      <c r="I281" s="30"/>
      <c r="J281" s="41"/>
      <c r="K281" s="13"/>
      <c r="L281" s="33">
        <v>228.27</v>
      </c>
      <c r="M281" s="41"/>
      <c r="N281" s="59">
        <f t="shared" si="58"/>
        <v>28.90126901284512</v>
      </c>
      <c r="O281" s="41"/>
      <c r="P281" s="13"/>
      <c r="Q281" s="33">
        <v>176.91</v>
      </c>
      <c r="R281" s="41"/>
      <c r="S281" s="85">
        <f t="shared" si="62"/>
        <v>51.360000000000014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61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:A329" si="63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 t="shared" ref="S284:S302" si="64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891.37172954137179</v>
      </c>
      <c r="G285" s="97"/>
      <c r="H285" s="95"/>
      <c r="I285" s="96"/>
      <c r="J285" s="97" t="s">
        <v>38</v>
      </c>
      <c r="K285" s="95" t="e">
        <f>IF(L262=0,0,L285/L$244)</f>
        <v>#DIV/0!</v>
      </c>
      <c r="L285" s="96">
        <f>+SUM(L267:L284)</f>
        <v>909.02999999999986</v>
      </c>
      <c r="M285" s="100"/>
      <c r="N285" s="96">
        <f>+SUM(N267:N284)</f>
        <v>17.658270458628209</v>
      </c>
      <c r="O285" s="97" t="s">
        <v>38</v>
      </c>
      <c r="P285" s="95">
        <f>IF(Q$244=0,0,Q285/Q$244)</f>
        <v>0</v>
      </c>
      <c r="Q285" s="96">
        <f>+SUM(Q267:Q284)</f>
        <v>791.38</v>
      </c>
      <c r="R285" s="100"/>
      <c r="S285" s="101">
        <f>L285-Q285</f>
        <v>117.64999999999986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1906.9329630221168</v>
      </c>
      <c r="G287" s="97"/>
      <c r="H287" s="95"/>
      <c r="I287" s="96"/>
      <c r="J287" s="97" t="s">
        <v>38</v>
      </c>
      <c r="K287" s="95" t="e">
        <f>IF(L264=0,0,L287/L$244)</f>
        <v>#DIV/0!</v>
      </c>
      <c r="L287" s="96">
        <f>L266+L285</f>
        <v>1996.3000000000002</v>
      </c>
      <c r="M287" s="100"/>
      <c r="N287" s="113">
        <f>L287-F287</f>
        <v>89.367036977883345</v>
      </c>
      <c r="O287" s="97" t="s">
        <v>38</v>
      </c>
      <c r="P287" s="95">
        <f>IF(Q$244=0,0,Q287/Q$244)</f>
        <v>0</v>
      </c>
      <c r="Q287" s="96">
        <f>Q266+Q285</f>
        <v>1838.8599999999997</v>
      </c>
      <c r="R287" s="100"/>
      <c r="S287" s="114">
        <f>L287-Q287</f>
        <v>157.44000000000051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-1064.8342120863667</v>
      </c>
      <c r="G289" s="153"/>
      <c r="H289" s="125"/>
      <c r="I289" s="127"/>
      <c r="J289" s="154"/>
      <c r="K289" s="126"/>
      <c r="L289" s="127">
        <f>L250-L287</f>
        <v>-1168.4900000000007</v>
      </c>
      <c r="M289" s="154"/>
      <c r="N289" s="127">
        <f>L289-F289</f>
        <v>-103.65578791363396</v>
      </c>
      <c r="O289" s="154"/>
      <c r="P289" s="126">
        <f>+Q289/P250</f>
        <v>-1.2568032720498903</v>
      </c>
      <c r="Q289" s="127">
        <f>Q250-Q287</f>
        <v>-1862.1299999999997</v>
      </c>
      <c r="R289" s="154"/>
      <c r="S289" s="129">
        <f>L289-Q289</f>
        <v>693.63999999999896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Mai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63" t="s">
        <v>5</v>
      </c>
      <c r="E293" s="464"/>
      <c r="F293" s="465"/>
      <c r="G293" s="466"/>
      <c r="H293" s="464"/>
      <c r="I293" s="465"/>
      <c r="J293" s="466" t="s">
        <v>7</v>
      </c>
      <c r="K293" s="464"/>
      <c r="L293" s="465"/>
      <c r="M293" s="466" t="s">
        <v>213</v>
      </c>
      <c r="N293" s="465"/>
      <c r="O293" s="463" t="s">
        <v>8</v>
      </c>
      <c r="P293" s="464"/>
      <c r="Q293" s="465"/>
      <c r="R293" s="470" t="s">
        <v>214</v>
      </c>
      <c r="S293" s="471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3" si="65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219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5"/>
        <v>PiècesPièces Ro Clients</v>
      </c>
      <c r="B295" s="11" t="s">
        <v>98</v>
      </c>
      <c r="C295" s="29" t="s">
        <v>100</v>
      </c>
      <c r="D295" s="82">
        <v>94141.149728135875</v>
      </c>
      <c r="E295" s="148">
        <f>IF(D295=0,0,F295/D295)</f>
        <v>0.41799999999999998</v>
      </c>
      <c r="F295" s="85">
        <v>39351.000586360795</v>
      </c>
      <c r="G295" s="82"/>
      <c r="H295" s="148"/>
      <c r="I295" s="85"/>
      <c r="J295" s="30">
        <v>101379.69</v>
      </c>
      <c r="K295" s="148">
        <f t="shared" ref="K295:K300" si="66">IF(J295&lt;=0,0,L295/J295)</f>
        <v>0.41161696193783981</v>
      </c>
      <c r="L295" s="33">
        <v>41729.599999999999</v>
      </c>
      <c r="M295" s="157">
        <f t="shared" ref="M295:M301" si="67">(+J295-D295)/D295</f>
        <v>7.6890289663636341E-2</v>
      </c>
      <c r="N295" s="59">
        <f t="shared" ref="N295:N304" si="68">L295-F295</f>
        <v>2378.5994136392037</v>
      </c>
      <c r="O295" s="30">
        <v>88627.3</v>
      </c>
      <c r="P295" s="148">
        <f t="shared" ref="P295:P303" si="69">IF(O295=0,0,Q295/O295)</f>
        <v>0.42120430160909783</v>
      </c>
      <c r="Q295" s="33">
        <v>37330.199999999997</v>
      </c>
      <c r="R295" s="157">
        <f>IF(O295=0,0,(J295-O295)/O295)</f>
        <v>0.14388783140183667</v>
      </c>
      <c r="S295" s="85">
        <f t="shared" ref="S295:S300" si="70">L295-Q295</f>
        <v>4399.4000000000015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5"/>
        <v>PiècesPièces Ro Carrosserie</v>
      </c>
      <c r="B296" s="11" t="s">
        <v>98</v>
      </c>
      <c r="C296" s="29" t="s">
        <v>101</v>
      </c>
      <c r="D296" s="82">
        <v>834</v>
      </c>
      <c r="E296" s="148">
        <f t="shared" ref="E296:E303" si="71">IF(D296=0,0,F296/D296)</f>
        <v>0.34</v>
      </c>
      <c r="F296" s="85">
        <v>283.56</v>
      </c>
      <c r="G296" s="82"/>
      <c r="H296" s="148"/>
      <c r="I296" s="85"/>
      <c r="J296" s="30">
        <v>4095.97</v>
      </c>
      <c r="K296" s="148">
        <f t="shared" si="66"/>
        <v>0.28024375178529137</v>
      </c>
      <c r="L296" s="33">
        <v>1147.8699999999999</v>
      </c>
      <c r="M296" s="157">
        <f t="shared" si="67"/>
        <v>3.9112350119904074</v>
      </c>
      <c r="N296" s="59">
        <f t="shared" si="68"/>
        <v>864.31</v>
      </c>
      <c r="O296" s="30">
        <v>0</v>
      </c>
      <c r="P296" s="148">
        <f t="shared" si="69"/>
        <v>0</v>
      </c>
      <c r="Q296" s="33">
        <v>0</v>
      </c>
      <c r="R296" s="157">
        <f t="shared" ref="R296:R303" si="72">IF(O296=0,0,(J296-O296)/O296)</f>
        <v>0</v>
      </c>
      <c r="S296" s="85">
        <f t="shared" si="70"/>
        <v>1147.8699999999999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5"/>
        <v>PiècesP/A Garantie</v>
      </c>
      <c r="B297" s="11" t="s">
        <v>98</v>
      </c>
      <c r="C297" s="29" t="s">
        <v>102</v>
      </c>
      <c r="D297" s="82">
        <v>61884.44844450643</v>
      </c>
      <c r="E297" s="148">
        <f t="shared" si="71"/>
        <v>0.28799999999999998</v>
      </c>
      <c r="F297" s="85">
        <v>17822.72115201785</v>
      </c>
      <c r="G297" s="82"/>
      <c r="H297" s="148"/>
      <c r="I297" s="85"/>
      <c r="J297" s="30">
        <v>45144.229999999996</v>
      </c>
      <c r="K297" s="148">
        <f t="shared" si="66"/>
        <v>0.28611474821920763</v>
      </c>
      <c r="L297" s="33">
        <v>12916.429999999998</v>
      </c>
      <c r="M297" s="157">
        <f t="shared" si="67"/>
        <v>-0.27050767786219942</v>
      </c>
      <c r="N297" s="59">
        <f t="shared" si="68"/>
        <v>-4906.2911520178513</v>
      </c>
      <c r="O297" s="30">
        <v>63475.66</v>
      </c>
      <c r="P297" s="148">
        <f t="shared" si="69"/>
        <v>0.28571565856896797</v>
      </c>
      <c r="Q297" s="33">
        <v>18135.9899999999</v>
      </c>
      <c r="R297" s="157">
        <f t="shared" si="72"/>
        <v>-0.28879463403767691</v>
      </c>
      <c r="S297" s="85">
        <f t="shared" si="70"/>
        <v>-5219.5599999999013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5"/>
        <v>PiècesVentes Internes</v>
      </c>
      <c r="B298" s="11" t="s">
        <v>98</v>
      </c>
      <c r="C298" s="29" t="s">
        <v>103</v>
      </c>
      <c r="D298" s="82">
        <v>23765.604833408877</v>
      </c>
      <c r="E298" s="148">
        <f t="shared" si="71"/>
        <v>0.38499999999999995</v>
      </c>
      <c r="F298" s="85">
        <v>9149.7578608624171</v>
      </c>
      <c r="G298" s="82"/>
      <c r="H298" s="148"/>
      <c r="I298" s="85"/>
      <c r="J298" s="30">
        <v>19700.91</v>
      </c>
      <c r="K298" s="148">
        <f t="shared" si="66"/>
        <v>0.28624109241654322</v>
      </c>
      <c r="L298" s="33">
        <v>5639.21</v>
      </c>
      <c r="M298" s="157">
        <f t="shared" si="67"/>
        <v>-0.17103266935141781</v>
      </c>
      <c r="N298" s="59">
        <f t="shared" si="68"/>
        <v>-3510.5478608624171</v>
      </c>
      <c r="O298" s="30">
        <v>23423.839999999898</v>
      </c>
      <c r="P298" s="148">
        <f t="shared" si="69"/>
        <v>0.38024380289482973</v>
      </c>
      <c r="Q298" s="33">
        <v>8906.7699999999895</v>
      </c>
      <c r="R298" s="157">
        <f t="shared" si="72"/>
        <v>-0.1589376464320075</v>
      </c>
      <c r="S298" s="85">
        <f t="shared" si="70"/>
        <v>-3267.5599999999895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5"/>
        <v>PiècesVentes Détails</v>
      </c>
      <c r="B299" s="11" t="s">
        <v>98</v>
      </c>
      <c r="C299" s="29" t="s">
        <v>104</v>
      </c>
      <c r="D299" s="82">
        <v>29796.150076849444</v>
      </c>
      <c r="E299" s="148">
        <f t="shared" si="71"/>
        <v>0.31</v>
      </c>
      <c r="F299" s="85">
        <v>9236.8065238233285</v>
      </c>
      <c r="G299" s="82"/>
      <c r="H299" s="148"/>
      <c r="I299" s="85"/>
      <c r="J299" s="30">
        <v>26564.869999999995</v>
      </c>
      <c r="K299" s="148">
        <f t="shared" si="66"/>
        <v>0.31206363893367434</v>
      </c>
      <c r="L299" s="33">
        <v>8289.9299999999967</v>
      </c>
      <c r="M299" s="157">
        <f t="shared" si="67"/>
        <v>-0.10844622773463741</v>
      </c>
      <c r="N299" s="59">
        <f t="shared" si="68"/>
        <v>-946.87652382333181</v>
      </c>
      <c r="O299" s="30">
        <v>24036.82</v>
      </c>
      <c r="P299" s="148">
        <f t="shared" si="69"/>
        <v>0.32853971532007936</v>
      </c>
      <c r="Q299" s="33">
        <v>7897.0499999999902</v>
      </c>
      <c r="R299" s="157">
        <f t="shared" si="72"/>
        <v>0.1051740621263543</v>
      </c>
      <c r="S299" s="85">
        <f t="shared" si="70"/>
        <v>392.88000000000648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81115.349672371303</v>
      </c>
      <c r="E300" s="148">
        <f t="shared" si="71"/>
        <v>0.21299999999999999</v>
      </c>
      <c r="F300" s="85">
        <v>17277.569480215087</v>
      </c>
      <c r="G300" s="82"/>
      <c r="H300" s="148"/>
      <c r="I300" s="85"/>
      <c r="J300" s="30">
        <v>66902.58</v>
      </c>
      <c r="K300" s="148">
        <f t="shared" si="66"/>
        <v>0.2107130995546061</v>
      </c>
      <c r="L300" s="33">
        <v>14097.25</v>
      </c>
      <c r="M300" s="157">
        <f t="shared" si="67"/>
        <v>-0.17521677129886445</v>
      </c>
      <c r="N300" s="59">
        <f t="shared" si="68"/>
        <v>-3180.3194802150865</v>
      </c>
      <c r="O300" s="30">
        <v>81331.16</v>
      </c>
      <c r="P300" s="148">
        <f t="shared" si="69"/>
        <v>0.22784207184552635</v>
      </c>
      <c r="Q300" s="33">
        <v>18530.66</v>
      </c>
      <c r="R300" s="157">
        <f t="shared" si="72"/>
        <v>-0.1774053142731519</v>
      </c>
      <c r="S300" s="85">
        <f t="shared" si="70"/>
        <v>-4433.41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7"/>
        <v>#DIV/0!</v>
      </c>
      <c r="N301" s="59">
        <f t="shared" si="68"/>
        <v>0</v>
      </c>
      <c r="O301" s="30">
        <v>0</v>
      </c>
      <c r="P301" s="148">
        <f t="shared" si="69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51" si="73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9" si="74">IF(D302=0,0,F302/D302)</f>
        <v>0</v>
      </c>
      <c r="F302" s="85">
        <v>7248.4445291987176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7049.22</v>
      </c>
      <c r="M302" s="157"/>
      <c r="N302" s="59">
        <f t="shared" si="68"/>
        <v>-199.22452919871739</v>
      </c>
      <c r="O302" s="30">
        <v>0</v>
      </c>
      <c r="P302" s="148">
        <f t="shared" si="69"/>
        <v>0</v>
      </c>
      <c r="Q302" s="33">
        <v>4693.1099999999997</v>
      </c>
      <c r="R302" s="157">
        <f t="shared" ref="R302:R309" si="75">IF(O302=0,0,(J302-O302)/O302)</f>
        <v>0</v>
      </c>
      <c r="S302" s="85">
        <f>L302-Q302</f>
        <v>2356.1100000000006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3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4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8"/>
        <v>0</v>
      </c>
      <c r="O303" s="30">
        <v>0</v>
      </c>
      <c r="P303" s="148">
        <f t="shared" si="69"/>
        <v>0</v>
      </c>
      <c r="Q303" s="33">
        <v>0</v>
      </c>
      <c r="R303" s="157">
        <f t="shared" si="75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3"/>
        <v>PiècesSous-total Pièces</v>
      </c>
      <c r="B304" s="11" t="s">
        <v>98</v>
      </c>
      <c r="C304" s="53" t="s">
        <v>108</v>
      </c>
      <c r="D304" s="195">
        <f>SUM(D295:D303)</f>
        <v>291536.70275527192</v>
      </c>
      <c r="E304" s="213">
        <f>IF(D304&lt;=0,0,F304/D304)</f>
        <v>0.34427864205054431</v>
      </c>
      <c r="F304" s="199">
        <f>SUM(F295:F303)</f>
        <v>100369.86013247819</v>
      </c>
      <c r="G304" s="195"/>
      <c r="H304" s="213"/>
      <c r="I304" s="199"/>
      <c r="J304" s="195">
        <f>SUM(J295:J303)</f>
        <v>263788.25</v>
      </c>
      <c r="K304" s="213">
        <f>IF(J304&lt;=0,0,L304/J304)</f>
        <v>0.34447899025070294</v>
      </c>
      <c r="L304" s="197">
        <f>SUM(L295:L303)</f>
        <v>90869.51</v>
      </c>
      <c r="M304" s="214">
        <f>(+J304-D304)/D304</f>
        <v>-9.5179963596436545E-2</v>
      </c>
      <c r="N304" s="197">
        <f t="shared" si="68"/>
        <v>-9500.3501324781973</v>
      </c>
      <c r="O304" s="195">
        <f>SUM(O295:O303)</f>
        <v>280894.77999999991</v>
      </c>
      <c r="P304" s="213">
        <f>IF(O304&lt;=0,0,Q304/O304)</f>
        <v>0.33996281454571675</v>
      </c>
      <c r="Q304" s="197">
        <f t="shared" ref="Q304" si="76">SUM(Q295:Q303)</f>
        <v>95493.779999999882</v>
      </c>
      <c r="R304" s="214">
        <f>IF(O304=0,0,(J304-O304)/O304)</f>
        <v>-6.090013491884725E-2</v>
      </c>
      <c r="S304" s="199">
        <f>L304-Q304</f>
        <v>-4624.2699999998877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3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-9.4653416074692978E-2</v>
      </c>
      <c r="O305" s="41"/>
      <c r="P305" s="13"/>
      <c r="Q305" s="40"/>
      <c r="R305" s="41"/>
      <c r="S305" s="44">
        <f>IF(Q304=0,0,S304/Q304)</f>
        <v>-4.8424829344904906E-2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3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3"/>
        <v>PiècesVentes Pneus</v>
      </c>
      <c r="B307" s="11" t="s">
        <v>98</v>
      </c>
      <c r="C307" s="29" t="s">
        <v>109</v>
      </c>
      <c r="D307" s="82">
        <v>70806.631658636878</v>
      </c>
      <c r="E307" s="148">
        <f>IF(D307=0,0,F307/D307)</f>
        <v>0.25</v>
      </c>
      <c r="F307" s="110">
        <v>17701.657914659219</v>
      </c>
      <c r="G307" s="82"/>
      <c r="H307" s="148"/>
      <c r="I307" s="110"/>
      <c r="J307" s="30">
        <v>77451.34</v>
      </c>
      <c r="K307" s="148">
        <f>IF(J307&lt;=0,0,L307/J307)</f>
        <v>0.22690775911688549</v>
      </c>
      <c r="L307" s="33">
        <v>17574.309999999998</v>
      </c>
      <c r="M307" s="157">
        <f>(+J307-D307)/D307</f>
        <v>9.3843022690270964E-2</v>
      </c>
      <c r="N307" s="59">
        <f>L307-F307</f>
        <v>-127.34791465922171</v>
      </c>
      <c r="O307" s="30">
        <v>76330.100000000006</v>
      </c>
      <c r="P307" s="148">
        <f t="shared" ref="P307:P308" si="77">IF(O307=0,0,Q307/O307)</f>
        <v>0.2360539289218801</v>
      </c>
      <c r="Q307" s="33">
        <v>18018.02</v>
      </c>
      <c r="R307" s="157">
        <f>IF(O307=0,0,(J307-O307)/O307)</f>
        <v>1.4689355837343205E-2</v>
      </c>
      <c r="S307" s="85">
        <f>L307-Q307</f>
        <v>-443.71000000000276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3"/>
        <v>PiècesHuiles et Graisse</v>
      </c>
      <c r="B308" s="11" t="s">
        <v>98</v>
      </c>
      <c r="C308" s="86" t="s">
        <v>110</v>
      </c>
      <c r="D308" s="82">
        <v>13314.411044469352</v>
      </c>
      <c r="E308" s="148">
        <f>IF(D308=0,0,F308/D308)</f>
        <v>0.35</v>
      </c>
      <c r="F308" s="92">
        <v>4660.0438655642729</v>
      </c>
      <c r="G308" s="82"/>
      <c r="H308" s="148"/>
      <c r="I308" s="92"/>
      <c r="J308" s="30">
        <v>16379.650000000001</v>
      </c>
      <c r="K308" s="148">
        <f>IF(J308&lt;=0,0,L308/J308)</f>
        <v>0.34580103970475562</v>
      </c>
      <c r="L308" s="33">
        <v>5664.1000000000013</v>
      </c>
      <c r="M308" s="157">
        <f>(+J308-D308)/D308</f>
        <v>0.23021964285862367</v>
      </c>
      <c r="N308" s="59">
        <f>L308-F308</f>
        <v>1004.0561344357284</v>
      </c>
      <c r="O308" s="30">
        <v>14140.67</v>
      </c>
      <c r="P308" s="148">
        <f t="shared" si="77"/>
        <v>0.35050814423927579</v>
      </c>
      <c r="Q308" s="33">
        <v>4956.42</v>
      </c>
      <c r="R308" s="157">
        <f>IF(O308=0,0,(J308-O308)/O308)</f>
        <v>0.15833620330578405</v>
      </c>
      <c r="S308" s="85">
        <f>L308-Q308</f>
        <v>707.6800000000012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3"/>
        <v>PiècesSous-total Pièces et Acc.</v>
      </c>
      <c r="B309" s="11" t="s">
        <v>98</v>
      </c>
      <c r="C309" s="53" t="s">
        <v>111</v>
      </c>
      <c r="D309" s="195">
        <f>D304+D307+D308</f>
        <v>375657.74545837811</v>
      </c>
      <c r="E309" s="213">
        <f>IF(D309&lt;=0,0,F309/D309)</f>
        <v>0.32671111775678807</v>
      </c>
      <c r="F309" s="197">
        <f>F304+F307+F308</f>
        <v>122731.5619127017</v>
      </c>
      <c r="G309" s="198"/>
      <c r="H309" s="213"/>
      <c r="I309" s="197"/>
      <c r="J309" s="198">
        <f>J304+J307+J308</f>
        <v>357619.24</v>
      </c>
      <c r="K309" s="213">
        <f>IF(J309&lt;=0,0,L309/J309)</f>
        <v>0.31907656869915613</v>
      </c>
      <c r="L309" s="197">
        <f>L304+L307+L308</f>
        <v>114107.92</v>
      </c>
      <c r="M309" s="214">
        <f>(+J309-D309)/D309</f>
        <v>-4.8018457429561331E-2</v>
      </c>
      <c r="N309" s="197">
        <f>L309-F309</f>
        <v>-8623.6419127016998</v>
      </c>
      <c r="O309" s="198">
        <f>O304+O307+O308</f>
        <v>371365.54999999987</v>
      </c>
      <c r="P309" s="213">
        <f>IF(O309&lt;=0,0,Q309/O309)</f>
        <v>0.31900702690381466</v>
      </c>
      <c r="Q309" s="197">
        <f t="shared" ref="Q309" si="78">Q304+Q307+Q308</f>
        <v>118468.21999999988</v>
      </c>
      <c r="R309" s="214">
        <f>IF(O309=0,0,(J309-O309)/O309)</f>
        <v>-3.7015576700638729E-2</v>
      </c>
      <c r="S309" s="199">
        <f>L309-Q309</f>
        <v>-4360.2999999998865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3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-7.0264256221522298E-2</v>
      </c>
      <c r="O310" s="41"/>
      <c r="P310" s="13"/>
      <c r="Q310" s="40"/>
      <c r="R310" s="41"/>
      <c r="S310" s="44">
        <f>IF(Q309=0,0,S309/Q309)</f>
        <v>-3.6805651338391768E-2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3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3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3"/>
        <v>PiècesTotal Dépt. Pièces</v>
      </c>
      <c r="B314" s="11" t="s">
        <v>98</v>
      </c>
      <c r="C314" s="62" t="s">
        <v>113</v>
      </c>
      <c r="D314" s="63">
        <f>D309+D312</f>
        <v>375657.74545837811</v>
      </c>
      <c r="E314" s="219">
        <f>IF(D314&lt;=0,0,F314/D314)</f>
        <v>0.32671111775678807</v>
      </c>
      <c r="F314" s="65">
        <f>F309+F312</f>
        <v>122731.5619127017</v>
      </c>
      <c r="G314" s="66"/>
      <c r="H314" s="219"/>
      <c r="I314" s="65"/>
      <c r="J314" s="66">
        <f>J309+J312</f>
        <v>357619.24</v>
      </c>
      <c r="K314" s="219">
        <f>IF(J314&lt;=0,0,L314/J314)</f>
        <v>0.31907656869915613</v>
      </c>
      <c r="L314" s="65">
        <f>L309+L312</f>
        <v>114107.92</v>
      </c>
      <c r="M314" s="220">
        <f>(+J314-D314)/D314</f>
        <v>-4.8018457429561331E-2</v>
      </c>
      <c r="N314" s="221">
        <f>L314-F314</f>
        <v>-8623.6419127016998</v>
      </c>
      <c r="O314" s="66">
        <f>O309+O312</f>
        <v>371365.54999999987</v>
      </c>
      <c r="P314" s="219">
        <f>IF(O314&lt;=0,0,Q314/O314)</f>
        <v>0.31900702690381466</v>
      </c>
      <c r="Q314" s="65">
        <f t="shared" ref="Q314" si="79">Q309+Q312</f>
        <v>118468.21999999988</v>
      </c>
      <c r="R314" s="220">
        <f>IF(O314=0,0,(J314-O314)/O314)</f>
        <v>-3.7015576700638729E-2</v>
      </c>
      <c r="S314" s="222">
        <f>L314-Q314</f>
        <v>-4360.2999999998865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3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-7.0264256221522298E-2</v>
      </c>
      <c r="O315" s="227"/>
      <c r="P315" s="225"/>
      <c r="Q315" s="226"/>
      <c r="R315" s="228"/>
      <c r="S315" s="75">
        <f>IF(Q314=0,0,S314/Q314)</f>
        <v>-3.6805651338391768E-2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3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3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3"/>
        <v>PiècesSalaires cadres</v>
      </c>
      <c r="B318" s="11" t="s">
        <v>98</v>
      </c>
      <c r="C318" s="102" t="s">
        <v>40</v>
      </c>
      <c r="D318" s="13"/>
      <c r="E318" s="13"/>
      <c r="F318" s="30">
        <v>4223.1058524173031</v>
      </c>
      <c r="G318" s="41"/>
      <c r="H318" s="13"/>
      <c r="I318" s="30"/>
      <c r="J318" s="41"/>
      <c r="K318" s="13"/>
      <c r="L318" s="33">
        <v>4172.8</v>
      </c>
      <c r="M318" s="41"/>
      <c r="N318" s="59">
        <f t="shared" ref="N318:N348" si="80">L318-F318</f>
        <v>-50.305852417302958</v>
      </c>
      <c r="O318" s="41"/>
      <c r="P318" s="13"/>
      <c r="Q318" s="33">
        <v>4025.96</v>
      </c>
      <c r="R318" s="41"/>
      <c r="S318" s="85">
        <f t="shared" ref="S318:S343" si="81">L318-Q318</f>
        <v>146.84000000000015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3"/>
        <v>PiècesSalaires commis</v>
      </c>
      <c r="B319" s="11" t="s">
        <v>98</v>
      </c>
      <c r="C319" s="103" t="s">
        <v>41</v>
      </c>
      <c r="D319" s="81"/>
      <c r="E319" s="13"/>
      <c r="F319" s="22">
        <v>2851.5770992366415</v>
      </c>
      <c r="G319" s="83"/>
      <c r="H319" s="13"/>
      <c r="I319" s="22"/>
      <c r="J319" s="41"/>
      <c r="K319" s="13"/>
      <c r="L319" s="33">
        <v>3155.8</v>
      </c>
      <c r="M319" s="41"/>
      <c r="N319" s="59">
        <f t="shared" si="80"/>
        <v>304.22290076335867</v>
      </c>
      <c r="O319" s="41"/>
      <c r="P319" s="13"/>
      <c r="Q319" s="33">
        <v>2982.45</v>
      </c>
      <c r="R319" s="41"/>
      <c r="S319" s="85">
        <f t="shared" si="81"/>
        <v>173.35000000000036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3"/>
        <v>PiècesSalaires autres</v>
      </c>
      <c r="B320" s="11" t="s">
        <v>98</v>
      </c>
      <c r="C320" s="102" t="s">
        <v>42</v>
      </c>
      <c r="D320" s="104"/>
      <c r="E320" s="105"/>
      <c r="F320" s="30">
        <v>13970.545801526718</v>
      </c>
      <c r="G320" s="106"/>
      <c r="H320" s="105"/>
      <c r="I320" s="30"/>
      <c r="J320" s="107"/>
      <c r="K320" s="105"/>
      <c r="L320" s="108">
        <v>13222.15</v>
      </c>
      <c r="M320" s="107"/>
      <c r="N320" s="109">
        <f t="shared" si="80"/>
        <v>-748.39580152671806</v>
      </c>
      <c r="O320" s="107"/>
      <c r="P320" s="105"/>
      <c r="Q320" s="108">
        <v>14079.07</v>
      </c>
      <c r="R320" s="107"/>
      <c r="S320" s="110">
        <f t="shared" si="81"/>
        <v>-856.92000000000007</v>
      </c>
      <c r="T320" s="13"/>
      <c r="U320" s="13"/>
      <c r="V320" s="478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73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80"/>
        <v>0</v>
      </c>
      <c r="O321" s="41"/>
      <c r="P321" s="13"/>
      <c r="Q321" s="33">
        <v>0</v>
      </c>
      <c r="R321" s="41"/>
      <c r="S321" s="85">
        <f t="shared" si="8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74" si="82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2491.3418015707575</v>
      </c>
      <c r="G325" s="83"/>
      <c r="H325" s="13"/>
      <c r="I325" s="22"/>
      <c r="J325" s="41"/>
      <c r="K325" s="13"/>
      <c r="L325" s="33">
        <v>4672.66</v>
      </c>
      <c r="M325" s="41"/>
      <c r="N325" s="59">
        <f t="shared" si="80"/>
        <v>2181.3181984292423</v>
      </c>
      <c r="O325" s="41"/>
      <c r="P325" s="13"/>
      <c r="Q325" s="33">
        <v>3881.96</v>
      </c>
      <c r="R325" s="41"/>
      <c r="S325" s="85">
        <f t="shared" ref="S325:S350" si="83">L325-Q325</f>
        <v>790.69999999999982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2"/>
        <v>PiècesDéduction à la source</v>
      </c>
      <c r="B326" s="11" t="s">
        <v>98</v>
      </c>
      <c r="C326" s="102" t="s">
        <v>45</v>
      </c>
      <c r="D326" s="104"/>
      <c r="E326" s="105"/>
      <c r="F326" s="30">
        <v>3261.6970248091607</v>
      </c>
      <c r="G326" s="106"/>
      <c r="H326" s="105"/>
      <c r="I326" s="30"/>
      <c r="J326" s="107"/>
      <c r="K326" s="105"/>
      <c r="L326" s="108">
        <v>3821.73</v>
      </c>
      <c r="M326" s="107"/>
      <c r="N326" s="109">
        <f t="shared" si="80"/>
        <v>560.03297519083935</v>
      </c>
      <c r="O326" s="107"/>
      <c r="P326" s="105"/>
      <c r="Q326" s="108">
        <v>3590.8</v>
      </c>
      <c r="R326" s="107"/>
      <c r="S326" s="110">
        <f t="shared" si="83"/>
        <v>230.92999999999984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2"/>
        <v>PiècesBénéfices marginaux</v>
      </c>
      <c r="B327" s="11" t="s">
        <v>98</v>
      </c>
      <c r="C327" s="102" t="s">
        <v>46</v>
      </c>
      <c r="D327" s="81"/>
      <c r="E327" s="13"/>
      <c r="F327" s="30">
        <v>1497.9645595419847</v>
      </c>
      <c r="G327" s="83"/>
      <c r="H327" s="13"/>
      <c r="I327" s="30"/>
      <c r="J327" s="41"/>
      <c r="K327" s="13"/>
      <c r="L327" s="33">
        <v>1865.62</v>
      </c>
      <c r="M327" s="41"/>
      <c r="N327" s="59">
        <f t="shared" si="80"/>
        <v>367.65544045801516</v>
      </c>
      <c r="O327" s="41"/>
      <c r="P327" s="13"/>
      <c r="Q327" s="33">
        <v>1826.35</v>
      </c>
      <c r="R327" s="41"/>
      <c r="S327" s="85">
        <f t="shared" si="83"/>
        <v>39.269999999999982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2"/>
        <v>PiècesCsst</v>
      </c>
      <c r="B328" s="11" t="s">
        <v>98</v>
      </c>
      <c r="C328" s="102" t="s">
        <v>47</v>
      </c>
      <c r="D328" s="81"/>
      <c r="E328" s="13"/>
      <c r="F328" s="30">
        <v>338.25006183206108</v>
      </c>
      <c r="G328" s="83"/>
      <c r="H328" s="13"/>
      <c r="I328" s="30"/>
      <c r="J328" s="41"/>
      <c r="K328" s="13"/>
      <c r="L328" s="33">
        <v>335.55</v>
      </c>
      <c r="M328" s="483"/>
      <c r="N328" s="146">
        <f t="shared" si="80"/>
        <v>-2.700061832061067</v>
      </c>
      <c r="O328" s="41"/>
      <c r="P328" s="13"/>
      <c r="Q328" s="33">
        <v>271.72000000000003</v>
      </c>
      <c r="R328" s="41"/>
      <c r="S328" s="85">
        <f t="shared" si="83"/>
        <v>63.829999999999984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80"/>
        <v>0</v>
      </c>
      <c r="O329" s="23"/>
      <c r="P329" s="111"/>
      <c r="Q329" s="33">
        <v>0</v>
      </c>
      <c r="R329" s="23"/>
      <c r="S329" s="92">
        <f t="shared" si="83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0.23330984919186623</v>
      </c>
      <c r="F330" s="96">
        <f>+SUM(F318:F329)</f>
        <v>28634.482200934628</v>
      </c>
      <c r="G330" s="97"/>
      <c r="H330" s="95"/>
      <c r="I330" s="96"/>
      <c r="J330" s="97" t="s">
        <v>38</v>
      </c>
      <c r="K330" s="95">
        <f>L330/L$314</f>
        <v>0.27383121171606667</v>
      </c>
      <c r="L330" s="96">
        <f>+SUM(L318:L329)</f>
        <v>31246.309999999998</v>
      </c>
      <c r="M330" s="147"/>
      <c r="N330" s="113">
        <f t="shared" si="80"/>
        <v>2611.8277990653696</v>
      </c>
      <c r="O330" s="97" t="s">
        <v>38</v>
      </c>
      <c r="P330" s="95">
        <f>Q330/Q$314</f>
        <v>0.25878931919463322</v>
      </c>
      <c r="Q330" s="96">
        <f>+SUM(Q318:Q329)</f>
        <v>30658.309999999998</v>
      </c>
      <c r="R330" s="147"/>
      <c r="S330" s="114">
        <f t="shared" si="83"/>
        <v>588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2"/>
        <v>PiècesPublicité 2</v>
      </c>
      <c r="B331" s="11" t="s">
        <v>98</v>
      </c>
      <c r="C331" s="211" t="s">
        <v>49</v>
      </c>
      <c r="D331" s="81"/>
      <c r="E331" s="13"/>
      <c r="F331" s="30">
        <v>2313.553760218475</v>
      </c>
      <c r="G331" s="83"/>
      <c r="H331" s="13"/>
      <c r="I331" s="30"/>
      <c r="J331" s="41"/>
      <c r="K331" s="13"/>
      <c r="L331" s="33">
        <v>3518.3</v>
      </c>
      <c r="M331" s="41"/>
      <c r="N331" s="59">
        <f t="shared" si="80"/>
        <v>1204.7462397815252</v>
      </c>
      <c r="O331" s="41"/>
      <c r="P331" s="13"/>
      <c r="Q331" s="33">
        <v>3270.87</v>
      </c>
      <c r="R331" s="41"/>
      <c r="S331" s="85">
        <f t="shared" si="83"/>
        <v>247.43000000000029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2"/>
        <v>PiècesService gratuit 2</v>
      </c>
      <c r="B332" s="11" t="s">
        <v>98</v>
      </c>
      <c r="C332" s="102" t="s">
        <v>50</v>
      </c>
      <c r="D332" s="81"/>
      <c r="E332" s="13"/>
      <c r="F332" s="30">
        <v>265</v>
      </c>
      <c r="G332" s="83"/>
      <c r="H332" s="13"/>
      <c r="I332" s="30"/>
      <c r="J332" s="41"/>
      <c r="K332" s="13"/>
      <c r="L332" s="59">
        <v>385.10999999999996</v>
      </c>
      <c r="M332" s="41"/>
      <c r="N332" s="59">
        <f t="shared" si="80"/>
        <v>120.10999999999996</v>
      </c>
      <c r="O332" s="41"/>
      <c r="P332" s="13"/>
      <c r="Q332" s="33">
        <v>292.14999999999998</v>
      </c>
      <c r="R332" s="41"/>
      <c r="S332" s="85">
        <f t="shared" si="83"/>
        <v>92.95999999999998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2"/>
        <v>PiècesFrais véhicules de cie</v>
      </c>
      <c r="B333" s="11" t="s">
        <v>98</v>
      </c>
      <c r="C333" s="103" t="s">
        <v>51</v>
      </c>
      <c r="D333" s="87"/>
      <c r="E333" s="111"/>
      <c r="F333" s="22">
        <v>4423.3333333333339</v>
      </c>
      <c r="G333" s="89"/>
      <c r="H333" s="111"/>
      <c r="I333" s="22"/>
      <c r="J333" s="23"/>
      <c r="K333" s="111"/>
      <c r="L333" s="91">
        <v>4525.33</v>
      </c>
      <c r="M333" s="23"/>
      <c r="N333" s="91">
        <f t="shared" si="80"/>
        <v>101.99666666666599</v>
      </c>
      <c r="O333" s="23"/>
      <c r="P333" s="111"/>
      <c r="Q333" s="33">
        <v>4065.81</v>
      </c>
      <c r="R333" s="23"/>
      <c r="S333" s="92">
        <f t="shared" si="83"/>
        <v>459.52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2"/>
        <v>PiècesInformatique</v>
      </c>
      <c r="B334" s="11" t="s">
        <v>98</v>
      </c>
      <c r="C334" s="102" t="s">
        <v>52</v>
      </c>
      <c r="D334" s="81"/>
      <c r="E334" s="13"/>
      <c r="F334" s="30">
        <v>1913.8000000000002</v>
      </c>
      <c r="G334" s="83"/>
      <c r="H334" s="13"/>
      <c r="I334" s="30"/>
      <c r="J334" s="41"/>
      <c r="K334" s="13"/>
      <c r="L334" s="108">
        <v>1829.89</v>
      </c>
      <c r="M334" s="41"/>
      <c r="N334" s="59">
        <f t="shared" si="80"/>
        <v>-83.910000000000082</v>
      </c>
      <c r="O334" s="41"/>
      <c r="P334" s="13"/>
      <c r="Q334" s="108">
        <v>2315.71</v>
      </c>
      <c r="R334" s="41"/>
      <c r="S334" s="85">
        <f t="shared" si="83"/>
        <v>-485.81999999999994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2"/>
        <v>PiècesFrais de déplacement</v>
      </c>
      <c r="B335" s="11" t="s">
        <v>98</v>
      </c>
      <c r="C335" s="102" t="s">
        <v>53</v>
      </c>
      <c r="D335" s="81"/>
      <c r="E335" s="13"/>
      <c r="F335" s="30">
        <v>365.6</v>
      </c>
      <c r="G335" s="83"/>
      <c r="H335" s="13"/>
      <c r="I335" s="30"/>
      <c r="J335" s="41"/>
      <c r="K335" s="13"/>
      <c r="L335" s="33">
        <v>167.9</v>
      </c>
      <c r="M335" s="41"/>
      <c r="N335" s="59">
        <f t="shared" si="80"/>
        <v>-197.70000000000002</v>
      </c>
      <c r="O335" s="41"/>
      <c r="P335" s="13"/>
      <c r="Q335" s="33">
        <v>362.64</v>
      </c>
      <c r="R335" s="41"/>
      <c r="S335" s="85">
        <f t="shared" si="83"/>
        <v>-194.73999999999998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2"/>
        <v>PiècesServices extérieurs</v>
      </c>
      <c r="B336" s="11" t="s">
        <v>98</v>
      </c>
      <c r="C336" s="230" t="s">
        <v>54</v>
      </c>
      <c r="D336" s="87"/>
      <c r="E336" s="111"/>
      <c r="F336" s="22">
        <v>1994.2000000000003</v>
      </c>
      <c r="G336" s="89"/>
      <c r="H336" s="111"/>
      <c r="I336" s="22"/>
      <c r="J336" s="23"/>
      <c r="K336" s="111"/>
      <c r="L336" s="48">
        <v>2176.35</v>
      </c>
      <c r="M336" s="23"/>
      <c r="N336" s="91">
        <f t="shared" si="80"/>
        <v>182.14999999999964</v>
      </c>
      <c r="O336" s="23"/>
      <c r="P336" s="111"/>
      <c r="Q336" s="48">
        <v>1476.24</v>
      </c>
      <c r="R336" s="23"/>
      <c r="S336" s="92">
        <f t="shared" si="83"/>
        <v>700.1099999999999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80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87" si="84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28.112449799196785</v>
      </c>
      <c r="G338" s="83"/>
      <c r="H338" s="13"/>
      <c r="I338" s="30"/>
      <c r="J338" s="41"/>
      <c r="K338" s="13"/>
      <c r="L338" s="33">
        <v>0</v>
      </c>
      <c r="M338" s="41"/>
      <c r="N338" s="59">
        <f t="shared" si="80"/>
        <v>-28.112449799196785</v>
      </c>
      <c r="O338" s="41"/>
      <c r="P338" s="13"/>
      <c r="Q338" s="33">
        <v>89.6</v>
      </c>
      <c r="R338" s="41"/>
      <c r="S338" s="85">
        <f t="shared" ref="S338:S363" si="85">L338-Q338</f>
        <v>-89.6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4"/>
        <v>PiècesUniformes</v>
      </c>
      <c r="B339" s="11" t="s">
        <v>98</v>
      </c>
      <c r="C339" s="102" t="s">
        <v>56</v>
      </c>
      <c r="D339" s="81"/>
      <c r="E339" s="13"/>
      <c r="F339" s="30">
        <v>33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80"/>
        <v>-33</v>
      </c>
      <c r="O339" s="41"/>
      <c r="P339" s="13"/>
      <c r="Q339" s="33">
        <v>0</v>
      </c>
      <c r="R339" s="41"/>
      <c r="S339" s="85">
        <f t="shared" si="85"/>
        <v>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PiècesPapeterie</v>
      </c>
      <c r="B340" s="11" t="s">
        <v>98</v>
      </c>
      <c r="C340" s="102" t="s">
        <v>57</v>
      </c>
      <c r="D340" s="81"/>
      <c r="E340" s="13"/>
      <c r="F340" s="30">
        <v>350</v>
      </c>
      <c r="G340" s="83"/>
      <c r="H340" s="13"/>
      <c r="I340" s="30"/>
      <c r="J340" s="41"/>
      <c r="K340" s="13"/>
      <c r="L340" s="32">
        <v>305.52999999999997</v>
      </c>
      <c r="M340" s="41"/>
      <c r="N340" s="59">
        <f t="shared" si="80"/>
        <v>-44.470000000000027</v>
      </c>
      <c r="O340" s="41"/>
      <c r="P340" s="13"/>
      <c r="Q340" s="32">
        <v>249.49</v>
      </c>
      <c r="R340" s="41"/>
      <c r="S340" s="85">
        <f t="shared" si="85"/>
        <v>56.039999999999964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108.2</v>
      </c>
      <c r="M341" s="41"/>
      <c r="N341" s="59">
        <f t="shared" si="80"/>
        <v>-10.200000000000003</v>
      </c>
      <c r="O341" s="41"/>
      <c r="P341" s="13"/>
      <c r="Q341" s="33">
        <v>62.31</v>
      </c>
      <c r="R341" s="41"/>
      <c r="S341" s="85">
        <f t="shared" si="85"/>
        <v>45.89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PiècesFrais postaux</v>
      </c>
      <c r="B342" s="11" t="s">
        <v>98</v>
      </c>
      <c r="C342" s="102" t="s">
        <v>59</v>
      </c>
      <c r="D342" s="81"/>
      <c r="E342" s="13"/>
      <c r="F342" s="30">
        <v>475</v>
      </c>
      <c r="G342" s="83"/>
      <c r="H342" s="13"/>
      <c r="I342" s="30"/>
      <c r="J342" s="41"/>
      <c r="K342" s="13"/>
      <c r="L342" s="33">
        <v>-739.36</v>
      </c>
      <c r="M342" s="41"/>
      <c r="N342" s="59">
        <f t="shared" si="80"/>
        <v>-1214.3600000000001</v>
      </c>
      <c r="O342" s="41"/>
      <c r="P342" s="13"/>
      <c r="Q342" s="33">
        <v>493.32</v>
      </c>
      <c r="R342" s="41"/>
      <c r="S342" s="85">
        <f t="shared" si="85"/>
        <v>-1232.68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PiècesDivers</v>
      </c>
      <c r="B343" s="11" t="s">
        <v>98</v>
      </c>
      <c r="C343" s="102" t="s">
        <v>60</v>
      </c>
      <c r="D343" s="81"/>
      <c r="E343" s="13"/>
      <c r="F343" s="30">
        <v>371.6</v>
      </c>
      <c r="G343" s="83"/>
      <c r="H343" s="13"/>
      <c r="I343" s="30"/>
      <c r="J343" s="41"/>
      <c r="K343" s="13"/>
      <c r="L343" s="33">
        <v>289.2</v>
      </c>
      <c r="M343" s="41"/>
      <c r="N343" s="59">
        <f t="shared" si="80"/>
        <v>-82.400000000000034</v>
      </c>
      <c r="O343" s="41"/>
      <c r="P343" s="13"/>
      <c r="Q343" s="33">
        <v>432.2</v>
      </c>
      <c r="R343" s="41"/>
      <c r="S343" s="85">
        <f t="shared" si="85"/>
        <v>-143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241.14687999999995</v>
      </c>
      <c r="G344" s="83"/>
      <c r="H344" s="13"/>
      <c r="I344" s="30"/>
      <c r="J344" s="41"/>
      <c r="K344" s="13"/>
      <c r="L344" s="59">
        <v>-397.61</v>
      </c>
      <c r="M344" s="41"/>
      <c r="N344" s="59">
        <f t="shared" si="80"/>
        <v>-638.75687999999991</v>
      </c>
      <c r="O344" s="41"/>
      <c r="P344" s="13"/>
      <c r="Q344" s="33">
        <v>106.34</v>
      </c>
      <c r="R344" s="41"/>
      <c r="S344" s="85">
        <f>L344-Q344</f>
        <v>-503.95000000000005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1594.9498478972391</v>
      </c>
      <c r="G345" s="83"/>
      <c r="H345" s="13"/>
      <c r="I345" s="30"/>
      <c r="J345" s="41"/>
      <c r="K345" s="13"/>
      <c r="L345" s="32">
        <v>1826.24</v>
      </c>
      <c r="M345" s="41"/>
      <c r="N345" s="59">
        <f t="shared" si="80"/>
        <v>231.29015210276089</v>
      </c>
      <c r="O345" s="41"/>
      <c r="P345" s="13"/>
      <c r="Q345" s="33">
        <v>1415.35</v>
      </c>
      <c r="R345" s="41"/>
      <c r="S345" s="85">
        <f>L345-Q345</f>
        <v>410.8900000000001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80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0.11804377004142802</v>
      </c>
      <c r="F349" s="96">
        <f>+SUM(F331:F348)</f>
        <v>14487.696271248245</v>
      </c>
      <c r="G349" s="97"/>
      <c r="H349" s="95"/>
      <c r="I349" s="96"/>
      <c r="J349" s="97" t="s">
        <v>38</v>
      </c>
      <c r="K349" s="95">
        <f>L349/L$314</f>
        <v>0.12264775310951247</v>
      </c>
      <c r="L349" s="96">
        <f>+SUM(L331:L348)</f>
        <v>13995.08</v>
      </c>
      <c r="M349" s="100"/>
      <c r="N349" s="96">
        <f>+SUM(N331:N348)</f>
        <v>-492.61627124824554</v>
      </c>
      <c r="O349" s="97" t="s">
        <v>38</v>
      </c>
      <c r="P349" s="95">
        <f>Q349/Q$314</f>
        <v>0.12351017006923895</v>
      </c>
      <c r="Q349" s="96">
        <f>+SUM(Q331:Q348)</f>
        <v>14632.03</v>
      </c>
      <c r="R349" s="100"/>
      <c r="S349" s="101">
        <f>+SUM(S331:S348)</f>
        <v>-636.94999999999982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0.35135361923329428</v>
      </c>
      <c r="F351" s="96">
        <f>F330+F349</f>
        <v>43122.178472182874</v>
      </c>
      <c r="G351" s="97"/>
      <c r="H351" s="95"/>
      <c r="I351" s="96"/>
      <c r="J351" s="97" t="s">
        <v>38</v>
      </c>
      <c r="K351" s="95">
        <f>L351/L$314</f>
        <v>0.39647896482557915</v>
      </c>
      <c r="L351" s="96">
        <f>L330+L349</f>
        <v>45241.39</v>
      </c>
      <c r="M351" s="100"/>
      <c r="N351" s="113">
        <f>L351-F351</f>
        <v>2119.2115278171259</v>
      </c>
      <c r="O351" s="97" t="s">
        <v>38</v>
      </c>
      <c r="P351" s="95">
        <f>Q351/Q$314</f>
        <v>0.38229948926387214</v>
      </c>
      <c r="Q351" s="96">
        <f>Q330+Q349</f>
        <v>45290.34</v>
      </c>
      <c r="R351" s="100"/>
      <c r="S351" s="114">
        <f>L351-Q351</f>
        <v>-48.94999999999709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79609.383440518825</v>
      </c>
      <c r="G353" s="153"/>
      <c r="H353" s="125"/>
      <c r="I353" s="127"/>
      <c r="J353" s="154"/>
      <c r="K353" s="126"/>
      <c r="L353" s="127">
        <f>L314-L351</f>
        <v>68866.53</v>
      </c>
      <c r="M353" s="154"/>
      <c r="N353" s="127">
        <f>L353-F353</f>
        <v>-10742.853440518826</v>
      </c>
      <c r="O353" s="154"/>
      <c r="P353" s="126">
        <f>+Q353/O314</f>
        <v>0.19705080344689999</v>
      </c>
      <c r="Q353" s="127">
        <f>Q314-Q351</f>
        <v>73177.879999999888</v>
      </c>
      <c r="R353" s="154"/>
      <c r="S353" s="129">
        <f>L353-Q353</f>
        <v>-4311.3499999998894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Mai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63" t="s">
        <v>5</v>
      </c>
      <c r="E358" s="464"/>
      <c r="F358" s="465"/>
      <c r="G358" s="466"/>
      <c r="H358" s="464"/>
      <c r="I358" s="465"/>
      <c r="J358" s="466" t="s">
        <v>7</v>
      </c>
      <c r="K358" s="464"/>
      <c r="L358" s="465"/>
      <c r="M358" s="466"/>
      <c r="N358" s="465"/>
      <c r="O358" s="463" t="s">
        <v>8</v>
      </c>
      <c r="P358" s="464"/>
      <c r="Q358" s="465"/>
      <c r="R358" s="466" t="s">
        <v>9</v>
      </c>
      <c r="S358" s="467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6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6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6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6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7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6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6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6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6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6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6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6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6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6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6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6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6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6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6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6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6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6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6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6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6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6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6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6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6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6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6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6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6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6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129843.48759091255</v>
      </c>
      <c r="G401" s="13"/>
      <c r="H401" s="13"/>
      <c r="I401" s="13"/>
      <c r="J401" s="13"/>
      <c r="K401" s="13"/>
      <c r="L401" s="82">
        <f>L353+L289+L233</f>
        <v>105882.57999999997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88"/>
      <c r="AU401" s="488"/>
      <c r="AV401" s="489"/>
    </row>
    <row r="402" spans="1:61" ht="35.25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Mai 2024</v>
      </c>
      <c r="AP402" s="246"/>
      <c r="AQ402" s="488"/>
      <c r="AS402" s="489"/>
      <c r="AT402" s="490"/>
      <c r="AU402" s="488"/>
      <c r="AV402" s="489"/>
      <c r="AW402" s="489"/>
      <c r="AX402" s="489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91"/>
      <c r="AR403" s="246"/>
      <c r="AS403" s="489"/>
      <c r="AT403" s="492"/>
      <c r="AU403" s="491"/>
      <c r="AV403" s="493"/>
      <c r="AW403" s="493"/>
      <c r="AX403" s="493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468" t="s">
        <v>117</v>
      </c>
      <c r="Y404" s="461"/>
      <c r="Z404" s="469"/>
      <c r="AA404" s="460"/>
      <c r="AB404" s="461"/>
      <c r="AC404" s="469"/>
      <c r="AD404" s="460" t="s">
        <v>7</v>
      </c>
      <c r="AE404" s="461"/>
      <c r="AF404" s="469"/>
      <c r="AG404" s="460" t="s">
        <v>213</v>
      </c>
      <c r="AH404" s="461"/>
      <c r="AI404" s="469"/>
      <c r="AJ404" s="460" t="s">
        <v>118</v>
      </c>
      <c r="AK404" s="461"/>
      <c r="AL404" s="461"/>
      <c r="AM404" s="460" t="s">
        <v>119</v>
      </c>
      <c r="AN404" s="461"/>
      <c r="AO404" s="462"/>
      <c r="AP404" s="246"/>
      <c r="AQ404" s="491"/>
      <c r="AR404" s="246"/>
      <c r="AS404" s="493"/>
      <c r="AT404" s="492"/>
      <c r="AU404" s="491"/>
      <c r="AV404" s="493"/>
      <c r="AW404" s="493"/>
      <c r="AX404" s="493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94"/>
      <c r="AR405" s="395"/>
      <c r="AS405" s="395"/>
      <c r="AT405" s="495"/>
      <c r="AU405" s="494"/>
      <c r="AV405" s="496"/>
      <c r="AW405" s="496"/>
      <c r="AX405" s="496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5281290.8870769488</v>
      </c>
      <c r="AA406" s="263"/>
      <c r="AB406" s="263"/>
      <c r="AC406" s="264"/>
      <c r="AD406" s="265"/>
      <c r="AE406" s="266"/>
      <c r="AF406" s="266">
        <f>L5+L93+K194+K250+J314+J362</f>
        <v>5500461.7200000007</v>
      </c>
      <c r="AG406" s="265"/>
      <c r="AH406" s="266"/>
      <c r="AI406" s="267"/>
      <c r="AJ406" s="265"/>
      <c r="AK406" s="266"/>
      <c r="AL406" s="266">
        <f>Q5+Q93+P194+P250+O314+O362</f>
        <v>5228335.0699999891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93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569755.57458954141</v>
      </c>
      <c r="AA407" s="271"/>
      <c r="AB407" s="271"/>
      <c r="AC407" s="272"/>
      <c r="AD407" s="273"/>
      <c r="AE407" s="274"/>
      <c r="AF407" s="274">
        <f>L27+L108+L194+L250+L314+L362</f>
        <v>570108.12000000011</v>
      </c>
      <c r="AG407" s="273"/>
      <c r="AH407" s="274">
        <f>AF407-Z407</f>
        <v>352.54541045869701</v>
      </c>
      <c r="AI407" s="275">
        <f>AH407/Z407</f>
        <v>6.1876605720387172E-4</v>
      </c>
      <c r="AJ407" s="273">
        <f>+AL407/AL406</f>
        <v>0.10781312070727719</v>
      </c>
      <c r="AK407" s="274"/>
      <c r="AL407" s="274">
        <f>Q27+Q108+Q194+Q250+Q314+Q362</f>
        <v>563683.11999999941</v>
      </c>
      <c r="AM407" s="276"/>
      <c r="AN407" s="274">
        <f>AF407-AL407</f>
        <v>6425.0000000006985</v>
      </c>
      <c r="AO407" s="277">
        <f>IF(AL407=0,0,AN407/AL407)</f>
        <v>1.1398248008563224E-2</v>
      </c>
      <c r="AP407" s="246"/>
      <c r="AQ407" s="246" t="s">
        <v>226</v>
      </c>
      <c r="AR407" s="310">
        <v>557083</v>
      </c>
      <c r="AS407" s="310">
        <f>AF407-AR407</f>
        <v>13025.120000000112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91"/>
      <c r="AV408" s="491"/>
      <c r="AW408" s="491"/>
      <c r="AX408" s="491"/>
      <c r="AY408" s="491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90">Z409/(D$13+D$97)</f>
        <v>1227.5859703911449</v>
      </c>
      <c r="Z409" s="280">
        <f t="shared" ref="Z409:Z415" si="91">+SUMIF($C:$C,$V409,F:F)</f>
        <v>61379.29851955724</v>
      </c>
      <c r="AA409" s="279"/>
      <c r="AB409" s="287"/>
      <c r="AC409" s="280"/>
      <c r="AD409" s="288"/>
      <c r="AE409" s="287">
        <f t="shared" ref="AE409:AE414" si="92">IF(AF409=0,0,AF409/(J$13+J$97))</f>
        <v>1151.3363793103447</v>
      </c>
      <c r="AF409" s="280">
        <f t="shared" ref="AF409:AF415" si="93">+SUMIF($C:$C,$V409,L:L)</f>
        <v>66777.509999999995</v>
      </c>
      <c r="AG409" s="281">
        <f t="shared" ref="AG409:AH424" si="94">AE409-Y409</f>
        <v>-76.249591080800201</v>
      </c>
      <c r="AH409" s="282">
        <f t="shared" si="94"/>
        <v>5398.2114804427547</v>
      </c>
      <c r="AI409" s="283">
        <f t="shared" ref="AI409:AI418" si="95">IF(Z409=0,0,AH409/Z409)</f>
        <v>8.7948406232155399E-2</v>
      </c>
      <c r="AJ409" s="288">
        <f t="shared" ref="AJ409:AJ415" si="96">AL409/AL$407</f>
        <v>0.1140603429813546</v>
      </c>
      <c r="AK409" s="282">
        <f t="shared" ref="AK409:AK418" si="97">AL409/(O$13+O$97)</f>
        <v>1339.4560416666666</v>
      </c>
      <c r="AL409" s="280">
        <f t="shared" ref="AL409:AL414" si="98">+SUMIF($C:$C,$V409,Q:Q)</f>
        <v>64293.89</v>
      </c>
      <c r="AM409" s="284">
        <f t="shared" ref="AM409:AM414" si="99">AE409-Y409</f>
        <v>-76.249591080800201</v>
      </c>
      <c r="AN409" s="282">
        <f t="shared" ref="AN409:AN414" si="100">AF409-AL409</f>
        <v>2483.6199999999953</v>
      </c>
      <c r="AO409" s="289">
        <f t="shared" ref="AO409:AO431" si="101">IF(AL409=0,0,AN409/AL409)</f>
        <v>3.8629176116112982E-2</v>
      </c>
      <c r="AP409" s="246"/>
      <c r="AQ409" s="246"/>
      <c r="AS409" s="497"/>
      <c r="AT409" s="490"/>
      <c r="AU409" s="491"/>
      <c r="AV409" s="491"/>
      <c r="AW409" s="491"/>
      <c r="AX409" s="491"/>
      <c r="AY409" s="491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90"/>
        <v>430</v>
      </c>
      <c r="Z410" s="264">
        <f t="shared" si="91"/>
        <v>21500</v>
      </c>
      <c r="AA410" s="263"/>
      <c r="AB410" s="291"/>
      <c r="AC410" s="264"/>
      <c r="AD410" s="292"/>
      <c r="AE410" s="291">
        <f t="shared" si="92"/>
        <v>652.03344827586216</v>
      </c>
      <c r="AF410" s="264">
        <f t="shared" si="93"/>
        <v>37817.94</v>
      </c>
      <c r="AG410" s="265">
        <f t="shared" si="94"/>
        <v>222.03344827586216</v>
      </c>
      <c r="AH410" s="266">
        <f t="shared" si="94"/>
        <v>16317.940000000002</v>
      </c>
      <c r="AI410" s="293">
        <f t="shared" si="95"/>
        <v>0.75897395348837216</v>
      </c>
      <c r="AJ410" s="292">
        <f t="shared" si="96"/>
        <v>4.1928823414119666E-2</v>
      </c>
      <c r="AK410" s="266">
        <f t="shared" si="97"/>
        <v>492.38687499999997</v>
      </c>
      <c r="AL410" s="264">
        <f t="shared" si="98"/>
        <v>23634.57</v>
      </c>
      <c r="AM410" s="268">
        <f t="shared" si="99"/>
        <v>222.03344827586216</v>
      </c>
      <c r="AN410" s="266">
        <f t="shared" si="100"/>
        <v>14183.370000000003</v>
      </c>
      <c r="AO410" s="294">
        <f t="shared" si="101"/>
        <v>0.6001111930532268</v>
      </c>
      <c r="AP410" s="246"/>
      <c r="AQ410" s="246"/>
      <c r="AS410" s="439"/>
      <c r="AT410" s="490"/>
      <c r="AU410" s="491"/>
      <c r="AV410" s="491"/>
      <c r="AW410" s="491"/>
      <c r="AX410" s="491"/>
      <c r="AY410" s="491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90"/>
        <v>110.8</v>
      </c>
      <c r="Z411" s="280">
        <f t="shared" si="91"/>
        <v>5540</v>
      </c>
      <c r="AA411" s="279"/>
      <c r="AB411" s="287"/>
      <c r="AC411" s="280"/>
      <c r="AD411" s="288"/>
      <c r="AE411" s="287">
        <f t="shared" si="92"/>
        <v>95.484310344827591</v>
      </c>
      <c r="AF411" s="280">
        <f t="shared" si="93"/>
        <v>5538.09</v>
      </c>
      <c r="AG411" s="281">
        <f t="shared" si="94"/>
        <v>-15.315689655172406</v>
      </c>
      <c r="AH411" s="282">
        <f t="shared" si="94"/>
        <v>-1.9099999999998545</v>
      </c>
      <c r="AI411" s="283">
        <f t="shared" si="95"/>
        <v>-3.4476534296026254E-4</v>
      </c>
      <c r="AJ411" s="288">
        <f t="shared" si="96"/>
        <v>4.8948245957764411E-3</v>
      </c>
      <c r="AK411" s="282">
        <f t="shared" si="97"/>
        <v>57.481875000000002</v>
      </c>
      <c r="AL411" s="280">
        <f t="shared" si="98"/>
        <v>2759.13</v>
      </c>
      <c r="AM411" s="284">
        <f t="shared" si="99"/>
        <v>-15.315689655172406</v>
      </c>
      <c r="AN411" s="282">
        <f t="shared" si="100"/>
        <v>2778.96</v>
      </c>
      <c r="AO411" s="289">
        <f t="shared" si="101"/>
        <v>1.0071870480912462</v>
      </c>
      <c r="AP411" s="246"/>
      <c r="AQ411" s="246"/>
      <c r="AS411" s="439"/>
      <c r="AT411" s="490"/>
      <c r="AU411" s="491"/>
      <c r="AV411" s="491"/>
      <c r="AW411" s="491"/>
      <c r="AX411" s="491"/>
      <c r="AY411" s="491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90"/>
        <v>69.3</v>
      </c>
      <c r="Z412" s="280">
        <f t="shared" si="91"/>
        <v>3465</v>
      </c>
      <c r="AA412" s="279"/>
      <c r="AB412" s="287"/>
      <c r="AC412" s="280"/>
      <c r="AD412" s="288"/>
      <c r="AE412" s="287">
        <f t="shared" si="92"/>
        <v>66.592758620689651</v>
      </c>
      <c r="AF412" s="280">
        <f t="shared" si="93"/>
        <v>3862.38</v>
      </c>
      <c r="AG412" s="281">
        <f t="shared" si="94"/>
        <v>-2.7072413793103465</v>
      </c>
      <c r="AH412" s="282">
        <f t="shared" si="94"/>
        <v>397.38000000000011</v>
      </c>
      <c r="AI412" s="283">
        <f t="shared" si="95"/>
        <v>0.11468398268398272</v>
      </c>
      <c r="AJ412" s="288">
        <f t="shared" si="96"/>
        <v>1.1494827093633754E-2</v>
      </c>
      <c r="AK412" s="282">
        <f t="shared" si="97"/>
        <v>134.98833333333332</v>
      </c>
      <c r="AL412" s="280">
        <f t="shared" si="98"/>
        <v>6479.44</v>
      </c>
      <c r="AM412" s="284">
        <f t="shared" si="99"/>
        <v>-2.7072413793103465</v>
      </c>
      <c r="AN412" s="282">
        <f t="shared" si="100"/>
        <v>-2617.0599999999995</v>
      </c>
      <c r="AO412" s="295">
        <f t="shared" si="101"/>
        <v>-0.40390218907806841</v>
      </c>
      <c r="AP412" s="246"/>
      <c r="AQ412" s="246"/>
      <c r="AS412" s="439"/>
      <c r="AT412" s="490"/>
      <c r="AU412" s="491"/>
      <c r="AV412" s="491"/>
      <c r="AW412" s="491"/>
      <c r="AX412" s="491"/>
      <c r="AY412" s="491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227</v>
      </c>
      <c r="X413" s="263"/>
      <c r="Y413" s="291">
        <f t="shared" si="90"/>
        <v>70.2</v>
      </c>
      <c r="Z413" s="264">
        <f t="shared" si="91"/>
        <v>3510</v>
      </c>
      <c r="AA413" s="263"/>
      <c r="AB413" s="291"/>
      <c r="AC413" s="264"/>
      <c r="AD413" s="292"/>
      <c r="AE413" s="291">
        <f t="shared" si="92"/>
        <v>54.979655172413793</v>
      </c>
      <c r="AF413" s="264">
        <f t="shared" si="93"/>
        <v>3188.82</v>
      </c>
      <c r="AG413" s="265">
        <f t="shared" si="94"/>
        <v>-15.22034482758621</v>
      </c>
      <c r="AH413" s="266">
        <f t="shared" si="94"/>
        <v>-321.17999999999984</v>
      </c>
      <c r="AI413" s="293">
        <f t="shared" si="95"/>
        <v>-9.1504273504273453E-2</v>
      </c>
      <c r="AJ413" s="292">
        <f t="shared" si="96"/>
        <v>6.3459235749333846E-3</v>
      </c>
      <c r="AK413" s="266">
        <f t="shared" si="97"/>
        <v>74.522708333333341</v>
      </c>
      <c r="AL413" s="264">
        <f t="shared" si="98"/>
        <v>3577.09</v>
      </c>
      <c r="AM413" s="268">
        <f t="shared" si="99"/>
        <v>-15.22034482758621</v>
      </c>
      <c r="AN413" s="266">
        <f t="shared" si="100"/>
        <v>-388.27</v>
      </c>
      <c r="AO413" s="294">
        <f t="shared" si="101"/>
        <v>-0.10854353678548763</v>
      </c>
      <c r="AP413" s="246"/>
      <c r="AQ413" s="246"/>
      <c r="AS413" s="439"/>
      <c r="AT413" s="490"/>
      <c r="AU413" s="491"/>
      <c r="AV413" s="491"/>
      <c r="AW413" s="491"/>
      <c r="AX413" s="491"/>
      <c r="AY413" s="491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228</v>
      </c>
      <c r="X414" s="283"/>
      <c r="Y414" s="287">
        <f t="shared" si="90"/>
        <v>408.75510416666674</v>
      </c>
      <c r="Z414" s="280">
        <f t="shared" si="91"/>
        <v>20437.755208333336</v>
      </c>
      <c r="AA414" s="283"/>
      <c r="AB414" s="287"/>
      <c r="AC414" s="280"/>
      <c r="AD414" s="288"/>
      <c r="AE414" s="287">
        <f t="shared" si="92"/>
        <v>381.64948275862065</v>
      </c>
      <c r="AF414" s="280">
        <f t="shared" si="93"/>
        <v>22135.67</v>
      </c>
      <c r="AG414" s="281">
        <f t="shared" si="94"/>
        <v>-27.10562140804609</v>
      </c>
      <c r="AH414" s="282">
        <f t="shared" si="94"/>
        <v>1697.9147916666625</v>
      </c>
      <c r="AI414" s="283">
        <f t="shared" si="95"/>
        <v>8.3077362183805334E-2</v>
      </c>
      <c r="AJ414" s="288">
        <f t="shared" si="96"/>
        <v>3.3788185816172787E-2</v>
      </c>
      <c r="AK414" s="282">
        <f t="shared" si="97"/>
        <v>396.78812500000004</v>
      </c>
      <c r="AL414" s="280">
        <f t="shared" si="98"/>
        <v>19045.830000000002</v>
      </c>
      <c r="AM414" s="284">
        <f t="shared" si="99"/>
        <v>-27.10562140804609</v>
      </c>
      <c r="AN414" s="282">
        <f t="shared" si="100"/>
        <v>3089.8399999999965</v>
      </c>
      <c r="AO414" s="289">
        <f t="shared" si="101"/>
        <v>0.16223183762534876</v>
      </c>
      <c r="AP414" s="246"/>
      <c r="AQ414" s="246"/>
      <c r="AR414" s="440"/>
      <c r="AS414" s="439"/>
      <c r="AT414" s="490"/>
      <c r="AU414" s="491"/>
      <c r="AV414" s="491"/>
      <c r="AW414" s="491"/>
      <c r="AX414" s="491"/>
      <c r="AY414" s="491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229</v>
      </c>
      <c r="X415" s="279"/>
      <c r="Y415" s="287">
        <f t="shared" si="90"/>
        <v>763.90385422945064</v>
      </c>
      <c r="Z415" s="280">
        <f t="shared" si="91"/>
        <v>38195.192711472533</v>
      </c>
      <c r="AA415" s="279"/>
      <c r="AB415" s="287"/>
      <c r="AC415" s="280"/>
      <c r="AD415" s="288"/>
      <c r="AE415" s="287">
        <f>IF(AF415=0,0,AF415/(J$13+J$13))</f>
        <v>652.51794117647057</v>
      </c>
      <c r="AF415" s="280">
        <f t="shared" si="93"/>
        <v>44371.22</v>
      </c>
      <c r="AG415" s="281">
        <f t="shared" si="94"/>
        <v>-111.38591305298007</v>
      </c>
      <c r="AH415" s="282">
        <f t="shared" si="94"/>
        <v>6176.027288527468</v>
      </c>
      <c r="AI415" s="283">
        <f t="shared" si="95"/>
        <v>0.16169645576031877</v>
      </c>
      <c r="AJ415" s="288">
        <f t="shared" si="96"/>
        <v>2.2453093858833335E-2</v>
      </c>
      <c r="AK415" s="282">
        <f t="shared" si="97"/>
        <v>263.67562500000003</v>
      </c>
      <c r="AL415" s="280">
        <f>IFERROR(SUMIF($C:$C,$V415,Q:Q),0)</f>
        <v>12656.43</v>
      </c>
      <c r="AM415" s="284">
        <f>AE415-Y415</f>
        <v>-111.38591305298007</v>
      </c>
      <c r="AN415" s="282">
        <f>AF415-AL415</f>
        <v>31714.79</v>
      </c>
      <c r="AO415" s="289">
        <f t="shared" si="101"/>
        <v>2.5058243122270656</v>
      </c>
      <c r="AP415" s="246"/>
      <c r="AQ415" s="246">
        <v>44371</v>
      </c>
      <c r="AR415" s="13"/>
      <c r="AS415" s="498"/>
      <c r="AT415" s="246"/>
      <c r="AU415" s="491"/>
      <c r="AV415" s="491"/>
      <c r="AW415" s="491"/>
      <c r="AX415" s="491"/>
      <c r="AY415" s="491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90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4"/>
        <v>0</v>
      </c>
      <c r="AH416" s="282">
        <f t="shared" si="94"/>
        <v>0</v>
      </c>
      <c r="AI416" s="283">
        <f t="shared" si="95"/>
        <v>0</v>
      </c>
      <c r="AJ416" s="288"/>
      <c r="AK416" s="282">
        <f t="shared" si="97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101"/>
        <v>0</v>
      </c>
      <c r="AP416" s="246"/>
      <c r="AQ416" s="246"/>
      <c r="AR416" s="13"/>
      <c r="AS416" s="246"/>
      <c r="AT416" s="246"/>
      <c r="AU416" s="491"/>
      <c r="AV416" s="491"/>
      <c r="AW416" s="491"/>
      <c r="AX416" s="491"/>
      <c r="AY416" s="491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90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4"/>
        <v>0</v>
      </c>
      <c r="AH417" s="282">
        <f t="shared" si="94"/>
        <v>0</v>
      </c>
      <c r="AI417" s="283">
        <f t="shared" si="95"/>
        <v>0</v>
      </c>
      <c r="AJ417" s="288"/>
      <c r="AK417" s="282">
        <f t="shared" si="97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101"/>
        <v>0</v>
      </c>
      <c r="AP417" s="246"/>
      <c r="AQ417" s="246"/>
      <c r="AR417" s="13"/>
      <c r="AS417" s="246"/>
      <c r="AT417" s="246"/>
      <c r="AU417" s="491"/>
      <c r="AV417" s="491"/>
      <c r="AW417" s="491"/>
      <c r="AX417" s="491"/>
      <c r="AY417" s="491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90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4"/>
        <v>0</v>
      </c>
      <c r="AH418" s="282">
        <f t="shared" si="94"/>
        <v>0</v>
      </c>
      <c r="AI418" s="283">
        <f t="shared" si="95"/>
        <v>0</v>
      </c>
      <c r="AJ418" s="288"/>
      <c r="AK418" s="282">
        <f t="shared" si="97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101"/>
        <v>0</v>
      </c>
      <c r="AP418" s="246"/>
      <c r="AQ418" s="246"/>
      <c r="AR418" s="13"/>
      <c r="AS418" s="246"/>
      <c r="AT418" s="246"/>
      <c r="AU418" s="491"/>
      <c r="AV418" s="491"/>
      <c r="AW418" s="491"/>
      <c r="AX418" s="491"/>
      <c r="AY418" s="491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0.27033916526455426</v>
      </c>
      <c r="Y419" s="297"/>
      <c r="Z419" s="299">
        <f>SUM(Z409:Z418)</f>
        <v>154027.24643936311</v>
      </c>
      <c r="AA419" s="298"/>
      <c r="AB419" s="297"/>
      <c r="AC419" s="299"/>
      <c r="AD419" s="300">
        <f>AF419/AF407</f>
        <v>0.32220490036170679</v>
      </c>
      <c r="AE419" s="297"/>
      <c r="AF419" s="299">
        <f>SUM(AF409:AF418)</f>
        <v>183691.63</v>
      </c>
      <c r="AG419" s="301"/>
      <c r="AH419" s="302">
        <f t="shared" si="94"/>
        <v>29664.383560636896</v>
      </c>
      <c r="AI419" s="298">
        <f>AH419/Z419</f>
        <v>0.19259179298719115</v>
      </c>
      <c r="AJ419" s="300">
        <f>IF($AL$407=0,0,AL419/$AL$407)</f>
        <v>0.23496602133482397</v>
      </c>
      <c r="AK419" s="297"/>
      <c r="AL419" s="299">
        <f>SUM(AL409:AL418)</f>
        <v>132446.38</v>
      </c>
      <c r="AM419" s="303"/>
      <c r="AN419" s="302">
        <f t="shared" ref="AN419:AN431" si="102">AF419-AL419</f>
        <v>51245.25</v>
      </c>
      <c r="AO419" s="277">
        <f t="shared" si="101"/>
        <v>0.38691317950705784</v>
      </c>
      <c r="AP419" s="246"/>
      <c r="AQ419" s="246"/>
      <c r="AR419" s="13"/>
      <c r="AS419" s="246"/>
      <c r="AT419" s="246"/>
      <c r="AU419" s="491"/>
      <c r="AV419" s="491"/>
      <c r="AW419" s="491"/>
      <c r="AX419" s="491"/>
      <c r="AY419" s="491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15577.449745547074</v>
      </c>
      <c r="AA420" s="279"/>
      <c r="AB420" s="279"/>
      <c r="AC420" s="280"/>
      <c r="AD420" s="288"/>
      <c r="AE420" s="287"/>
      <c r="AF420" s="280">
        <v>13896.78</v>
      </c>
      <c r="AG420" s="281"/>
      <c r="AH420" s="282">
        <f t="shared" si="94"/>
        <v>-1680.669745547073</v>
      </c>
      <c r="AI420" s="283">
        <f t="shared" ref="AI420:AI432" si="103">IF(Z420=0,0,AH420/Z420)</f>
        <v>-0.1078911999717736</v>
      </c>
      <c r="AJ420" s="288"/>
      <c r="AK420" s="279"/>
      <c r="AL420" s="280">
        <v>14713.9899999999</v>
      </c>
      <c r="AM420" s="284"/>
      <c r="AN420" s="282">
        <f t="shared" si="102"/>
        <v>-817.20999999989908</v>
      </c>
      <c r="AO420" s="289">
        <f t="shared" si="101"/>
        <v>-5.5539659874711392E-2</v>
      </c>
      <c r="AP420" s="246"/>
      <c r="AQ420" s="246"/>
      <c r="AS420" s="246"/>
      <c r="AT420" s="246"/>
      <c r="AU420" s="491"/>
      <c r="AV420" s="491"/>
      <c r="AW420" s="491"/>
      <c r="AX420" s="491"/>
      <c r="AY420" s="491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4">+SUMIF($C:$C,$V421,F:F)</f>
        <v>32305.096692111962</v>
      </c>
      <c r="AA421" s="279"/>
      <c r="AB421" s="279"/>
      <c r="AC421" s="280"/>
      <c r="AD421" s="288"/>
      <c r="AE421" s="287"/>
      <c r="AF421" s="280">
        <f t="shared" ref="AF421:AF432" si="105">+SUMIF($C:$C,$V421,L:L)</f>
        <v>31911.299999999996</v>
      </c>
      <c r="AG421" s="281"/>
      <c r="AH421" s="282">
        <f t="shared" si="94"/>
        <v>-393.79669211196597</v>
      </c>
      <c r="AI421" s="283">
        <f t="shared" si="103"/>
        <v>-1.2189924576456091E-2</v>
      </c>
      <c r="AJ421" s="288"/>
      <c r="AK421" s="279"/>
      <c r="AL421" s="280">
        <f t="shared" ref="AL421:AL429" si="106">+SUMIF($C:$C,$V421,Q:Q)</f>
        <v>30634.06</v>
      </c>
      <c r="AM421" s="284"/>
      <c r="AN421" s="282">
        <f t="shared" si="102"/>
        <v>1277.2399999999943</v>
      </c>
      <c r="AO421" s="289">
        <f t="shared" si="101"/>
        <v>4.1693461460870489E-2</v>
      </c>
      <c r="AP421" s="246"/>
      <c r="AQ421" s="246"/>
      <c r="AS421" s="246"/>
      <c r="AT421" s="246"/>
      <c r="AU421" s="491"/>
      <c r="AV421" s="491"/>
      <c r="AW421" s="491"/>
      <c r="AX421" s="491"/>
      <c r="AY421" s="491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4"/>
        <v>20206.106234096689</v>
      </c>
      <c r="AA422" s="263"/>
      <c r="AB422" s="263"/>
      <c r="AC422" s="264"/>
      <c r="AD422" s="292"/>
      <c r="AE422" s="291"/>
      <c r="AF422" s="264">
        <f t="shared" si="105"/>
        <v>22622.29</v>
      </c>
      <c r="AG422" s="265"/>
      <c r="AH422" s="266">
        <f t="shared" si="94"/>
        <v>2416.1837659033117</v>
      </c>
      <c r="AI422" s="293">
        <f t="shared" si="103"/>
        <v>0.11957691095507234</v>
      </c>
      <c r="AJ422" s="292"/>
      <c r="AK422" s="263"/>
      <c r="AL422" s="264">
        <f t="shared" si="106"/>
        <v>24387.27</v>
      </c>
      <c r="AM422" s="268"/>
      <c r="AN422" s="266">
        <f t="shared" si="102"/>
        <v>-1764.9799999999996</v>
      </c>
      <c r="AO422" s="269">
        <f t="shared" si="101"/>
        <v>-7.2373004440431404E-2</v>
      </c>
      <c r="AP422" s="246"/>
      <c r="AQ422" s="246"/>
      <c r="AS422" s="246"/>
      <c r="AT422" s="246"/>
      <c r="AU422" s="491"/>
      <c r="AV422" s="491"/>
      <c r="AW422" s="491"/>
      <c r="AX422" s="491"/>
      <c r="AY422" s="491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4"/>
        <v>21762.774809160306</v>
      </c>
      <c r="AA423" s="279"/>
      <c r="AB423" s="279"/>
      <c r="AC423" s="280"/>
      <c r="AD423" s="288"/>
      <c r="AE423" s="287"/>
      <c r="AF423" s="280">
        <f t="shared" si="105"/>
        <v>23657.65</v>
      </c>
      <c r="AG423" s="281"/>
      <c r="AH423" s="282">
        <f t="shared" si="94"/>
        <v>1894.8751908396953</v>
      </c>
      <c r="AI423" s="283">
        <f t="shared" si="103"/>
        <v>8.7069558337850905E-2</v>
      </c>
      <c r="AJ423" s="288"/>
      <c r="AK423" s="279"/>
      <c r="AL423" s="280">
        <f t="shared" si="106"/>
        <v>21902.42</v>
      </c>
      <c r="AM423" s="284"/>
      <c r="AN423" s="282">
        <f t="shared" si="102"/>
        <v>1755.2300000000032</v>
      </c>
      <c r="AO423" s="289">
        <f t="shared" si="101"/>
        <v>8.0138633082554506E-2</v>
      </c>
      <c r="AP423" s="246"/>
      <c r="AQ423" s="246"/>
      <c r="AS423" s="246"/>
      <c r="AT423" s="246"/>
      <c r="AU423" s="491"/>
      <c r="AV423" s="491"/>
      <c r="AW423" s="491"/>
      <c r="AX423" s="491"/>
      <c r="AY423" s="491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230</v>
      </c>
      <c r="X424" s="279"/>
      <c r="Y424" s="279"/>
      <c r="Z424" s="280">
        <f t="shared" si="104"/>
        <v>13843.692830312786</v>
      </c>
      <c r="AA424" s="279"/>
      <c r="AB424" s="279"/>
      <c r="AC424" s="280"/>
      <c r="AD424" s="288"/>
      <c r="AE424" s="287"/>
      <c r="AF424" s="280">
        <f t="shared" si="105"/>
        <v>17092.900000000001</v>
      </c>
      <c r="AG424" s="281"/>
      <c r="AH424" s="282">
        <f t="shared" si="94"/>
        <v>3249.2071696872154</v>
      </c>
      <c r="AI424" s="283">
        <f t="shared" si="103"/>
        <v>0.23470667902805542</v>
      </c>
      <c r="AJ424" s="288"/>
      <c r="AK424" s="279"/>
      <c r="AL424" s="280">
        <f t="shared" si="106"/>
        <v>13021.88</v>
      </c>
      <c r="AM424" s="284"/>
      <c r="AN424" s="282">
        <f t="shared" si="102"/>
        <v>4071.0200000000023</v>
      </c>
      <c r="AO424" s="289">
        <f t="shared" si="101"/>
        <v>0.31262920561393615</v>
      </c>
      <c r="AP424" s="246"/>
      <c r="AQ424" s="246"/>
      <c r="AS424" s="491"/>
      <c r="AT424" s="491"/>
      <c r="AU424" s="491"/>
      <c r="AV424" s="491"/>
      <c r="AW424" s="491"/>
      <c r="AX424" s="491"/>
      <c r="AY424" s="491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4"/>
        <v>0</v>
      </c>
      <c r="AA425" s="279"/>
      <c r="AB425" s="279"/>
      <c r="AC425" s="282"/>
      <c r="AD425" s="288"/>
      <c r="AE425" s="287"/>
      <c r="AF425" s="280">
        <f t="shared" si="105"/>
        <v>0</v>
      </c>
      <c r="AG425" s="281"/>
      <c r="AH425" s="282">
        <f t="shared" ref="AH425:AH457" si="107">AF425-Z425</f>
        <v>0</v>
      </c>
      <c r="AI425" s="283">
        <f t="shared" si="103"/>
        <v>0</v>
      </c>
      <c r="AJ425" s="288"/>
      <c r="AK425" s="279"/>
      <c r="AL425" s="280">
        <f t="shared" si="106"/>
        <v>0</v>
      </c>
      <c r="AM425" s="284"/>
      <c r="AN425" s="282">
        <f t="shared" si="102"/>
        <v>0</v>
      </c>
      <c r="AO425" s="289">
        <f t="shared" si="101"/>
        <v>0</v>
      </c>
      <c r="AP425" s="246"/>
      <c r="AQ425" s="246"/>
      <c r="AR425" s="440"/>
      <c r="AS425" s="491"/>
      <c r="AT425" s="491"/>
      <c r="AU425" s="491"/>
      <c r="AV425" s="491"/>
      <c r="AW425" s="491"/>
      <c r="AX425" s="491"/>
      <c r="AY425" s="491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4"/>
        <v>0</v>
      </c>
      <c r="AA426" s="279"/>
      <c r="AB426" s="279"/>
      <c r="AC426" s="282"/>
      <c r="AD426" s="288"/>
      <c r="AE426" s="287"/>
      <c r="AF426" s="280">
        <f t="shared" si="105"/>
        <v>0</v>
      </c>
      <c r="AG426" s="281"/>
      <c r="AH426" s="282">
        <f t="shared" si="107"/>
        <v>0</v>
      </c>
      <c r="AI426" s="283">
        <f t="shared" si="103"/>
        <v>0</v>
      </c>
      <c r="AJ426" s="288"/>
      <c r="AK426" s="279"/>
      <c r="AL426" s="280">
        <f t="shared" si="106"/>
        <v>0</v>
      </c>
      <c r="AM426" s="284"/>
      <c r="AN426" s="282">
        <f t="shared" si="102"/>
        <v>0</v>
      </c>
      <c r="AO426" s="289">
        <f t="shared" si="101"/>
        <v>0</v>
      </c>
      <c r="AP426" s="246"/>
      <c r="AQ426" s="246"/>
      <c r="AS426" s="491"/>
      <c r="AT426" s="491"/>
      <c r="AU426" s="491"/>
      <c r="AV426" s="491"/>
      <c r="AW426" s="491"/>
      <c r="AX426" s="491"/>
      <c r="AY426" s="491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4"/>
        <v>0</v>
      </c>
      <c r="AA427" s="279"/>
      <c r="AB427" s="279"/>
      <c r="AC427" s="282"/>
      <c r="AD427" s="288"/>
      <c r="AE427" s="287"/>
      <c r="AF427" s="280">
        <f t="shared" si="105"/>
        <v>0</v>
      </c>
      <c r="AG427" s="281"/>
      <c r="AH427" s="282">
        <f t="shared" si="107"/>
        <v>0</v>
      </c>
      <c r="AI427" s="283">
        <f t="shared" si="103"/>
        <v>0</v>
      </c>
      <c r="AJ427" s="288"/>
      <c r="AK427" s="279"/>
      <c r="AL427" s="280">
        <f t="shared" si="106"/>
        <v>0</v>
      </c>
      <c r="AM427" s="284"/>
      <c r="AN427" s="282">
        <f t="shared" si="102"/>
        <v>0</v>
      </c>
      <c r="AO427" s="289">
        <f t="shared" si="101"/>
        <v>0</v>
      </c>
      <c r="AP427" s="246"/>
      <c r="AQ427" s="246"/>
      <c r="AS427" s="491"/>
      <c r="AT427" s="491"/>
      <c r="AU427" s="491"/>
      <c r="AV427" s="491"/>
      <c r="AW427" s="491"/>
      <c r="AX427" s="491"/>
      <c r="AY427" s="491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4"/>
        <v>23470.675049928363</v>
      </c>
      <c r="AA428" s="263"/>
      <c r="AB428" s="263"/>
      <c r="AC428" s="264"/>
      <c r="AD428" s="292"/>
      <c r="AE428" s="291"/>
      <c r="AF428" s="264">
        <f t="shared" si="105"/>
        <v>27309.78</v>
      </c>
      <c r="AG428" s="265"/>
      <c r="AH428" s="266">
        <f t="shared" si="107"/>
        <v>3839.1049500716363</v>
      </c>
      <c r="AI428" s="293">
        <f t="shared" si="103"/>
        <v>0.16357028257196862</v>
      </c>
      <c r="AJ428" s="292"/>
      <c r="AK428" s="263"/>
      <c r="AL428" s="264">
        <f t="shared" si="106"/>
        <v>25480.54</v>
      </c>
      <c r="AM428" s="268"/>
      <c r="AN428" s="266">
        <f t="shared" si="102"/>
        <v>1829.239999999998</v>
      </c>
      <c r="AO428" s="294">
        <f t="shared" si="101"/>
        <v>7.1789687345715517E-2</v>
      </c>
      <c r="AP428" s="491"/>
      <c r="AQ428" s="499"/>
      <c r="AS428" s="491"/>
      <c r="AT428" s="491"/>
      <c r="AU428" s="491"/>
      <c r="AV428" s="491"/>
      <c r="AW428" s="491"/>
      <c r="AX428" s="491"/>
      <c r="AY428" s="491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4"/>
        <v>30728.112430156118</v>
      </c>
      <c r="AA429" s="279"/>
      <c r="AB429" s="279"/>
      <c r="AC429" s="280"/>
      <c r="AD429" s="288"/>
      <c r="AE429" s="287"/>
      <c r="AF429" s="280">
        <f t="shared" si="105"/>
        <v>35683.659999999996</v>
      </c>
      <c r="AG429" s="281"/>
      <c r="AH429" s="282">
        <f t="shared" si="107"/>
        <v>4955.5475698438786</v>
      </c>
      <c r="AI429" s="283">
        <f t="shared" si="103"/>
        <v>0.16127080962449802</v>
      </c>
      <c r="AJ429" s="288"/>
      <c r="AK429" s="279"/>
      <c r="AL429" s="280">
        <f t="shared" si="106"/>
        <v>32789.550000000003</v>
      </c>
      <c r="AM429" s="284"/>
      <c r="AN429" s="282">
        <f t="shared" si="102"/>
        <v>2894.1099999999933</v>
      </c>
      <c r="AO429" s="289">
        <f t="shared" si="101"/>
        <v>8.8263181409930697E-2</v>
      </c>
      <c r="AP429" s="491"/>
      <c r="AQ429" s="490"/>
      <c r="AR429" s="490"/>
      <c r="AS429" s="491"/>
      <c r="AT429" s="491"/>
      <c r="AU429" s="491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231</v>
      </c>
      <c r="X430" s="279"/>
      <c r="Y430" s="279"/>
      <c r="Z430" s="280">
        <f t="shared" si="104"/>
        <v>14112.170153108735</v>
      </c>
      <c r="AA430" s="279"/>
      <c r="AB430" s="279"/>
      <c r="AC430" s="280"/>
      <c r="AD430" s="288"/>
      <c r="AE430" s="287"/>
      <c r="AF430" s="280">
        <f t="shared" si="105"/>
        <v>14196.18</v>
      </c>
      <c r="AG430" s="281"/>
      <c r="AH430" s="282">
        <f t="shared" si="107"/>
        <v>84.009846891265624</v>
      </c>
      <c r="AI430" s="283">
        <f t="shared" si="103"/>
        <v>5.9530069422213776E-3</v>
      </c>
      <c r="AJ430" s="288"/>
      <c r="AK430" s="279"/>
      <c r="AL430" s="280">
        <f>IFERROR(SUMIF($C:$C,$V430,Q:Q),0)</f>
        <v>13591.49</v>
      </c>
      <c r="AM430" s="284"/>
      <c r="AN430" s="282">
        <f t="shared" si="102"/>
        <v>604.69000000000051</v>
      </c>
      <c r="AO430" s="289">
        <f t="shared" si="101"/>
        <v>4.4490339175469393E-2</v>
      </c>
      <c r="AP430" s="491"/>
      <c r="AQ430" s="490"/>
      <c r="AR430" s="490"/>
      <c r="AS430" s="491"/>
      <c r="AT430" s="491"/>
      <c r="AU430" s="491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232</v>
      </c>
      <c r="X431" s="279"/>
      <c r="Y431" s="279"/>
      <c r="Z431" s="280">
        <f t="shared" si="104"/>
        <v>3186.6190668310046</v>
      </c>
      <c r="AA431" s="279"/>
      <c r="AB431" s="279"/>
      <c r="AC431" s="280"/>
      <c r="AD431" s="288"/>
      <c r="AE431" s="287"/>
      <c r="AF431" s="280">
        <f t="shared" si="105"/>
        <v>4332.22</v>
      </c>
      <c r="AG431" s="281"/>
      <c r="AH431" s="282">
        <f t="shared" si="107"/>
        <v>1145.6009331689957</v>
      </c>
      <c r="AI431" s="306">
        <f t="shared" si="103"/>
        <v>0.35950357075728567</v>
      </c>
      <c r="AJ431" s="288"/>
      <c r="AK431" s="279"/>
      <c r="AL431" s="280">
        <f>IFERROR(SUMIF($C:$C,$V431,Q:Q),0)</f>
        <v>3381.51</v>
      </c>
      <c r="AM431" s="284"/>
      <c r="AN431" s="282">
        <f t="shared" si="102"/>
        <v>950.71</v>
      </c>
      <c r="AO431" s="294">
        <f t="shared" si="101"/>
        <v>0.28114954561719468</v>
      </c>
      <c r="AP431" s="491"/>
      <c r="AQ431" s="490"/>
      <c r="AR431" s="490"/>
      <c r="AS431" s="491"/>
      <c r="AT431" s="491"/>
      <c r="AU431" s="491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5"/>
        <v>0</v>
      </c>
      <c r="AG432" s="281"/>
      <c r="AH432" s="282">
        <f t="shared" si="107"/>
        <v>0</v>
      </c>
      <c r="AI432" s="283">
        <f t="shared" si="103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90"/>
      <c r="AS432" s="491"/>
      <c r="AT432" s="491"/>
      <c r="AU432" s="491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0.3074874644929344</v>
      </c>
      <c r="Y433" s="297"/>
      <c r="Z433" s="299">
        <f>SUM(Z420:Z432)</f>
        <v>175192.69701125307</v>
      </c>
      <c r="AA433" s="298"/>
      <c r="AB433" s="297"/>
      <c r="AC433" s="299"/>
      <c r="AD433" s="300">
        <f>AF433/AF407</f>
        <v>0.33450279571531089</v>
      </c>
      <c r="AE433" s="307"/>
      <c r="AF433" s="299">
        <f>SUM(AF420:AF432)</f>
        <v>190702.75999999998</v>
      </c>
      <c r="AG433" s="308"/>
      <c r="AH433" s="302">
        <f t="shared" si="107"/>
        <v>15510.062988746911</v>
      </c>
      <c r="AI433" s="298">
        <f>AH433/Z433</f>
        <v>8.8531447105644256E-2</v>
      </c>
      <c r="AJ433" s="300">
        <f>IF($AL$407=0,0,AL433/$AL$407)</f>
        <v>0.31915575190543244</v>
      </c>
      <c r="AK433" s="297"/>
      <c r="AL433" s="299">
        <f>SUM(AL420:AL432)</f>
        <v>179902.7099999999</v>
      </c>
      <c r="AM433" s="309"/>
      <c r="AN433" s="302">
        <f t="shared" ref="AN433:AN447" si="108">AF433-AL433</f>
        <v>10800.050000000076</v>
      </c>
      <c r="AO433" s="277">
        <f>IF(AL433=0,0,AN433/AL433)</f>
        <v>6.0032725465892542E-2</v>
      </c>
      <c r="AP433" s="246"/>
      <c r="AQ433" s="246"/>
      <c r="AR433" s="490"/>
      <c r="AS433" s="491"/>
      <c r="AT433" s="491"/>
      <c r="AU433" s="491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233</v>
      </c>
      <c r="X434" s="312"/>
      <c r="Y434" s="312"/>
      <c r="Z434" s="313">
        <f t="shared" ref="Z434:Z448" si="109">+SUMIF($C:$C,$V434,F:F)</f>
        <v>6610.153600624215</v>
      </c>
      <c r="AA434" s="312"/>
      <c r="AB434" s="312"/>
      <c r="AC434" s="313"/>
      <c r="AD434" s="314"/>
      <c r="AE434" s="315"/>
      <c r="AF434" s="313">
        <f t="shared" ref="AF434:AF451" si="110">+SUMIF($C:$C,$V434,L:L)</f>
        <v>10966.24</v>
      </c>
      <c r="AG434" s="314"/>
      <c r="AH434" s="316">
        <f t="shared" si="107"/>
        <v>4356.0863993757848</v>
      </c>
      <c r="AI434" s="317">
        <f t="shared" ref="AI434:AI451" si="111">IF(Z434=0,0,AH434/Z434)</f>
        <v>0.65899927029901806</v>
      </c>
      <c r="AJ434" s="314"/>
      <c r="AK434" s="312"/>
      <c r="AL434" s="313">
        <f t="shared" ref="AL434:AL448" si="112">+SUMIF($C:$C,$V434,Q:Q)</f>
        <v>10071.380000000001</v>
      </c>
      <c r="AM434" s="318"/>
      <c r="AN434" s="316">
        <f t="shared" si="108"/>
        <v>894.85999999999876</v>
      </c>
      <c r="AO434" s="285">
        <f t="shared" ref="AO434:AO447" si="113">IF(AL434=0,0,AN434/AL434)</f>
        <v>8.8851776022749476E-2</v>
      </c>
      <c r="AP434" s="246"/>
      <c r="AQ434" s="246">
        <f>17363-6397</f>
        <v>10966</v>
      </c>
      <c r="AR434" s="246"/>
      <c r="AS434" s="500"/>
      <c r="AT434" s="491"/>
      <c r="AU434" s="491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9"/>
        <v>3965</v>
      </c>
      <c r="AA435" s="279"/>
      <c r="AB435" s="279"/>
      <c r="AC435" s="280"/>
      <c r="AD435" s="288"/>
      <c r="AE435" s="287"/>
      <c r="AF435" s="280">
        <f t="shared" si="110"/>
        <v>4484.1899999999996</v>
      </c>
      <c r="AG435" s="281"/>
      <c r="AH435" s="282">
        <f t="shared" si="107"/>
        <v>519.1899999999996</v>
      </c>
      <c r="AI435" s="283">
        <f t="shared" si="111"/>
        <v>0.13094325346784352</v>
      </c>
      <c r="AJ435" s="288"/>
      <c r="AK435" s="279"/>
      <c r="AL435" s="280">
        <f t="shared" si="112"/>
        <v>5078.0499999999993</v>
      </c>
      <c r="AM435" s="284"/>
      <c r="AN435" s="282">
        <f t="shared" si="108"/>
        <v>-593.85999999999967</v>
      </c>
      <c r="AO435" s="289">
        <f t="shared" si="113"/>
        <v>-0.11694646567087755</v>
      </c>
      <c r="AP435" s="246"/>
      <c r="AQ435" s="246">
        <v>4484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234</v>
      </c>
      <c r="X436" s="263"/>
      <c r="Y436" s="263"/>
      <c r="Z436" s="264">
        <f t="shared" si="109"/>
        <v>15303.333333333334</v>
      </c>
      <c r="AA436" s="263"/>
      <c r="AB436" s="263"/>
      <c r="AC436" s="264"/>
      <c r="AD436" s="292"/>
      <c r="AE436" s="291"/>
      <c r="AF436" s="264">
        <f t="shared" si="110"/>
        <v>19639</v>
      </c>
      <c r="AG436" s="265"/>
      <c r="AH436" s="266">
        <f t="shared" si="107"/>
        <v>4335.6666666666661</v>
      </c>
      <c r="AI436" s="293">
        <f t="shared" si="111"/>
        <v>0.28331518187758653</v>
      </c>
      <c r="AJ436" s="292"/>
      <c r="AK436" s="263"/>
      <c r="AL436" s="264">
        <f t="shared" si="112"/>
        <v>14038.640000000001</v>
      </c>
      <c r="AM436" s="268"/>
      <c r="AN436" s="266">
        <f t="shared" si="108"/>
        <v>5600.3599999999988</v>
      </c>
      <c r="AO436" s="269">
        <f t="shared" si="113"/>
        <v>0.39892468216294441</v>
      </c>
      <c r="AP436" s="246"/>
      <c r="AQ436" s="246">
        <v>19639</v>
      </c>
      <c r="AR436" s="501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236</v>
      </c>
      <c r="X437" s="279"/>
      <c r="Y437" s="279"/>
      <c r="Z437" s="280">
        <f t="shared" si="109"/>
        <v>14093</v>
      </c>
      <c r="AA437" s="279"/>
      <c r="AB437" s="279"/>
      <c r="AC437" s="280"/>
      <c r="AD437" s="288"/>
      <c r="AE437" s="287"/>
      <c r="AF437" s="280">
        <f t="shared" si="110"/>
        <v>14599.039999999999</v>
      </c>
      <c r="AG437" s="281"/>
      <c r="AH437" s="282">
        <f>AF437-Z437</f>
        <v>506.03999999999905</v>
      </c>
      <c r="AI437" s="283">
        <f t="shared" si="111"/>
        <v>3.5907187965656645E-2</v>
      </c>
      <c r="AJ437" s="288"/>
      <c r="AK437" s="279"/>
      <c r="AL437" s="280">
        <f t="shared" si="112"/>
        <v>14771.27</v>
      </c>
      <c r="AM437" s="284"/>
      <c r="AN437" s="282">
        <f t="shared" si="108"/>
        <v>-172.23000000000138</v>
      </c>
      <c r="AO437" s="289">
        <f t="shared" si="113"/>
        <v>-1.1659796347910598E-2</v>
      </c>
      <c r="AP437" s="501"/>
      <c r="AQ437" s="246">
        <v>14599</v>
      </c>
      <c r="AR437" s="246" t="s">
        <v>254</v>
      </c>
      <c r="AS437" s="501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237</v>
      </c>
      <c r="X438" s="279"/>
      <c r="Y438" s="279"/>
      <c r="Z438" s="280">
        <f t="shared" si="109"/>
        <v>1828</v>
      </c>
      <c r="AA438" s="279"/>
      <c r="AB438" s="279"/>
      <c r="AC438" s="280"/>
      <c r="AD438" s="288"/>
      <c r="AE438" s="287"/>
      <c r="AF438" s="280">
        <f t="shared" si="110"/>
        <v>1871.72</v>
      </c>
      <c r="AG438" s="281"/>
      <c r="AH438" s="282">
        <f t="shared" si="107"/>
        <v>43.720000000000027</v>
      </c>
      <c r="AI438" s="283">
        <f t="shared" si="111"/>
        <v>2.39168490153173E-2</v>
      </c>
      <c r="AJ438" s="288"/>
      <c r="AK438" s="279"/>
      <c r="AL438" s="280">
        <f t="shared" si="112"/>
        <v>1450.42</v>
      </c>
      <c r="AM438" s="284"/>
      <c r="AN438" s="282">
        <f t="shared" si="108"/>
        <v>421.29999999999995</v>
      </c>
      <c r="AO438" s="289">
        <f t="shared" si="113"/>
        <v>0.29046758869844591</v>
      </c>
      <c r="AP438" s="501"/>
      <c r="AQ438" s="246">
        <v>1872</v>
      </c>
      <c r="AR438" s="246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238</v>
      </c>
      <c r="X439" s="279"/>
      <c r="Y439" s="279"/>
      <c r="Z439" s="280">
        <f t="shared" si="109"/>
        <v>10966.000000000002</v>
      </c>
      <c r="AA439" s="279"/>
      <c r="AB439" s="279"/>
      <c r="AC439" s="280"/>
      <c r="AD439" s="288"/>
      <c r="AE439" s="287"/>
      <c r="AF439" s="280">
        <f t="shared" si="110"/>
        <v>13586.820000000002</v>
      </c>
      <c r="AG439" s="281"/>
      <c r="AH439" s="282">
        <f t="shared" si="107"/>
        <v>2620.8199999999997</v>
      </c>
      <c r="AI439" s="283">
        <f t="shared" si="111"/>
        <v>0.23899507568849163</v>
      </c>
      <c r="AJ439" s="288"/>
      <c r="AK439" s="279"/>
      <c r="AL439" s="280">
        <f t="shared" si="112"/>
        <v>9517.7800000000007</v>
      </c>
      <c r="AM439" s="284"/>
      <c r="AN439" s="282">
        <f t="shared" si="108"/>
        <v>4069.0400000000009</v>
      </c>
      <c r="AO439" s="289">
        <f t="shared" si="113"/>
        <v>0.4275198628251547</v>
      </c>
      <c r="AP439" s="246"/>
      <c r="AQ439" s="246">
        <f>16587-3000</f>
        <v>13587</v>
      </c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9"/>
        <v>0</v>
      </c>
      <c r="AA440" s="320"/>
      <c r="AB440" s="320"/>
      <c r="AC440" s="321"/>
      <c r="AD440" s="322"/>
      <c r="AE440" s="323"/>
      <c r="AF440" s="321">
        <f t="shared" si="110"/>
        <v>0</v>
      </c>
      <c r="AG440" s="324"/>
      <c r="AH440" s="325">
        <f t="shared" si="107"/>
        <v>0</v>
      </c>
      <c r="AI440" s="326">
        <f t="shared" si="111"/>
        <v>0</v>
      </c>
      <c r="AJ440" s="322"/>
      <c r="AK440" s="320"/>
      <c r="AL440" s="321">
        <f t="shared" si="112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9"/>
        <v>1346.7790278762106</v>
      </c>
      <c r="AA441" s="279"/>
      <c r="AB441" s="287"/>
      <c r="AC441" s="280"/>
      <c r="AD441" s="288"/>
      <c r="AE441" s="287"/>
      <c r="AF441" s="280">
        <f t="shared" si="110"/>
        <v>696.46</v>
      </c>
      <c r="AG441" s="281"/>
      <c r="AH441" s="282">
        <f t="shared" si="107"/>
        <v>-650.31902787621061</v>
      </c>
      <c r="AI441" s="283">
        <f t="shared" si="111"/>
        <v>-0.48286988022209149</v>
      </c>
      <c r="AJ441" s="288"/>
      <c r="AK441" s="279"/>
      <c r="AL441" s="280">
        <f t="shared" si="112"/>
        <v>2484.9699999999998</v>
      </c>
      <c r="AM441" s="284"/>
      <c r="AN441" s="282">
        <f t="shared" si="108"/>
        <v>-1788.5099999999998</v>
      </c>
      <c r="AO441" s="289">
        <f t="shared" si="113"/>
        <v>-0.71973102290973323</v>
      </c>
      <c r="AP441" s="246"/>
      <c r="AQ441" s="246">
        <v>696</v>
      </c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9"/>
        <v>1003</v>
      </c>
      <c r="AA442" s="279"/>
      <c r="AB442" s="279"/>
      <c r="AC442" s="280"/>
      <c r="AD442" s="288"/>
      <c r="AE442" s="287"/>
      <c r="AF442" s="280">
        <f t="shared" si="110"/>
        <v>563.67999999999995</v>
      </c>
      <c r="AG442" s="281"/>
      <c r="AH442" s="282">
        <f t="shared" si="107"/>
        <v>-439.32000000000005</v>
      </c>
      <c r="AI442" s="306">
        <f t="shared" si="111"/>
        <v>-0.43800598205383856</v>
      </c>
      <c r="AJ442" s="288"/>
      <c r="AK442" s="279"/>
      <c r="AL442" s="280">
        <f t="shared" si="112"/>
        <v>1310.78</v>
      </c>
      <c r="AM442" s="284"/>
      <c r="AN442" s="282">
        <f t="shared" si="108"/>
        <v>-747.1</v>
      </c>
      <c r="AO442" s="289">
        <f t="shared" si="113"/>
        <v>-0.56996597445795638</v>
      </c>
      <c r="AP442" s="246"/>
      <c r="AQ442" s="246">
        <v>564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8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9"/>
        <v>1750</v>
      </c>
      <c r="AA443" s="279"/>
      <c r="AB443" s="279"/>
      <c r="AC443" s="280"/>
      <c r="AD443" s="288"/>
      <c r="AE443" s="287"/>
      <c r="AF443" s="280">
        <f t="shared" si="110"/>
        <v>1881.23</v>
      </c>
      <c r="AG443" s="281"/>
      <c r="AH443" s="282">
        <f t="shared" si="107"/>
        <v>131.23000000000002</v>
      </c>
      <c r="AI443" s="283">
        <f t="shared" si="111"/>
        <v>7.4988571428571432E-2</v>
      </c>
      <c r="AJ443" s="288"/>
      <c r="AK443" s="279"/>
      <c r="AL443" s="280">
        <f t="shared" si="112"/>
        <v>1478.17</v>
      </c>
      <c r="AM443" s="284"/>
      <c r="AN443" s="282">
        <f t="shared" si="108"/>
        <v>403.05999999999995</v>
      </c>
      <c r="AO443" s="289">
        <f t="shared" si="113"/>
        <v>0.27267499678656715</v>
      </c>
      <c r="AP443" s="246"/>
      <c r="AQ443" s="246">
        <f>3953-2072</f>
        <v>1881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239</v>
      </c>
      <c r="X444" s="279"/>
      <c r="Y444" s="279"/>
      <c r="Z444" s="280">
        <f t="shared" si="109"/>
        <v>512</v>
      </c>
      <c r="AA444" s="279"/>
      <c r="AB444" s="279"/>
      <c r="AC444" s="280"/>
      <c r="AD444" s="288"/>
      <c r="AE444" s="287"/>
      <c r="AF444" s="280">
        <f t="shared" si="110"/>
        <v>531.70000000000005</v>
      </c>
      <c r="AG444" s="281"/>
      <c r="AH444" s="282">
        <f t="shared" si="107"/>
        <v>19.700000000000045</v>
      </c>
      <c r="AI444" s="306">
        <f t="shared" si="111"/>
        <v>3.8476562500000089E-2</v>
      </c>
      <c r="AJ444" s="288"/>
      <c r="AK444" s="279"/>
      <c r="AL444" s="280">
        <f t="shared" si="112"/>
        <v>511.55</v>
      </c>
      <c r="AM444" s="284"/>
      <c r="AN444" s="282">
        <f t="shared" si="108"/>
        <v>20.150000000000034</v>
      </c>
      <c r="AO444" s="289">
        <f t="shared" si="113"/>
        <v>3.9390088945362202E-2</v>
      </c>
      <c r="AP444" s="246"/>
      <c r="AQ444" s="246">
        <v>532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240</v>
      </c>
      <c r="X445" s="279"/>
      <c r="Y445" s="279"/>
      <c r="Z445" s="280">
        <f t="shared" si="109"/>
        <v>875</v>
      </c>
      <c r="AA445" s="279"/>
      <c r="AB445" s="279"/>
      <c r="AC445" s="280"/>
      <c r="AD445" s="288"/>
      <c r="AE445" s="287"/>
      <c r="AF445" s="280">
        <f t="shared" si="110"/>
        <v>125.1099999999999</v>
      </c>
      <c r="AG445" s="281"/>
      <c r="AH445" s="282">
        <f t="shared" si="107"/>
        <v>-749.8900000000001</v>
      </c>
      <c r="AI445" s="283">
        <f t="shared" si="111"/>
        <v>-0.85701714285714292</v>
      </c>
      <c r="AJ445" s="288"/>
      <c r="AK445" s="279"/>
      <c r="AL445" s="280">
        <f t="shared" si="112"/>
        <v>863.92000000000007</v>
      </c>
      <c r="AM445" s="284"/>
      <c r="AN445" s="282">
        <f t="shared" si="108"/>
        <v>-738.81000000000017</v>
      </c>
      <c r="AO445" s="289">
        <f t="shared" si="113"/>
        <v>-0.85518335031021409</v>
      </c>
      <c r="AP445" s="246"/>
      <c r="AQ445" s="246">
        <v>125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241</v>
      </c>
      <c r="X446" s="279"/>
      <c r="Y446" s="287"/>
      <c r="Z446" s="280">
        <f t="shared" si="109"/>
        <v>1858</v>
      </c>
      <c r="AA446" s="279"/>
      <c r="AB446" s="287"/>
      <c r="AC446" s="280"/>
      <c r="AD446" s="288"/>
      <c r="AE446" s="287"/>
      <c r="AF446" s="280">
        <f t="shared" si="110"/>
        <v>1446.0000000000002</v>
      </c>
      <c r="AG446" s="281"/>
      <c r="AH446" s="282">
        <f t="shared" si="107"/>
        <v>-411.99999999999977</v>
      </c>
      <c r="AI446" s="306">
        <f t="shared" si="111"/>
        <v>-0.22174381054897727</v>
      </c>
      <c r="AJ446" s="288"/>
      <c r="AK446" s="279"/>
      <c r="AL446" s="280">
        <f t="shared" si="112"/>
        <v>2161</v>
      </c>
      <c r="AM446" s="284"/>
      <c r="AN446" s="282">
        <f t="shared" si="108"/>
        <v>-714.99999999999977</v>
      </c>
      <c r="AO446" s="289">
        <f t="shared" si="113"/>
        <v>-0.33086534012031454</v>
      </c>
      <c r="AP446" s="246"/>
      <c r="AQ446" s="246">
        <v>1446</v>
      </c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242</v>
      </c>
      <c r="X447" s="279"/>
      <c r="Y447" s="287"/>
      <c r="Z447" s="280">
        <f t="shared" si="109"/>
        <v>2609.9010666666663</v>
      </c>
      <c r="AA447" s="279"/>
      <c r="AB447" s="287"/>
      <c r="AC447" s="280"/>
      <c r="AD447" s="288"/>
      <c r="AE447" s="287"/>
      <c r="AF447" s="280">
        <f t="shared" si="110"/>
        <v>1784.5100000000002</v>
      </c>
      <c r="AG447" s="281"/>
      <c r="AH447" s="282">
        <f t="shared" si="107"/>
        <v>-825.39106666666612</v>
      </c>
      <c r="AI447" s="283">
        <f t="shared" si="111"/>
        <v>-0.3162537757497626</v>
      </c>
      <c r="AJ447" s="288"/>
      <c r="AK447" s="279"/>
      <c r="AL447" s="280">
        <f t="shared" si="112"/>
        <v>1940.6</v>
      </c>
      <c r="AM447" s="284"/>
      <c r="AN447" s="282">
        <f t="shared" si="108"/>
        <v>-156.08999999999969</v>
      </c>
      <c r="AO447" s="289">
        <f t="shared" si="113"/>
        <v>-8.0433886426878126E-2</v>
      </c>
      <c r="AP447" s="246"/>
      <c r="AQ447" s="246">
        <v>1785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243</v>
      </c>
      <c r="X448" s="279"/>
      <c r="Y448" s="287">
        <f>Z448/Z406</f>
        <v>1.5100000000000005E-3</v>
      </c>
      <c r="Z448" s="280">
        <f t="shared" si="109"/>
        <v>7974.7492394861947</v>
      </c>
      <c r="AA448" s="279"/>
      <c r="AB448" s="287"/>
      <c r="AC448" s="280"/>
      <c r="AD448" s="288"/>
      <c r="AE448" s="287"/>
      <c r="AF448" s="280">
        <f t="shared" si="110"/>
        <v>9131.2300000000014</v>
      </c>
      <c r="AG448" s="281"/>
      <c r="AH448" s="282">
        <f t="shared" si="107"/>
        <v>1156.4807605138067</v>
      </c>
      <c r="AI448" s="283">
        <f t="shared" si="111"/>
        <v>0.14501782134886509</v>
      </c>
      <c r="AJ448" s="288"/>
      <c r="AK448" s="279"/>
      <c r="AL448" s="280">
        <f t="shared" si="112"/>
        <v>7076.77</v>
      </c>
      <c r="AM448" s="284"/>
      <c r="AN448" s="282">
        <f>AF448-AL448</f>
        <v>2054.4600000000009</v>
      </c>
      <c r="AO448" s="289">
        <f>IF(AL448=0,0,AN448/AL448)</f>
        <v>0.29031040997517238</v>
      </c>
      <c r="AP448" s="246"/>
      <c r="AQ448" s="246">
        <v>9131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9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10"/>
        <v>0</v>
      </c>
      <c r="AG449" s="281"/>
      <c r="AH449" s="282">
        <f t="shared" si="107"/>
        <v>0</v>
      </c>
      <c r="AI449" s="283">
        <f t="shared" si="111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10"/>
        <v>0</v>
      </c>
      <c r="AG450" s="281"/>
      <c r="AH450" s="282">
        <f t="shared" si="107"/>
        <v>0</v>
      </c>
      <c r="AI450" s="283">
        <f t="shared" si="111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10"/>
        <v>0</v>
      </c>
      <c r="AG451" s="281"/>
      <c r="AH451" s="282">
        <f t="shared" si="107"/>
        <v>0</v>
      </c>
      <c r="AI451" s="283">
        <f t="shared" si="111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0.12407937617620692</v>
      </c>
      <c r="Y452" s="297"/>
      <c r="Z452" s="299">
        <f>+SUM(Z434:Z451)</f>
        <v>70694.916267986628</v>
      </c>
      <c r="AA452" s="298"/>
      <c r="AB452" s="297"/>
      <c r="AC452" s="299"/>
      <c r="AD452" s="300">
        <f>AF452/AF407</f>
        <v>0.14261668470885833</v>
      </c>
      <c r="AE452" s="297"/>
      <c r="AF452" s="299">
        <f>+SUM(AF434:AF451)</f>
        <v>81306.929999999978</v>
      </c>
      <c r="AG452" s="308"/>
      <c r="AH452" s="302">
        <f>+SUM(AH434:AH451)</f>
        <v>10612.013732013382</v>
      </c>
      <c r="AI452" s="298">
        <f>AH452/Z452</f>
        <v>0.15010999789271848</v>
      </c>
      <c r="AJ452" s="300">
        <f>IF($AL$407=0,0,AL452/$AL$407)</f>
        <v>0.12907127678402022</v>
      </c>
      <c r="AK452" s="298"/>
      <c r="AL452" s="299">
        <f>+SUM(AL434:AL451)</f>
        <v>72755.3</v>
      </c>
      <c r="AM452" s="309"/>
      <c r="AN452" s="302">
        <f>+SUM(AN434:AN451)</f>
        <v>8551.6299999999974</v>
      </c>
      <c r="AO452" s="331">
        <f>IF(AL452=0,0,AN452/AL452)</f>
        <v>0.1175396156706109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4">AF453-Z453</f>
        <v>0</v>
      </c>
      <c r="AI453" s="283">
        <f t="shared" ref="AI453:AI461" si="115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6">IF(AL453=0,0,AN453/AL453)</f>
        <v>0</v>
      </c>
      <c r="AP453" s="246"/>
      <c r="AQ453" s="502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5872.14</v>
      </c>
      <c r="AA454" s="279"/>
      <c r="AB454" s="287"/>
      <c r="AC454" s="280"/>
      <c r="AD454" s="288"/>
      <c r="AE454" s="287"/>
      <c r="AF454" s="280">
        <v>5872.14</v>
      </c>
      <c r="AG454" s="281"/>
      <c r="AH454" s="282">
        <f t="shared" si="114"/>
        <v>0</v>
      </c>
      <c r="AI454" s="283">
        <f t="shared" si="115"/>
        <v>0</v>
      </c>
      <c r="AJ454" s="288"/>
      <c r="AK454" s="279"/>
      <c r="AL454" s="280">
        <v>5619.66</v>
      </c>
      <c r="AM454" s="284"/>
      <c r="AN454" s="282">
        <f t="shared" ref="AN454:AN461" si="117">AF454-AL454</f>
        <v>252.48000000000047</v>
      </c>
      <c r="AO454" s="289">
        <f t="shared" si="116"/>
        <v>4.492798496706215E-2</v>
      </c>
      <c r="AP454" s="246"/>
      <c r="AQ454" s="502">
        <v>5872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2516.63</v>
      </c>
      <c r="AA455" s="263"/>
      <c r="AB455" s="291"/>
      <c r="AC455" s="264"/>
      <c r="AD455" s="292"/>
      <c r="AE455" s="291"/>
      <c r="AF455" s="264">
        <v>2516.63</v>
      </c>
      <c r="AG455" s="265"/>
      <c r="AH455" s="266">
        <f t="shared" si="114"/>
        <v>0</v>
      </c>
      <c r="AI455" s="293">
        <f t="shared" si="115"/>
        <v>0</v>
      </c>
      <c r="AJ455" s="292"/>
      <c r="AK455" s="263"/>
      <c r="AL455" s="264">
        <v>2408.4299999999998</v>
      </c>
      <c r="AM455" s="268"/>
      <c r="AN455" s="266">
        <f t="shared" si="117"/>
        <v>108.20000000000027</v>
      </c>
      <c r="AO455" s="269">
        <f t="shared" si="116"/>
        <v>4.4925532400775722E-2</v>
      </c>
      <c r="AP455" s="246"/>
      <c r="AQ455" s="502">
        <v>2517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8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4"/>
        <v>0</v>
      </c>
      <c r="AI456" s="283">
        <f t="shared" si="115"/>
        <v>0</v>
      </c>
      <c r="AJ456" s="288"/>
      <c r="AK456" s="279"/>
      <c r="AL456" s="280">
        <v>0</v>
      </c>
      <c r="AM456" s="284"/>
      <c r="AN456" s="282">
        <f t="shared" si="117"/>
        <v>0</v>
      </c>
      <c r="AO456" s="289">
        <f t="shared" si="116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4349.75</v>
      </c>
      <c r="AA457" s="263"/>
      <c r="AB457" s="291"/>
      <c r="AC457" s="264"/>
      <c r="AD457" s="292"/>
      <c r="AE457" s="291"/>
      <c r="AF457" s="264">
        <v>4349.75</v>
      </c>
      <c r="AG457" s="265"/>
      <c r="AH457" s="266">
        <f t="shared" si="114"/>
        <v>0</v>
      </c>
      <c r="AI457" s="293">
        <f t="shared" si="115"/>
        <v>0</v>
      </c>
      <c r="AJ457" s="292"/>
      <c r="AK457" s="263"/>
      <c r="AL457" s="264">
        <v>4772</v>
      </c>
      <c r="AM457" s="268"/>
      <c r="AN457" s="266">
        <f t="shared" si="117"/>
        <v>-422.25</v>
      </c>
      <c r="AO457" s="269">
        <f t="shared" si="116"/>
        <v>-8.8484911986588435E-2</v>
      </c>
      <c r="AP457" s="246"/>
      <c r="AQ457" s="502">
        <v>4350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4600</v>
      </c>
      <c r="AA458" s="332"/>
      <c r="AB458" s="333"/>
      <c r="AC458" s="280"/>
      <c r="AD458" s="288"/>
      <c r="AE458" s="287"/>
      <c r="AF458" s="280">
        <v>4788.7</v>
      </c>
      <c r="AG458" s="281"/>
      <c r="AH458" s="282">
        <f t="shared" si="114"/>
        <v>188.69999999999982</v>
      </c>
      <c r="AI458" s="283">
        <f t="shared" si="115"/>
        <v>4.1021739130434741E-2</v>
      </c>
      <c r="AJ458" s="288"/>
      <c r="AK458" s="279"/>
      <c r="AL458" s="280">
        <v>4743.07</v>
      </c>
      <c r="AM458" s="284"/>
      <c r="AN458" s="282">
        <f t="shared" si="117"/>
        <v>45.630000000000109</v>
      </c>
      <c r="AO458" s="289">
        <f t="shared" si="116"/>
        <v>9.6203513757967124E-3</v>
      </c>
      <c r="AP458" s="246"/>
      <c r="AQ458" s="246">
        <f>4289+500</f>
        <v>4789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6643</v>
      </c>
      <c r="AA459" s="279"/>
      <c r="AB459" s="287"/>
      <c r="AC459" s="280"/>
      <c r="AD459" s="288"/>
      <c r="AE459" s="287"/>
      <c r="AF459" s="280">
        <v>6307.3300000000008</v>
      </c>
      <c r="AG459" s="281"/>
      <c r="AH459" s="282">
        <f t="shared" si="114"/>
        <v>-335.66999999999916</v>
      </c>
      <c r="AI459" s="283">
        <f t="shared" si="115"/>
        <v>-5.0529881077826154E-2</v>
      </c>
      <c r="AJ459" s="288"/>
      <c r="AK459" s="279"/>
      <c r="AL459" s="280">
        <v>6402.4699999999903</v>
      </c>
      <c r="AM459" s="284"/>
      <c r="AN459" s="282">
        <f t="shared" si="117"/>
        <v>-95.139999999989413</v>
      </c>
      <c r="AO459" s="289">
        <f t="shared" si="116"/>
        <v>-1.4859890011197172E-2</v>
      </c>
      <c r="AP459" s="246"/>
      <c r="AQ459" s="502">
        <v>6308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244</v>
      </c>
      <c r="X460" s="263"/>
      <c r="Y460" s="291"/>
      <c r="Z460" s="264">
        <v>500</v>
      </c>
      <c r="AA460" s="263"/>
      <c r="AB460" s="291"/>
      <c r="AC460" s="264"/>
      <c r="AD460" s="292"/>
      <c r="AE460" s="291"/>
      <c r="AF460" s="264">
        <v>250</v>
      </c>
      <c r="AG460" s="265"/>
      <c r="AH460" s="266">
        <f t="shared" si="114"/>
        <v>-250</v>
      </c>
      <c r="AI460" s="293">
        <f t="shared" si="115"/>
        <v>-0.5</v>
      </c>
      <c r="AJ460" s="292"/>
      <c r="AK460" s="263"/>
      <c r="AL460" s="264">
        <v>750</v>
      </c>
      <c r="AM460" s="268"/>
      <c r="AN460" s="266">
        <f t="shared" si="117"/>
        <v>-500</v>
      </c>
      <c r="AO460" s="269">
        <f t="shared" si="116"/>
        <v>-0.66666666666666663</v>
      </c>
      <c r="AP460" s="246"/>
      <c r="AQ460" s="246">
        <v>250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275</v>
      </c>
      <c r="AA461" s="279"/>
      <c r="AB461" s="287"/>
      <c r="AC461" s="280"/>
      <c r="AD461" s="288"/>
      <c r="AE461" s="287"/>
      <c r="AF461" s="280">
        <v>173.95999999999998</v>
      </c>
      <c r="AG461" s="281"/>
      <c r="AH461" s="282">
        <f t="shared" si="114"/>
        <v>-101.04000000000002</v>
      </c>
      <c r="AI461" s="335">
        <f t="shared" si="115"/>
        <v>-0.36741818181818187</v>
      </c>
      <c r="AJ461" s="279"/>
      <c r="AK461" s="279"/>
      <c r="AL461" s="280">
        <v>255.96</v>
      </c>
      <c r="AM461" s="284"/>
      <c r="AN461" s="282">
        <f t="shared" si="117"/>
        <v>-82.000000000000028</v>
      </c>
      <c r="AO461" s="289">
        <f t="shared" si="116"/>
        <v>-0.3203625566494766</v>
      </c>
      <c r="AP461" s="246"/>
      <c r="AQ461" s="246">
        <v>174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8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0.13120805365328012</v>
      </c>
      <c r="Y466" s="297"/>
      <c r="Z466" s="299">
        <f>SUM(Z453:Z465)</f>
        <v>74756.51999999999</v>
      </c>
      <c r="AA466" s="298"/>
      <c r="AB466" s="297"/>
      <c r="AC466" s="299"/>
      <c r="AD466" s="300">
        <f>AF466/AF407</f>
        <v>0.13025338070960996</v>
      </c>
      <c r="AE466" s="297"/>
      <c r="AF466" s="299">
        <f>SUM(AF453:AF465)</f>
        <v>74258.510000000009</v>
      </c>
      <c r="AG466" s="308"/>
      <c r="AH466" s="302">
        <f>SUM(AH453:AH465)</f>
        <v>-498.00999999999937</v>
      </c>
      <c r="AI466" s="298">
        <f>IF(Z466=0,0,AH466/Z466)</f>
        <v>-6.6617600712285622E-3</v>
      </c>
      <c r="AJ466" s="300">
        <f>IF($AL$407=0,0,AL466/$AL$407)</f>
        <v>0.13296759711378278</v>
      </c>
      <c r="AK466" s="298"/>
      <c r="AL466" s="299">
        <f>SUM(AL453:AL465)</f>
        <v>74951.59</v>
      </c>
      <c r="AM466" s="309"/>
      <c r="AN466" s="302">
        <f>SUM(AN453:AN465)</f>
        <v>-693.07999999998856</v>
      </c>
      <c r="AO466" s="331">
        <f t="shared" ref="AO466:AO483" si="118">IF(AL466=0,0,AN466/AL466)</f>
        <v>-9.24703531973089E-3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9">AF467-Z467</f>
        <v>0</v>
      </c>
      <c r="AI467" s="283"/>
      <c r="AJ467" s="288"/>
      <c r="AK467" s="279"/>
      <c r="AL467" s="336"/>
      <c r="AM467" s="337"/>
      <c r="AN467" s="282">
        <f t="shared" ref="AN467:AN483" si="120">AF467-AL467</f>
        <v>0</v>
      </c>
      <c r="AO467" s="338">
        <f t="shared" si="118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0.83311405958697582</v>
      </c>
      <c r="Y468" s="297"/>
      <c r="Z468" s="299">
        <f>Z419+Z433+Z452+Z466</f>
        <v>474671.37971860287</v>
      </c>
      <c r="AA468" s="298"/>
      <c r="AB468" s="297"/>
      <c r="AC468" s="299"/>
      <c r="AD468" s="300">
        <f>AF468/AF407</f>
        <v>0.9295777614954861</v>
      </c>
      <c r="AE468" s="297"/>
      <c r="AF468" s="299">
        <f>AF419+AF433+AF452+AF466</f>
        <v>529959.83000000007</v>
      </c>
      <c r="AG468" s="308"/>
      <c r="AH468" s="302">
        <f t="shared" si="119"/>
        <v>55288.450281397207</v>
      </c>
      <c r="AI468" s="298">
        <f>AH468/Z468</f>
        <v>0.11647732019186324</v>
      </c>
      <c r="AJ468" s="300">
        <f>IF($AL$407=0,0,AL468/$AL$407)</f>
        <v>0.81616064713805936</v>
      </c>
      <c r="AK468" s="298"/>
      <c r="AL468" s="299">
        <f>AL419+AL433+AL452+AL466</f>
        <v>460055.97999999986</v>
      </c>
      <c r="AM468" s="309"/>
      <c r="AN468" s="302">
        <f t="shared" si="120"/>
        <v>69903.85000000021</v>
      </c>
      <c r="AO468" s="277">
        <f t="shared" si="118"/>
        <v>0.15194640008809412</v>
      </c>
      <c r="AP468" s="310">
        <f>AF468+AF491+AF492+AF493+AF494+AF495+AF496</f>
        <v>543618.58000000007</v>
      </c>
      <c r="AQ468" s="246" t="s">
        <v>226</v>
      </c>
      <c r="AR468" s="246">
        <f>443199+52600</f>
        <v>495799</v>
      </c>
      <c r="AS468" s="310">
        <f>AP468-AR468</f>
        <v>47819.580000000075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900</v>
      </c>
      <c r="AA469" s="339"/>
      <c r="AB469" s="340"/>
      <c r="AC469" s="313"/>
      <c r="AD469" s="341"/>
      <c r="AE469" s="340"/>
      <c r="AF469" s="280">
        <v>2924.08</v>
      </c>
      <c r="AG469" s="342"/>
      <c r="AH469" s="282">
        <f t="shared" si="119"/>
        <v>2024.08</v>
      </c>
      <c r="AI469" s="335">
        <f>IF(AH469=0,0,AH469/Z469)</f>
        <v>2.2489777777777777</v>
      </c>
      <c r="AJ469" s="341"/>
      <c r="AK469" s="339"/>
      <c r="AL469" s="343">
        <v>369.18</v>
      </c>
      <c r="AM469" s="344"/>
      <c r="AN469" s="282">
        <f t="shared" si="120"/>
        <v>2554.9</v>
      </c>
      <c r="AO469" s="289">
        <f t="shared" si="118"/>
        <v>6.9204723982880978</v>
      </c>
      <c r="AP469" s="246"/>
      <c r="AQ469" s="246">
        <v>2924</v>
      </c>
      <c r="AR469" s="246" t="s">
        <v>255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 t="shared" ref="Z470:Z476" si="121">+SUMIF($C:$C,$V470,F:F)</f>
        <v>49921.513846153859</v>
      </c>
      <c r="AA470" s="332"/>
      <c r="AB470" s="333"/>
      <c r="AC470" s="280"/>
      <c r="AD470" s="345"/>
      <c r="AE470" s="333"/>
      <c r="AF470" s="280">
        <f t="shared" ref="AF470:AF476" si="122">+SUMIF($C:$C,$V470,L:L)</f>
        <v>57980.4</v>
      </c>
      <c r="AG470" s="346"/>
      <c r="AH470" s="282">
        <f t="shared" si="119"/>
        <v>8058.8861538461424</v>
      </c>
      <c r="AI470" s="306">
        <f>IF(Z470=0,0,AH470/Z470)</f>
        <v>0.16143112523954498</v>
      </c>
      <c r="AJ470" s="345"/>
      <c r="AK470" s="332"/>
      <c r="AL470" s="347">
        <f t="shared" ref="AL470:AL479" si="123">+SUMIF($C:$C,$V470,Q:Q)</f>
        <v>57482.6</v>
      </c>
      <c r="AM470" s="348"/>
      <c r="AN470" s="282">
        <f t="shared" si="120"/>
        <v>497.80000000000291</v>
      </c>
      <c r="AO470" s="289">
        <f t="shared" si="118"/>
        <v>8.6600118992530423E-3</v>
      </c>
      <c r="AP470" s="246"/>
      <c r="AQ470" s="246">
        <v>57980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218</v>
      </c>
      <c r="W471" s="279"/>
      <c r="X471" s="279"/>
      <c r="Y471" s="279"/>
      <c r="Z471" s="280">
        <f t="shared" si="121"/>
        <v>43681.324615384634</v>
      </c>
      <c r="AA471" s="332"/>
      <c r="AB471" s="333"/>
      <c r="AC471" s="280"/>
      <c r="AD471" s="345"/>
      <c r="AE471" s="333"/>
      <c r="AF471" s="280">
        <f t="shared" si="122"/>
        <v>57768.59</v>
      </c>
      <c r="AG471" s="346"/>
      <c r="AH471" s="282">
        <f t="shared" si="119"/>
        <v>14087.265384615363</v>
      </c>
      <c r="AI471" s="306">
        <f t="shared" ref="AI471:AI480" si="124">IF(AH471=0,0,AH471/Z471)</f>
        <v>0.32250087442755354</v>
      </c>
      <c r="AJ471" s="345"/>
      <c r="AK471" s="332"/>
      <c r="AL471" s="347">
        <f>+SUMIF($C:$C,$V471,Q:Q)</f>
        <v>38478.17</v>
      </c>
      <c r="AM471" s="348"/>
      <c r="AN471" s="282">
        <f t="shared" si="120"/>
        <v>19290.419999999998</v>
      </c>
      <c r="AO471" s="289">
        <f t="shared" si="118"/>
        <v>0.50133413309416741</v>
      </c>
      <c r="AP471" s="246"/>
      <c r="AQ471" s="246">
        <v>57769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 t="shared" si="121"/>
        <v>0</v>
      </c>
      <c r="AA472" s="332"/>
      <c r="AB472" s="333"/>
      <c r="AC472" s="280"/>
      <c r="AD472" s="345"/>
      <c r="AE472" s="333"/>
      <c r="AF472" s="280">
        <f t="shared" si="122"/>
        <v>0</v>
      </c>
      <c r="AG472" s="346"/>
      <c r="AH472" s="282">
        <f t="shared" si="119"/>
        <v>0</v>
      </c>
      <c r="AI472" s="306">
        <f t="shared" si="124"/>
        <v>0</v>
      </c>
      <c r="AJ472" s="345"/>
      <c r="AK472" s="332"/>
      <c r="AL472" s="347">
        <f t="shared" si="123"/>
        <v>0</v>
      </c>
      <c r="AM472" s="348"/>
      <c r="AN472" s="282">
        <f t="shared" si="120"/>
        <v>0</v>
      </c>
      <c r="AO472" s="289">
        <f t="shared" si="118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 t="shared" si="121"/>
        <v>0</v>
      </c>
      <c r="AA473" s="332"/>
      <c r="AB473" s="333"/>
      <c r="AC473" s="280"/>
      <c r="AD473" s="345"/>
      <c r="AE473" s="333"/>
      <c r="AF473" s="280">
        <f t="shared" si="122"/>
        <v>0</v>
      </c>
      <c r="AG473" s="346"/>
      <c r="AH473" s="282">
        <f t="shared" si="119"/>
        <v>0</v>
      </c>
      <c r="AI473" s="306">
        <f t="shared" si="124"/>
        <v>0</v>
      </c>
      <c r="AJ473" s="345"/>
      <c r="AK473" s="332"/>
      <c r="AL473" s="347">
        <f t="shared" si="123"/>
        <v>0</v>
      </c>
      <c r="AM473" s="348"/>
      <c r="AN473" s="282">
        <f t="shared" si="120"/>
        <v>0</v>
      </c>
      <c r="AO473" s="289">
        <f t="shared" si="118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222</v>
      </c>
      <c r="W474" s="279"/>
      <c r="X474" s="279"/>
      <c r="Y474" s="279"/>
      <c r="Z474" s="280">
        <f t="shared" si="121"/>
        <v>3000</v>
      </c>
      <c r="AA474" s="332"/>
      <c r="AB474" s="333"/>
      <c r="AC474" s="280"/>
      <c r="AD474" s="345"/>
      <c r="AE474" s="333"/>
      <c r="AF474" s="280">
        <f t="shared" si="122"/>
        <v>2250</v>
      </c>
      <c r="AG474" s="346"/>
      <c r="AH474" s="282">
        <f t="shared" si="119"/>
        <v>-750</v>
      </c>
      <c r="AI474" s="306">
        <f t="shared" si="124"/>
        <v>-0.25</v>
      </c>
      <c r="AJ474" s="345"/>
      <c r="AK474" s="332"/>
      <c r="AL474" s="347">
        <f t="shared" si="123"/>
        <v>2625</v>
      </c>
      <c r="AM474" s="348"/>
      <c r="AN474" s="282">
        <f t="shared" si="120"/>
        <v>-375</v>
      </c>
      <c r="AO474" s="289">
        <f t="shared" si="118"/>
        <v>-0.14285714285714285</v>
      </c>
      <c r="AP474" s="246"/>
      <c r="AQ474" s="246">
        <v>2250</v>
      </c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223</v>
      </c>
      <c r="W475" s="279"/>
      <c r="X475" s="279"/>
      <c r="Y475" s="279"/>
      <c r="Z475" s="280">
        <f t="shared" si="121"/>
        <v>2082.3529411764707</v>
      </c>
      <c r="AA475" s="332"/>
      <c r="AB475" s="333"/>
      <c r="AC475" s="280"/>
      <c r="AD475" s="345"/>
      <c r="AE475" s="333"/>
      <c r="AF475" s="280">
        <f t="shared" si="122"/>
        <v>0</v>
      </c>
      <c r="AG475" s="346"/>
      <c r="AH475" s="282">
        <f t="shared" si="119"/>
        <v>-2082.3529411764707</v>
      </c>
      <c r="AI475" s="306">
        <f t="shared" si="124"/>
        <v>-1</v>
      </c>
      <c r="AJ475" s="345"/>
      <c r="AK475" s="332"/>
      <c r="AL475" s="347">
        <f t="shared" si="123"/>
        <v>0</v>
      </c>
      <c r="AM475" s="348"/>
      <c r="AN475" s="282">
        <f t="shared" si="120"/>
        <v>0</v>
      </c>
      <c r="AO475" s="289">
        <f t="shared" si="118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 t="shared" si="121"/>
        <v>0</v>
      </c>
      <c r="AA476" s="332"/>
      <c r="AB476" s="333"/>
      <c r="AC476" s="280"/>
      <c r="AD476" s="345"/>
      <c r="AE476" s="333"/>
      <c r="AF476" s="280">
        <f t="shared" si="122"/>
        <v>0</v>
      </c>
      <c r="AG476" s="346"/>
      <c r="AH476" s="282">
        <f t="shared" si="119"/>
        <v>0</v>
      </c>
      <c r="AI476" s="306">
        <f t="shared" si="124"/>
        <v>0</v>
      </c>
      <c r="AJ476" s="345"/>
      <c r="AK476" s="332"/>
      <c r="AL476" s="347">
        <f t="shared" si="123"/>
        <v>0</v>
      </c>
      <c r="AM476" s="348"/>
      <c r="AN476" s="282">
        <f t="shared" si="120"/>
        <v>0</v>
      </c>
      <c r="AO476" s="289">
        <f t="shared" si="118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26208.794769230779</v>
      </c>
      <c r="AA477" s="332"/>
      <c r="AB477" s="333"/>
      <c r="AC477" s="280"/>
      <c r="AD477" s="345"/>
      <c r="AE477" s="333"/>
      <c r="AF477" s="280">
        <v>29302.880000000001</v>
      </c>
      <c r="AG477" s="346"/>
      <c r="AH477" s="282">
        <f t="shared" si="119"/>
        <v>3094.0852307692221</v>
      </c>
      <c r="AI477" s="306">
        <f t="shared" si="124"/>
        <v>0.11805522756817835</v>
      </c>
      <c r="AJ477" s="345"/>
      <c r="AK477" s="332"/>
      <c r="AL477" s="347">
        <v>26818.12</v>
      </c>
      <c r="AM477" s="348"/>
      <c r="AN477" s="282">
        <f t="shared" si="120"/>
        <v>2484.760000000002</v>
      </c>
      <c r="AO477" s="289">
        <f t="shared" si="118"/>
        <v>9.2652281367970685E-2</v>
      </c>
      <c r="AP477" s="246"/>
      <c r="AQ477" s="246">
        <v>29303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9"/>
        <v>0</v>
      </c>
      <c r="AI478" s="283">
        <f t="shared" si="124"/>
        <v>0</v>
      </c>
      <c r="AJ478" s="288"/>
      <c r="AK478" s="279"/>
      <c r="AL478" s="280">
        <f t="shared" si="123"/>
        <v>0</v>
      </c>
      <c r="AM478" s="348"/>
      <c r="AN478" s="282">
        <f t="shared" si="120"/>
        <v>0</v>
      </c>
      <c r="AO478" s="289">
        <f t="shared" si="118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9"/>
        <v>0</v>
      </c>
      <c r="AI479" s="283">
        <f t="shared" si="124"/>
        <v>0</v>
      </c>
      <c r="AJ479" s="288"/>
      <c r="AK479" s="279"/>
      <c r="AL479" s="280">
        <f t="shared" si="123"/>
        <v>0</v>
      </c>
      <c r="AM479" s="348"/>
      <c r="AN479" s="282">
        <f t="shared" si="120"/>
        <v>0</v>
      </c>
      <c r="AO479" s="289">
        <f t="shared" si="118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29220.45</v>
      </c>
      <c r="AA480" s="332"/>
      <c r="AB480" s="333"/>
      <c r="AC480" s="280"/>
      <c r="AD480" s="345"/>
      <c r="AE480" s="333"/>
      <c r="AF480" s="280">
        <f>+SUMIF($C:$C,$V480,L:L)</f>
        <v>34510</v>
      </c>
      <c r="AG480" s="346"/>
      <c r="AH480" s="282">
        <f t="shared" si="119"/>
        <v>5289.5499999999993</v>
      </c>
      <c r="AI480" s="306">
        <f t="shared" si="124"/>
        <v>0.18102219507228667</v>
      </c>
      <c r="AJ480" s="345"/>
      <c r="AK480" s="332"/>
      <c r="AL480" s="347">
        <v>29655</v>
      </c>
      <c r="AM480" s="348"/>
      <c r="AN480" s="282">
        <f t="shared" si="120"/>
        <v>4855</v>
      </c>
      <c r="AO480" s="289">
        <f t="shared" si="118"/>
        <v>0.16371606811667511</v>
      </c>
      <c r="AP480" s="246"/>
      <c r="AQ480" s="246">
        <v>34510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0.27207182006708747</v>
      </c>
      <c r="Y481" s="330"/>
      <c r="Z481" s="299">
        <f>SUM(Z469:Z480)</f>
        <v>155014.43617194574</v>
      </c>
      <c r="AA481" s="298"/>
      <c r="AB481" s="330"/>
      <c r="AC481" s="299"/>
      <c r="AD481" s="298">
        <f>AF481/+AF407</f>
        <v>0.32403669325039602</v>
      </c>
      <c r="AE481" s="330"/>
      <c r="AF481" s="299">
        <f>SUM(AF469:AF480)</f>
        <v>184735.95</v>
      </c>
      <c r="AG481" s="308"/>
      <c r="AH481" s="302">
        <f t="shared" si="119"/>
        <v>29721.513828054274</v>
      </c>
      <c r="AI481" s="298">
        <f>AH481/Z481</f>
        <v>0.19173384467938492</v>
      </c>
      <c r="AJ481" s="349"/>
      <c r="AK481" s="350"/>
      <c r="AL481" s="299">
        <f>SUM(AL469:AL480)</f>
        <v>155428.07</v>
      </c>
      <c r="AM481" s="351"/>
      <c r="AN481" s="302">
        <f t="shared" si="120"/>
        <v>29307.880000000005</v>
      </c>
      <c r="AO481" s="331">
        <f t="shared" si="118"/>
        <v>0.18856233626268409</v>
      </c>
      <c r="AP481" s="246"/>
      <c r="AQ481" s="246" t="s">
        <v>226</v>
      </c>
      <c r="AR481" s="246">
        <v>205000</v>
      </c>
      <c r="AS481" s="310">
        <f>AF481-AR481</f>
        <v>-20264.049999999988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20"/>
        <v>0</v>
      </c>
      <c r="AO482" s="364">
        <f t="shared" si="118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4.7355587183213664E-2</v>
      </c>
      <c r="Z483" s="369">
        <f>Z407-Z468+Z481</f>
        <v>250098.63104288428</v>
      </c>
      <c r="AA483" s="367"/>
      <c r="AB483" s="368"/>
      <c r="AC483" s="369"/>
      <c r="AD483" s="367" t="s">
        <v>180</v>
      </c>
      <c r="AE483" s="368">
        <f>AF483/AF406</f>
        <v>4.0884611410403567E-2</v>
      </c>
      <c r="AF483" s="370">
        <f>AF407-AF468+AF481</f>
        <v>224884.24000000005</v>
      </c>
      <c r="AG483" s="371"/>
      <c r="AH483" s="370">
        <f>AF483-Z483</f>
        <v>-25214.391042884236</v>
      </c>
      <c r="AI483" s="503">
        <f>AH483/Z483</f>
        <v>-0.10081778911680943</v>
      </c>
      <c r="AJ483" s="373" t="s">
        <v>180</v>
      </c>
      <c r="AK483" s="368">
        <f>IF($AL$406=0,0,AL483/$AL$406)</f>
        <v>4.9548318256503805E-2</v>
      </c>
      <c r="AL483" s="370">
        <f>AL407-AL468+AL481</f>
        <v>259055.20999999956</v>
      </c>
      <c r="AM483" s="374"/>
      <c r="AN483" s="370">
        <f t="shared" si="120"/>
        <v>-34170.969999999506</v>
      </c>
      <c r="AO483" s="375">
        <f t="shared" si="118"/>
        <v>-0.13190612919925279</v>
      </c>
      <c r="AP483" s="246"/>
      <c r="AQ483" s="246"/>
      <c r="AR483" s="310">
        <f>AR407-AR468+AR481</f>
        <v>266284</v>
      </c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5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Mai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125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5.25">
      <c r="A487" t="str">
        <f t="shared" si="125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36" thickBot="1">
      <c r="A488" t="str">
        <f t="shared" si="125"/>
        <v/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6"/>
      <c r="W488" s="6"/>
      <c r="X488" s="6"/>
      <c r="Y488" s="6"/>
      <c r="Z488" s="82"/>
      <c r="AA488" s="13"/>
      <c r="AB488" s="13"/>
      <c r="AC488" s="82"/>
      <c r="AD488" s="13"/>
      <c r="AE488" s="13"/>
      <c r="AF488" s="376"/>
      <c r="AG488" s="13"/>
      <c r="AH488" s="13"/>
      <c r="AI488" s="13"/>
      <c r="AJ488" s="13"/>
      <c r="AK488" s="13"/>
      <c r="AL488" s="82"/>
      <c r="AM488" s="13"/>
      <c r="AN488" s="13"/>
      <c r="AO488" s="13"/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thickTop="1" thickBot="1">
      <c r="A489" t="str">
        <f t="shared" si="125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4.7355587183213664E-2</v>
      </c>
      <c r="Z489" s="381">
        <f>Z483</f>
        <v>250098.63104288428</v>
      </c>
      <c r="AA489" s="379"/>
      <c r="AB489" s="380"/>
      <c r="AC489" s="381"/>
      <c r="AD489" s="379" t="s">
        <v>180</v>
      </c>
      <c r="AE489" s="380">
        <f>AF489/AF406</f>
        <v>4.0884611410403567E-2</v>
      </c>
      <c r="AF489" s="381">
        <f>AF483</f>
        <v>224884.24000000005</v>
      </c>
      <c r="AG489" s="382"/>
      <c r="AH489" s="370">
        <f>AF489-Z489</f>
        <v>-25214.391042884236</v>
      </c>
      <c r="AI489" s="503">
        <f>AH489/Z489</f>
        <v>-0.10081778911680943</v>
      </c>
      <c r="AJ489" s="379" t="s">
        <v>180</v>
      </c>
      <c r="AK489" s="380">
        <f>IF($AL$406=0,0,AL489/$AL$406)</f>
        <v>4.9548318256503805E-2</v>
      </c>
      <c r="AL489" s="383">
        <f>AL483</f>
        <v>259055.20999999956</v>
      </c>
      <c r="AM489" s="384"/>
      <c r="AN489" s="385">
        <f>AF489-AL489</f>
        <v>-34170.969999999506</v>
      </c>
      <c r="AO489" s="386">
        <f>IF(AL489=0,0,AN489/AL489)</f>
        <v>-0.13190612919925279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5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5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20970</v>
      </c>
      <c r="AA491" s="279"/>
      <c r="AB491" s="287"/>
      <c r="AC491" s="280"/>
      <c r="AD491" s="279"/>
      <c r="AE491" s="287"/>
      <c r="AF491" s="280">
        <v>20970</v>
      </c>
      <c r="AG491" s="279"/>
      <c r="AH491" s="282">
        <f t="shared" ref="AH491:AH498" si="126">AF491-Z491</f>
        <v>0</v>
      </c>
      <c r="AI491" s="306">
        <f t="shared" ref="AI491:AI497" si="127">IF(Z491=0,0,AH491/Z491)</f>
        <v>0</v>
      </c>
      <c r="AJ491" s="279"/>
      <c r="AK491" s="279"/>
      <c r="AL491" s="280">
        <v>19520</v>
      </c>
      <c r="AM491" s="284"/>
      <c r="AN491" s="282">
        <f t="shared" ref="AN491:AN498" si="128">AF491-AL491</f>
        <v>1450</v>
      </c>
      <c r="AO491" s="289">
        <f t="shared" ref="AO491:AO498" si="129">IF(AL491=0,0,AN491/AL491)</f>
        <v>7.4282786885245908E-2</v>
      </c>
      <c r="AP491" s="246"/>
      <c r="AQ491" s="502">
        <v>20970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125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6"/>
        <v>0</v>
      </c>
      <c r="AI492" s="306">
        <f t="shared" si="127"/>
        <v>0</v>
      </c>
      <c r="AJ492" s="10"/>
      <c r="AK492" s="10"/>
      <c r="AL492" s="280">
        <v>0</v>
      </c>
      <c r="AM492" s="393"/>
      <c r="AN492" s="282">
        <f t="shared" si="128"/>
        <v>0</v>
      </c>
      <c r="AO492" s="289">
        <f t="shared" si="129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125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6"/>
        <v>0</v>
      </c>
      <c r="AI493" s="306">
        <f t="shared" si="127"/>
        <v>0</v>
      </c>
      <c r="AJ493" s="10"/>
      <c r="AK493" s="10"/>
      <c r="AL493" s="280">
        <v>0</v>
      </c>
      <c r="AM493" s="393"/>
      <c r="AN493" s="282">
        <f t="shared" si="128"/>
        <v>0</v>
      </c>
      <c r="AO493" s="289">
        <f t="shared" si="129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125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6"/>
        <v>0</v>
      </c>
      <c r="AI494" s="306">
        <f t="shared" si="127"/>
        <v>0</v>
      </c>
      <c r="AJ494" s="10"/>
      <c r="AK494" s="10"/>
      <c r="AL494" s="280">
        <v>0</v>
      </c>
      <c r="AM494" s="393"/>
      <c r="AN494" s="282">
        <f t="shared" si="128"/>
        <v>0</v>
      </c>
      <c r="AO494" s="289">
        <f t="shared" si="129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>
      <c r="A495" t="str">
        <f t="shared" si="125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6"/>
        <v>0</v>
      </c>
      <c r="AI495" s="283">
        <f t="shared" si="127"/>
        <v>0</v>
      </c>
      <c r="AJ495" s="288"/>
      <c r="AK495" s="279"/>
      <c r="AL495" s="280">
        <v>0</v>
      </c>
      <c r="AM495" s="393"/>
      <c r="AN495" s="282">
        <f t="shared" si="128"/>
        <v>0</v>
      </c>
      <c r="AO495" s="289">
        <f t="shared" si="129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0.25">
      <c r="A496" t="str">
        <f t="shared" si="125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247</v>
      </c>
      <c r="W496" s="13"/>
      <c r="X496" s="13"/>
      <c r="Y496" s="13"/>
      <c r="Z496" s="282">
        <v>-9189.890710382515</v>
      </c>
      <c r="AA496" s="279"/>
      <c r="AB496" s="279"/>
      <c r="AC496" s="282"/>
      <c r="AD496" s="288"/>
      <c r="AE496" s="287"/>
      <c r="AF496" s="280">
        <v>-7311.25</v>
      </c>
      <c r="AG496" s="281"/>
      <c r="AH496" s="282">
        <f t="shared" si="126"/>
        <v>1878.640710382515</v>
      </c>
      <c r="AI496" s="283">
        <f t="shared" si="127"/>
        <v>-0.2044247064070166</v>
      </c>
      <c r="AJ496" s="288"/>
      <c r="AK496" s="279"/>
      <c r="AL496" s="280">
        <v>0</v>
      </c>
      <c r="AM496" s="393"/>
      <c r="AN496" s="282">
        <f t="shared" si="128"/>
        <v>-7311.25</v>
      </c>
      <c r="AO496" s="289">
        <f t="shared" si="129"/>
        <v>0</v>
      </c>
      <c r="AP496" s="246"/>
      <c r="AQ496" s="246">
        <v>-7311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thickBot="1">
      <c r="A497" t="str">
        <f t="shared" si="125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6"/>
        <v>0</v>
      </c>
      <c r="AI497" s="283">
        <f t="shared" si="127"/>
        <v>0</v>
      </c>
      <c r="AJ497" s="288"/>
      <c r="AK497" s="279"/>
      <c r="AL497" s="280">
        <v>0</v>
      </c>
      <c r="AM497" s="393"/>
      <c r="AN497" s="282">
        <f t="shared" si="128"/>
        <v>0</v>
      </c>
      <c r="AO497" s="289">
        <f t="shared" si="129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5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4.5125051213600095E-2</v>
      </c>
      <c r="Z498" s="369">
        <f>Z489-Z491-Z492-Z493-Z497-Z496-Z494-Z495</f>
        <v>238318.5217532668</v>
      </c>
      <c r="AA498" s="367"/>
      <c r="AB498" s="368"/>
      <c r="AC498" s="369"/>
      <c r="AD498" s="367" t="s">
        <v>180</v>
      </c>
      <c r="AE498" s="368">
        <f>AF498/AF406</f>
        <v>3.8401410781929782E-2</v>
      </c>
      <c r="AF498" s="370">
        <f>AF489-AF491-AF492-AF493-AF497-AF496-AF494-AF495</f>
        <v>211225.49000000005</v>
      </c>
      <c r="AG498" s="371"/>
      <c r="AH498" s="370">
        <f t="shared" si="126"/>
        <v>-27093.031753266754</v>
      </c>
      <c r="AI498" s="503">
        <f>AH498/Z498</f>
        <v>-0.11368412137650133</v>
      </c>
      <c r="AJ498" s="373" t="s">
        <v>180</v>
      </c>
      <c r="AK498" s="368">
        <f>IF($AL$406=0,0,AL498/$AL$406)</f>
        <v>4.5814816149493655E-2</v>
      </c>
      <c r="AL498" s="370">
        <f>AL489-AL491-AL492-AL493-AL497-AL496-AL494-AL495</f>
        <v>239535.20999999956</v>
      </c>
      <c r="AM498" s="374"/>
      <c r="AN498" s="370">
        <f t="shared" si="128"/>
        <v>-28309.719999999506</v>
      </c>
      <c r="AO498" s="394">
        <f t="shared" si="129"/>
        <v>-0.11818604872327354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+U499&amp;V499</f>
        <v/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V499" s="246"/>
      <c r="W499" s="246"/>
      <c r="X499" s="246"/>
      <c r="Y499" s="246"/>
      <c r="Z499" s="246"/>
      <c r="AA499" s="246"/>
      <c r="AB499" s="246"/>
      <c r="AC499" s="246"/>
      <c r="AD499" s="246"/>
      <c r="AE499" s="395"/>
      <c r="AF499" s="396"/>
      <c r="AG499" s="246"/>
      <c r="AH499" s="310"/>
      <c r="AI499" s="246"/>
      <c r="AJ499" s="246"/>
      <c r="AK499" s="246"/>
      <c r="AL499" s="246"/>
      <c r="AM499" s="246"/>
      <c r="AN499" s="246"/>
      <c r="AO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248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54918.63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249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156306.86000000004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504">
        <f>AF500/AF498</f>
        <v>0.2600000123091204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250</v>
      </c>
      <c r="AE505" s="246"/>
      <c r="AF505" s="246">
        <v>266284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-55058.509999999951</v>
      </c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246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</mergeCells>
  <conditionalFormatting sqref="D31:D32">
    <cfRule type="expression" dxfId="112" priority="6" stopIfTrue="1">
      <formula>"esterreur(reference)"</formula>
    </cfRule>
  </conditionalFormatting>
  <conditionalFormatting sqref="D112:D113">
    <cfRule type="expression" dxfId="111" priority="1" stopIfTrue="1">
      <formula>"esterreur(reference)"</formula>
    </cfRule>
  </conditionalFormatting>
  <conditionalFormatting sqref="F5">
    <cfRule type="expression" dxfId="110" priority="67" stopIfTrue="1">
      <formula>"esterreur(reference)"</formula>
    </cfRule>
  </conditionalFormatting>
  <conditionalFormatting sqref="F184">
    <cfRule type="expression" dxfId="109" priority="77" stopIfTrue="1">
      <formula>"esterreur(reference)"</formula>
    </cfRule>
  </conditionalFormatting>
  <conditionalFormatting sqref="G31:G32">
    <cfRule type="expression" dxfId="108" priority="5" stopIfTrue="1">
      <formula>"esterreur(reference)"</formula>
    </cfRule>
  </conditionalFormatting>
  <conditionalFormatting sqref="G112:G113">
    <cfRule type="expression" dxfId="107" priority="2" stopIfTrue="1">
      <formula>"esterreur(reference)"</formula>
    </cfRule>
  </conditionalFormatting>
  <conditionalFormatting sqref="H136:H152">
    <cfRule type="expression" dxfId="106" priority="31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2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98" stopIfTrue="1">
      <formula>"esterreur(reference)"</formula>
    </cfRule>
  </conditionalFormatting>
  <conditionalFormatting sqref="J149:L152">
    <cfRule type="expression" dxfId="98" priority="30" stopIfTrue="1">
      <formula>"esterreur(reference)"</formula>
    </cfRule>
  </conditionalFormatting>
  <conditionalFormatting sqref="J295:L303">
    <cfRule type="expression" dxfId="97" priority="94" stopIfTrue="1">
      <formula>"esterreur(reference)"</formula>
    </cfRule>
  </conditionalFormatting>
  <conditionalFormatting sqref="J307:L308">
    <cfRule type="expression" dxfId="96" priority="84" stopIfTrue="1">
      <formula>"esterreur(reference)"</formula>
    </cfRule>
  </conditionalFormatting>
  <conditionalFormatting sqref="J360:L360">
    <cfRule type="expression" dxfId="95" priority="76" stopIfTrue="1">
      <formula>"esterreur(reference)"</formula>
    </cfRule>
  </conditionalFormatting>
  <conditionalFormatting sqref="J365:L376">
    <cfRule type="expression" dxfId="94" priority="81" stopIfTrue="1">
      <formula>"esterreur(reference)"</formula>
    </cfRule>
  </conditionalFormatting>
  <conditionalFormatting sqref="J378:L394">
    <cfRule type="expression" dxfId="93" priority="80" stopIfTrue="1">
      <formula>"esterreur(reference)"</formula>
    </cfRule>
  </conditionalFormatting>
  <conditionalFormatting sqref="J312:M312">
    <cfRule type="expression" dxfId="92" priority="82" stopIfTrue="1">
      <formula>"esterreur(reference)"</formula>
    </cfRule>
  </conditionalFormatting>
  <conditionalFormatting sqref="J112:Q121">
    <cfRule type="expression" dxfId="91" priority="3" stopIfTrue="1">
      <formula>"esterreur(reference)"</formula>
    </cfRule>
  </conditionalFormatting>
  <conditionalFormatting sqref="J123:Q134">
    <cfRule type="expression" dxfId="90" priority="57" stopIfTrue="1">
      <formula>"esterreur(reference)"</formula>
    </cfRule>
  </conditionalFormatting>
  <conditionalFormatting sqref="K5">
    <cfRule type="expression" dxfId="89" priority="91" stopIfTrue="1">
      <formula>"esterreur(reference)"</formula>
    </cfRule>
  </conditionalFormatting>
  <conditionalFormatting sqref="K175">
    <cfRule type="expression" dxfId="88" priority="88" stopIfTrue="1">
      <formula>"esterreur(reference)"</formula>
    </cfRule>
  </conditionalFormatting>
  <conditionalFormatting sqref="K183:K184">
    <cfRule type="expression" dxfId="87" priority="90" stopIfTrue="1">
      <formula>"esterreur(reference)"</formula>
    </cfRule>
  </conditionalFormatting>
  <conditionalFormatting sqref="K287">
    <cfRule type="expression" dxfId="86" priority="74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79" stopIfTrue="1">
      <formula>"esterreur(reference)"</formula>
    </cfRule>
  </conditionalFormatting>
  <conditionalFormatting sqref="K99:L100">
    <cfRule type="expression" dxfId="83" priority="99" stopIfTrue="1">
      <formula>"esterreur(reference)"</formula>
    </cfRule>
  </conditionalFormatting>
  <conditionalFormatting sqref="K171:L173">
    <cfRule type="expression" dxfId="82" priority="89" stopIfTrue="1">
      <formula>"esterreur(reference)"</formula>
    </cfRule>
  </conditionalFormatting>
  <conditionalFormatting sqref="K176:L182">
    <cfRule type="expression" dxfId="81" priority="87" stopIfTrue="1">
      <formula>"esterreur(reference)"</formula>
    </cfRule>
  </conditionalFormatting>
  <conditionalFormatting sqref="K185:L196">
    <cfRule type="expression" dxfId="80" priority="83" stopIfTrue="1">
      <formula>"esterreur(reference)"</formula>
    </cfRule>
  </conditionalFormatting>
  <conditionalFormatting sqref="K239:L241">
    <cfRule type="expression" dxfId="79" priority="78" stopIfTrue="1">
      <formula>"esterreur(reference)"</formula>
    </cfRule>
  </conditionalFormatting>
  <conditionalFormatting sqref="K244:L244">
    <cfRule type="expression" dxfId="78" priority="86" stopIfTrue="1">
      <formula>"esterreur(reference)"</formula>
    </cfRule>
  </conditionalFormatting>
  <conditionalFormatting sqref="K247:L247">
    <cfRule type="expression" dxfId="77" priority="85" stopIfTrue="1">
      <formula>"esterreur(reference)"</formula>
    </cfRule>
  </conditionalFormatting>
  <conditionalFormatting sqref="L16:L24">
    <cfRule type="expression" dxfId="76" priority="101" stopIfTrue="1">
      <formula>"esterreur(reference)"</formula>
    </cfRule>
  </conditionalFormatting>
  <conditionalFormatting sqref="L42:L48">
    <cfRule type="expression" dxfId="75" priority="100" stopIfTrue="1">
      <formula>"esterreur(reference)"</formula>
    </cfRule>
  </conditionalFormatting>
  <conditionalFormatting sqref="L55:L66">
    <cfRule type="expression" dxfId="74" priority="68" stopIfTrue="1">
      <formula>"esterreur(reference)"</formula>
    </cfRule>
  </conditionalFormatting>
  <conditionalFormatting sqref="L68:L71">
    <cfRule type="expression" dxfId="73" priority="32" stopIfTrue="1">
      <formula>"esterreur(reference)"</formula>
    </cfRule>
  </conditionalFormatting>
  <conditionalFormatting sqref="L75:L82">
    <cfRule type="expression" dxfId="72" priority="69" stopIfTrue="1">
      <formula>"esterreur(reference)"</formula>
    </cfRule>
  </conditionalFormatting>
  <conditionalFormatting sqref="L136:L147">
    <cfRule type="expression" dxfId="71" priority="73" stopIfTrue="1">
      <formula>"esterreur(reference)"</formula>
    </cfRule>
  </conditionalFormatting>
  <conditionalFormatting sqref="L174:L175">
    <cfRule type="expression" dxfId="70" priority="97" stopIfTrue="1">
      <formula>"esterreur(reference)"</formula>
    </cfRule>
  </conditionalFormatting>
  <conditionalFormatting sqref="L198:L209">
    <cfRule type="expression" dxfId="69" priority="96" stopIfTrue="1">
      <formula>"esterreur(reference)"</formula>
    </cfRule>
  </conditionalFormatting>
  <conditionalFormatting sqref="L211:L228">
    <cfRule type="expression" dxfId="68" priority="72" stopIfTrue="1">
      <formula>"esterreur(reference)"</formula>
    </cfRule>
  </conditionalFormatting>
  <conditionalFormatting sqref="L254:L265">
    <cfRule type="expression" dxfId="67" priority="95" stopIfTrue="1">
      <formula>"esterreur(reference)"</formula>
    </cfRule>
  </conditionalFormatting>
  <conditionalFormatting sqref="L267:L284">
    <cfRule type="expression" dxfId="66" priority="71" stopIfTrue="1">
      <formula>"esterreur(reference)"</formula>
    </cfRule>
  </conditionalFormatting>
  <conditionalFormatting sqref="L318:L329">
    <cfRule type="expression" dxfId="65" priority="93" stopIfTrue="1">
      <formula>"esterreur(reference)"</formula>
    </cfRule>
  </conditionalFormatting>
  <conditionalFormatting sqref="L331">
    <cfRule type="expression" dxfId="64" priority="70" stopIfTrue="1">
      <formula>"esterreur(reference)"</formula>
    </cfRule>
  </conditionalFormatting>
  <conditionalFormatting sqref="L334:L343 L345:L348">
    <cfRule type="expression" dxfId="63" priority="92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2" stopIfTrue="1">
      <formula>"esterreur(reference)"</formula>
    </cfRule>
  </conditionalFormatting>
  <conditionalFormatting sqref="L156:Q162">
    <cfRule type="expression" dxfId="60" priority="28" stopIfTrue="1">
      <formula>"esterreur(reference)"</formula>
    </cfRule>
  </conditionalFormatting>
  <conditionalFormatting sqref="M95:M97">
    <cfRule type="expression" dxfId="59" priority="103" stopIfTrue="1">
      <formula>"esterreur(reference)"</formula>
    </cfRule>
  </conditionalFormatting>
  <conditionalFormatting sqref="O13:O14 O16 O18:O24 O83:Q85">
    <cfRule type="expression" dxfId="58" priority="66" stopIfTrue="1">
      <formula>"esterreur(reference)"</formula>
    </cfRule>
  </conditionalFormatting>
  <conditionalFormatting sqref="O172:O196 Q183 O198:P229 O232:Q232 O233:P233">
    <cfRule type="expression" dxfId="57" priority="55" stopIfTrue="1">
      <formula>"esterreur(reference)"</formula>
    </cfRule>
  </conditionalFormatting>
  <conditionalFormatting sqref="O318:P348 O349:Q349 O352:Q352 O353:P353">
    <cfRule type="expression" dxfId="56" priority="39" stopIfTrue="1">
      <formula>"esterreur(reference)"</formula>
    </cfRule>
  </conditionalFormatting>
  <conditionalFormatting sqref="O25:Q72">
    <cfRule type="expression" dxfId="55" priority="4" stopIfTrue="1">
      <formula>"esterreur(reference)"</formula>
    </cfRule>
  </conditionalFormatting>
  <conditionalFormatting sqref="O97:Q98 O122:Q122 O156:P157 O164:Q164 O165:P165">
    <cfRule type="expression" dxfId="54" priority="61" stopIfTrue="1">
      <formula>"esterreur(reference)"</formula>
    </cfRule>
  </conditionalFormatting>
  <conditionalFormatting sqref="O101:Q111">
    <cfRule type="expression" dxfId="53" priority="59" stopIfTrue="1">
      <formula>"esterreur(reference)"</formula>
    </cfRule>
  </conditionalFormatting>
  <conditionalFormatting sqref="O135:Q153">
    <cfRule type="expression" dxfId="52" priority="29" stopIfTrue="1">
      <formula>"esterreur(reference)"</formula>
    </cfRule>
  </conditionalFormatting>
  <conditionalFormatting sqref="O197:Q197">
    <cfRule type="expression" dxfId="51" priority="56" stopIfTrue="1">
      <formula>"esterreur(reference)"</formula>
    </cfRule>
  </conditionalFormatting>
  <conditionalFormatting sqref="O243:Q243 O252:Q253 O254:P284 O285:Q285 O288:Q288 O289:P289">
    <cfRule type="expression" dxfId="50" priority="46" stopIfTrue="1">
      <formula>"esterreur(reference)"</formula>
    </cfRule>
  </conditionalFormatting>
  <conditionalFormatting sqref="O295:Q317">
    <cfRule type="expression" dxfId="49" priority="37" stopIfTrue="1">
      <formula>"esterreur(reference)"</formula>
    </cfRule>
  </conditionalFormatting>
  <conditionalFormatting sqref="O359:Q394">
    <cfRule type="expression" dxfId="48" priority="33" stopIfTrue="1">
      <formula>"esterreur(reference)"</formula>
    </cfRule>
  </conditionalFormatting>
  <conditionalFormatting sqref="O396:Q399">
    <cfRule type="expression" dxfId="47" priority="34" stopIfTrue="1">
      <formula>"esterreur(reference)"</formula>
    </cfRule>
  </conditionalFormatting>
  <conditionalFormatting sqref="P5">
    <cfRule type="expression" dxfId="46" priority="63" stopIfTrue="1">
      <formula>"esterreur(reference)"</formula>
    </cfRule>
  </conditionalFormatting>
  <conditionalFormatting sqref="P175">
    <cfRule type="expression" dxfId="45" priority="50" stopIfTrue="1">
      <formula>"esterreur(reference)"</formula>
    </cfRule>
  </conditionalFormatting>
  <conditionalFormatting sqref="P183:P184">
    <cfRule type="expression" dxfId="44" priority="52" stopIfTrue="1">
      <formula>"esterreur(reference)"</formula>
    </cfRule>
  </conditionalFormatting>
  <conditionalFormatting sqref="P287">
    <cfRule type="expression" dxfId="43" priority="41" stopIfTrue="1">
      <formula>"esterreur(reference)"</formula>
    </cfRule>
  </conditionalFormatting>
  <conditionalFormatting sqref="P395">
    <cfRule type="expression" dxfId="42" priority="35" stopIfTrue="1">
      <formula>"esterreur(reference)"</formula>
    </cfRule>
  </conditionalFormatting>
  <conditionalFormatting sqref="P93:Q96">
    <cfRule type="expression" dxfId="41" priority="58" stopIfTrue="1">
      <formula>"esterreur(reference)"</formula>
    </cfRule>
  </conditionalFormatting>
  <conditionalFormatting sqref="P99:Q100">
    <cfRule type="expression" dxfId="40" priority="60" stopIfTrue="1">
      <formula>"esterreur(reference)"</formula>
    </cfRule>
  </conditionalFormatting>
  <conditionalFormatting sqref="P172:Q173">
    <cfRule type="expression" dxfId="39" priority="51" stopIfTrue="1">
      <formula>"esterreur(reference)"</formula>
    </cfRule>
  </conditionalFormatting>
  <conditionalFormatting sqref="P176:Q182">
    <cfRule type="expression" dxfId="38" priority="49" stopIfTrue="1">
      <formula>"esterreur(reference)"</formula>
    </cfRule>
  </conditionalFormatting>
  <conditionalFormatting sqref="P185:Q196">
    <cfRule type="expression" dxfId="37" priority="48" stopIfTrue="1">
      <formula>"esterreur(reference)"</formula>
    </cfRule>
  </conditionalFormatting>
  <conditionalFormatting sqref="P241:Q241">
    <cfRule type="expression" dxfId="36" priority="42" stopIfTrue="1">
      <formula>"esterreur(reference)"</formula>
    </cfRule>
  </conditionalFormatting>
  <conditionalFormatting sqref="P244:Q244">
    <cfRule type="expression" dxfId="35" priority="44" stopIfTrue="1">
      <formula>"esterreur(reference)"</formula>
    </cfRule>
  </conditionalFormatting>
  <conditionalFormatting sqref="P247:Q247">
    <cfRule type="expression" dxfId="34" priority="43" stopIfTrue="1">
      <formula>"esterreur(reference)"</formula>
    </cfRule>
  </conditionalFormatting>
  <conditionalFormatting sqref="Q16:Q24">
    <cfRule type="expression" dxfId="33" priority="65" stopIfTrue="1">
      <formula>"esterreur(reference)"</formula>
    </cfRule>
  </conditionalFormatting>
  <conditionalFormatting sqref="Q75:Q82">
    <cfRule type="expression" dxfId="32" priority="64" stopIfTrue="1">
      <formula>"esterreur(reference)"</formula>
    </cfRule>
  </conditionalFormatting>
  <conditionalFormatting sqref="Q174:Q175">
    <cfRule type="expression" dxfId="31" priority="54" stopIfTrue="1">
      <formula>"esterreur(reference)"</formula>
    </cfRule>
  </conditionalFormatting>
  <conditionalFormatting sqref="Q198:Q209">
    <cfRule type="expression" dxfId="30" priority="53" stopIfTrue="1">
      <formula>"esterreur(reference)"</formula>
    </cfRule>
  </conditionalFormatting>
  <conditionalFormatting sqref="Q211:Q228">
    <cfRule type="expression" dxfId="29" priority="47" stopIfTrue="1">
      <formula>"esterreur(reference)"</formula>
    </cfRule>
  </conditionalFormatting>
  <conditionalFormatting sqref="Q254:Q265">
    <cfRule type="expression" dxfId="28" priority="45" stopIfTrue="1">
      <formula>"esterreur(reference)"</formula>
    </cfRule>
  </conditionalFormatting>
  <conditionalFormatting sqref="Q267:Q284">
    <cfRule type="expression" dxfId="27" priority="40" stopIfTrue="1">
      <formula>"esterreur(reference)"</formula>
    </cfRule>
  </conditionalFormatting>
  <conditionalFormatting sqref="Q318:Q329">
    <cfRule type="expression" dxfId="26" priority="38" stopIfTrue="1">
      <formula>"esterreur(reference)"</formula>
    </cfRule>
  </conditionalFormatting>
  <conditionalFormatting sqref="Q331:Q348">
    <cfRule type="expression" dxfId="25" priority="36" stopIfTrue="1">
      <formula>"esterreur(reference)"</formula>
    </cfRule>
  </conditionalFormatting>
  <conditionalFormatting sqref="R312">
    <cfRule type="expression" dxfId="24" priority="104" stopIfTrue="1">
      <formula>"esterreur(reference)"</formula>
    </cfRule>
  </conditionalFormatting>
  <conditionalFormatting sqref="S186">
    <cfRule type="expression" dxfId="23" priority="75" stopIfTrue="1">
      <formula>"esterreur(reference)"</formula>
    </cfRule>
  </conditionalFormatting>
  <conditionalFormatting sqref="Z425:Z427">
    <cfRule type="cellIs" dxfId="22" priority="24" operator="greaterThan">
      <formula>0</formula>
    </cfRule>
  </conditionalFormatting>
  <conditionalFormatting sqref="Z432">
    <cfRule type="cellIs" dxfId="21" priority="21" operator="greaterThan">
      <formula>0</formula>
    </cfRule>
  </conditionalFormatting>
  <conditionalFormatting sqref="Z449:Z451">
    <cfRule type="cellIs" dxfId="20" priority="17" operator="greaterThan">
      <formula>0</formula>
    </cfRule>
  </conditionalFormatting>
  <conditionalFormatting sqref="Z463:Z465">
    <cfRule type="cellIs" dxfId="19" priority="13" operator="greaterThan">
      <formula>0</formula>
    </cfRule>
  </conditionalFormatting>
  <conditionalFormatting sqref="Z478:Z479">
    <cfRule type="cellIs" dxfId="18" priority="10" operator="greaterThan">
      <formula>0</formula>
    </cfRule>
  </conditionalFormatting>
  <conditionalFormatting sqref="Z495:Z497">
    <cfRule type="cellIs" dxfId="17" priority="7" operator="greaterThan">
      <formula>0</formula>
    </cfRule>
  </conditionalFormatting>
  <conditionalFormatting sqref="AC425:AC427">
    <cfRule type="cellIs" dxfId="16" priority="25" operator="greaterThan">
      <formula>0</formula>
    </cfRule>
  </conditionalFormatting>
  <conditionalFormatting sqref="AC432">
    <cfRule type="cellIs" dxfId="15" priority="22" operator="greaterThan">
      <formula>0</formula>
    </cfRule>
  </conditionalFormatting>
  <conditionalFormatting sqref="AC449:AC451">
    <cfRule type="cellIs" dxfId="14" priority="18" operator="greaterThan">
      <formula>0</formula>
    </cfRule>
  </conditionalFormatting>
  <conditionalFormatting sqref="AC463:AC465">
    <cfRule type="cellIs" dxfId="13" priority="14" operator="greaterThan">
      <formula>0</formula>
    </cfRule>
  </conditionalFormatting>
  <conditionalFormatting sqref="AC478:AC479">
    <cfRule type="cellIs" dxfId="12" priority="11" operator="greaterThan">
      <formula>0</formula>
    </cfRule>
  </conditionalFormatting>
  <conditionalFormatting sqref="AC495:AC497">
    <cfRule type="cellIs" dxfId="11" priority="8" operator="greaterThan">
      <formula>0</formula>
    </cfRule>
  </conditionalFormatting>
  <conditionalFormatting sqref="AG409:AI418">
    <cfRule type="cellIs" dxfId="10" priority="27" operator="greaterThan">
      <formula>0</formula>
    </cfRule>
  </conditionalFormatting>
  <conditionalFormatting sqref="AH449:AH452">
    <cfRule type="cellIs" dxfId="9" priority="19" operator="greaterThan">
      <formula>0</formula>
    </cfRule>
  </conditionalFormatting>
  <conditionalFormatting sqref="AH461:AH466">
    <cfRule type="cellIs" dxfId="8" priority="15" operator="greaterThan">
      <formula>0</formula>
    </cfRule>
  </conditionalFormatting>
  <conditionalFormatting sqref="AH420:AI448">
    <cfRule type="cellIs" dxfId="7" priority="23" operator="greaterThan">
      <formula>0</formula>
    </cfRule>
  </conditionalFormatting>
  <conditionalFormatting sqref="AH453:AI460 AH467:AI468">
    <cfRule type="cellIs" dxfId="6" priority="105" operator="greaterThan">
      <formula>0</formula>
    </cfRule>
  </conditionalFormatting>
  <conditionalFormatting sqref="AH469:AI477 AH480:AI480">
    <cfRule type="cellIs" dxfId="5" priority="106" operator="lessThan">
      <formula>0</formula>
    </cfRule>
  </conditionalFormatting>
  <conditionalFormatting sqref="AH478:AI479">
    <cfRule type="cellIs" dxfId="4" priority="12" operator="greaterThan">
      <formula>0</formula>
    </cfRule>
  </conditionalFormatting>
  <conditionalFormatting sqref="AH491:AI497">
    <cfRule type="cellIs" dxfId="3" priority="9" operator="greaterThan">
      <formula>0</formula>
    </cfRule>
  </conditionalFormatting>
  <conditionalFormatting sqref="AI449:AI451">
    <cfRule type="cellIs" dxfId="2" priority="20" operator="greaterThan">
      <formula>0</formula>
    </cfRule>
  </conditionalFormatting>
  <conditionalFormatting sqref="AI463:AI465">
    <cfRule type="cellIs" dxfId="1" priority="16" operator="greaterThan">
      <formula>0</formula>
    </cfRule>
  </conditionalFormatting>
  <conditionalFormatting sqref="AO409:AO418">
    <cfRule type="cellIs" dxfId="0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702"/>
  <sheetViews>
    <sheetView topLeftCell="K458" zoomScale="70" zoomScaleNormal="70" workbookViewId="0">
      <selection activeCell="AJ434" sqref="AJ434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272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72" t="s">
        <v>2</v>
      </c>
      <c r="E2" s="472" t="s">
        <v>3</v>
      </c>
      <c r="F2" s="472" t="s">
        <v>4</v>
      </c>
      <c r="G2" s="472"/>
      <c r="H2" s="472"/>
      <c r="I2" s="472"/>
      <c r="J2" s="472" t="s">
        <v>211</v>
      </c>
      <c r="K2" s="472"/>
      <c r="L2" s="472" t="s">
        <v>212</v>
      </c>
      <c r="M2" s="473"/>
      <c r="N2" s="473"/>
      <c r="O2" s="472" t="s">
        <v>2</v>
      </c>
      <c r="P2" s="472" t="s">
        <v>3</v>
      </c>
      <c r="Q2" s="472" t="s">
        <v>4</v>
      </c>
      <c r="R2" s="10"/>
      <c r="S2" s="10"/>
      <c r="T2" s="10"/>
      <c r="U2" s="10"/>
    </row>
    <row r="3" spans="1:40" ht="21" thickTop="1">
      <c r="B3" s="11"/>
      <c r="C3" s="12"/>
      <c r="D3" s="463" t="s">
        <v>5</v>
      </c>
      <c r="E3" s="464"/>
      <c r="F3" s="465"/>
      <c r="G3" s="466"/>
      <c r="H3" s="464"/>
      <c r="I3" s="465"/>
      <c r="J3" s="466" t="s">
        <v>7</v>
      </c>
      <c r="K3" s="464"/>
      <c r="L3" s="465"/>
      <c r="M3" s="466" t="s">
        <v>213</v>
      </c>
      <c r="N3" s="465"/>
      <c r="O3" s="463" t="s">
        <v>8</v>
      </c>
      <c r="P3" s="464"/>
      <c r="Q3" s="465"/>
      <c r="R3" s="470" t="s">
        <v>214</v>
      </c>
      <c r="S3" s="471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2000167.2774093123</v>
      </c>
      <c r="G5" s="23"/>
      <c r="H5" s="21"/>
      <c r="I5" s="24"/>
      <c r="J5" s="23"/>
      <c r="K5" s="25"/>
      <c r="L5" s="22">
        <v>1710445.63</v>
      </c>
      <c r="M5" s="26"/>
      <c r="N5" s="27"/>
      <c r="O5" s="23"/>
      <c r="P5" s="25"/>
      <c r="Q5" s="22">
        <v>1791786.59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7</v>
      </c>
      <c r="E6" s="30">
        <f>IF(D6=0,0,F6/D6)</f>
        <v>5144.9382716049386</v>
      </c>
      <c r="F6" s="30">
        <v>36014.567901234572</v>
      </c>
      <c r="G6" s="31"/>
      <c r="H6" s="30"/>
      <c r="I6" s="30"/>
      <c r="J6" s="31">
        <v>7</v>
      </c>
      <c r="K6" s="30">
        <f>IF(J6=0,0,L6/J6)</f>
        <v>4333.9528571428673</v>
      </c>
      <c r="L6" s="32">
        <v>30337.670000000071</v>
      </c>
      <c r="M6" s="31">
        <f t="shared" ref="M6:M12" si="2">J6-D6</f>
        <v>0</v>
      </c>
      <c r="N6" s="33">
        <f t="shared" ref="N6:N12" si="3">L6-F6</f>
        <v>-5676.8979012345008</v>
      </c>
      <c r="O6" s="31">
        <v>5</v>
      </c>
      <c r="P6" s="30">
        <f t="shared" ref="P6:P12" si="4">IF(O6=0,0,Q6/O6)</f>
        <v>5865.9580000000005</v>
      </c>
      <c r="Q6" s="32">
        <v>29329.79</v>
      </c>
      <c r="R6" s="31">
        <f>J6-O6</f>
        <v>2</v>
      </c>
      <c r="S6" s="34">
        <f>L6-Q6</f>
        <v>1007.8800000000701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13</v>
      </c>
      <c r="E7" s="30">
        <f t="shared" ref="E7:E12" si="5">IF(D7=0,0,F7/D7)</f>
        <v>5386.4238410596026</v>
      </c>
      <c r="F7" s="30">
        <v>70023.50993377484</v>
      </c>
      <c r="G7" s="31"/>
      <c r="H7" s="30"/>
      <c r="I7" s="30"/>
      <c r="J7" s="31">
        <v>10</v>
      </c>
      <c r="K7" s="30">
        <f t="shared" ref="K7:K12" si="6">IF(J7=0,0,L7/J7)</f>
        <v>4305.3519999999971</v>
      </c>
      <c r="L7" s="32">
        <v>43053.519999999975</v>
      </c>
      <c r="M7" s="31">
        <f t="shared" si="2"/>
        <v>-3</v>
      </c>
      <c r="N7" s="33">
        <f t="shared" si="3"/>
        <v>-26969.989933774865</v>
      </c>
      <c r="O7" s="31">
        <v>13</v>
      </c>
      <c r="P7" s="30">
        <f t="shared" si="4"/>
        <v>5473.6615384615307</v>
      </c>
      <c r="Q7" s="32">
        <v>71157.599999999904</v>
      </c>
      <c r="R7" s="31">
        <f t="shared" ref="R7:R12" si="7">J7-O7</f>
        <v>-3</v>
      </c>
      <c r="S7" s="34">
        <f t="shared" ref="S7:S12" si="8">L7-Q7</f>
        <v>-28104.079999999929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91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20</v>
      </c>
      <c r="E13" s="36">
        <f>IF(D13&lt;=0,0,F13/D13)</f>
        <v>5301.9038917504704</v>
      </c>
      <c r="F13" s="37">
        <f>+SUM(F6:F12)</f>
        <v>106038.0778350094</v>
      </c>
      <c r="G13" s="38"/>
      <c r="H13" s="36"/>
      <c r="I13" s="37"/>
      <c r="J13" s="38">
        <f>+SUM(J6:J12)</f>
        <v>17</v>
      </c>
      <c r="K13" s="36">
        <f>IF(J13&lt;=0,0,L13/J13)</f>
        <v>4317.1288235294141</v>
      </c>
      <c r="L13" s="37">
        <f>+SUM(L6:L12)</f>
        <v>73391.190000000046</v>
      </c>
      <c r="M13" s="38">
        <f>+SUM(M6:M12)</f>
        <v>-3</v>
      </c>
      <c r="N13" s="37">
        <f t="shared" ref="N13" si="10">+SUM(N6:N12)</f>
        <v>-32646.887835009366</v>
      </c>
      <c r="O13" s="38">
        <f>+SUM(O6:O12)</f>
        <v>18</v>
      </c>
      <c r="P13" s="36">
        <f>IF(O13&lt;=0,0,Q13/O13)</f>
        <v>5582.6327777777724</v>
      </c>
      <c r="Q13" s="37">
        <f t="shared" ref="Q13" si="11">+SUM(Q6:Q12)</f>
        <v>100487.3899999999</v>
      </c>
      <c r="R13" s="38">
        <f>+SUM(R6:R12)</f>
        <v>-1</v>
      </c>
      <c r="S13" s="39">
        <f>+SUM(S6:S12)</f>
        <v>-27096.199999999859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-0.15</v>
      </c>
      <c r="N14" s="43">
        <f>IF(F13=0,0,N13/F13)</f>
        <v>-0.30787891011949964</v>
      </c>
      <c r="O14" s="41"/>
      <c r="P14" s="30"/>
      <c r="Q14" s="40"/>
      <c r="R14" s="42">
        <f>R13/O13</f>
        <v>-5.5555555555555552E-2</v>
      </c>
      <c r="S14" s="44">
        <f>IF(Q13=0,0,(S13/Q13))</f>
        <v>-0.26964776376418859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2</v>
      </c>
      <c r="E15" s="25">
        <f>IF(D15=0,0,F15/D15)</f>
        <v>2500</v>
      </c>
      <c r="F15" s="22">
        <v>5000</v>
      </c>
      <c r="G15" s="46"/>
      <c r="H15" s="47"/>
      <c r="I15" s="48"/>
      <c r="J15" s="49">
        <v>1</v>
      </c>
      <c r="K15" s="50">
        <f>IF(J15=0,0,L15/J15)</f>
        <v>1250</v>
      </c>
      <c r="L15" s="50">
        <v>1250</v>
      </c>
      <c r="M15" s="51">
        <f>J15-D15</f>
        <v>-1</v>
      </c>
      <c r="N15" s="48">
        <f>L15-F15</f>
        <v>-3750</v>
      </c>
      <c r="O15" s="49">
        <v>2</v>
      </c>
      <c r="P15" s="50">
        <f>IF(O15=0,0,Q15/O15)</f>
        <v>5000</v>
      </c>
      <c r="Q15" s="50">
        <v>10000</v>
      </c>
      <c r="R15" s="51">
        <f>J15-O15</f>
        <v>-1</v>
      </c>
      <c r="S15" s="52">
        <f>L15-Q15</f>
        <v>-8750</v>
      </c>
      <c r="T15" s="13"/>
      <c r="U15" s="13"/>
      <c r="V15" s="11"/>
      <c r="W15" s="474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0</v>
      </c>
      <c r="N17" s="33">
        <f>L17-F17</f>
        <v>0</v>
      </c>
      <c r="O17" s="51">
        <v>0</v>
      </c>
      <c r="P17" s="30">
        <f>IF(O17=0,0,Q17/O17)</f>
        <v>0</v>
      </c>
      <c r="Q17" s="33">
        <v>0</v>
      </c>
      <c r="R17" s="31">
        <f>J17-O17</f>
        <v>0</v>
      </c>
      <c r="S17" s="34">
        <f>L17-Q17</f>
        <v>0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2988.0084678407848</v>
      </c>
      <c r="G19" s="31"/>
      <c r="H19" s="30"/>
      <c r="I19" s="30"/>
      <c r="J19" s="46"/>
      <c r="K19" s="30"/>
      <c r="L19" s="33">
        <v>5993.8999999999942</v>
      </c>
      <c r="M19" s="31"/>
      <c r="N19" s="33">
        <f>L19-F19</f>
        <v>3005.8915321592094</v>
      </c>
      <c r="O19" s="46"/>
      <c r="P19" s="30"/>
      <c r="Q19" s="33">
        <v>9990</v>
      </c>
      <c r="R19" s="31">
        <f>O19-K19</f>
        <v>0</v>
      </c>
      <c r="S19" s="34">
        <f>L19-Q19</f>
        <v>-3996.1000000000058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1870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-1870</v>
      </c>
      <c r="O21" s="31"/>
      <c r="P21" s="30"/>
      <c r="Q21" s="33">
        <v>0</v>
      </c>
      <c r="R21" s="31">
        <f>O21-K21</f>
        <v>0</v>
      </c>
      <c r="S21" s="34">
        <f>L21-Q21</f>
        <v>0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22440</v>
      </c>
      <c r="G22" s="41"/>
      <c r="H22" s="30"/>
      <c r="I22" s="30"/>
      <c r="J22" s="31"/>
      <c r="K22" s="30">
        <f>IF(J13=0,0,L22/(J13+J15))</f>
        <v>1118.0944444444442</v>
      </c>
      <c r="L22" s="33">
        <v>20125.699999999997</v>
      </c>
      <c r="M22" s="31"/>
      <c r="N22" s="33">
        <f>L22-F22</f>
        <v>-2314.3000000000029</v>
      </c>
      <c r="O22" s="31"/>
      <c r="P22" s="30"/>
      <c r="Q22" s="33">
        <v>19874</v>
      </c>
      <c r="R22" s="31">
        <f>O22-K22</f>
        <v>-1118.0944444444442</v>
      </c>
      <c r="S22" s="34">
        <f>L22-Q22</f>
        <v>251.69999999999709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10890</v>
      </c>
      <c r="G23" s="41"/>
      <c r="H23" s="30"/>
      <c r="I23" s="30"/>
      <c r="J23" s="31"/>
      <c r="K23" s="30">
        <f>IF(J13=0,0,L23/(J13+J15))</f>
        <v>536.7833333333333</v>
      </c>
      <c r="L23" s="33">
        <v>9662.0999999999985</v>
      </c>
      <c r="M23" s="51"/>
      <c r="N23" s="33">
        <f>L23-F23</f>
        <v>-1227.9000000000015</v>
      </c>
      <c r="O23" s="31"/>
      <c r="P23" s="30"/>
      <c r="Q23" s="33">
        <v>10180</v>
      </c>
      <c r="R23" s="31">
        <f>O23-K23</f>
        <v>-536.7833333333333</v>
      </c>
      <c r="S23" s="34">
        <f>L23-Q23</f>
        <v>-517.90000000000146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22</v>
      </c>
      <c r="E24" s="36">
        <f>IF(D24&lt;=0,0,F24/D24)</f>
        <v>1600</v>
      </c>
      <c r="F24" s="37">
        <f>F21+F22+F23</f>
        <v>35200</v>
      </c>
      <c r="G24" s="38"/>
      <c r="H24" s="36"/>
      <c r="I24" s="37"/>
      <c r="J24" s="38">
        <f>+J15+J13</f>
        <v>18</v>
      </c>
      <c r="K24" s="36">
        <f>IF(J24&lt;=0,0,L24/J24)</f>
        <v>1654.8777777777775</v>
      </c>
      <c r="L24" s="37">
        <f>L21+L22+L23</f>
        <v>29787.799999999996</v>
      </c>
      <c r="M24" s="58">
        <f>J24-D24</f>
        <v>-4</v>
      </c>
      <c r="N24" s="37">
        <f>L24-F24</f>
        <v>-5412.2000000000044</v>
      </c>
      <c r="O24" s="38">
        <f>+O15+O13</f>
        <v>20</v>
      </c>
      <c r="P24" s="36">
        <f>IF(O24&lt;=0,0,Q24/O24)</f>
        <v>1502.7</v>
      </c>
      <c r="Q24" s="37">
        <f>Q21+Q22+Q23</f>
        <v>30054</v>
      </c>
      <c r="R24" s="56"/>
      <c r="S24" s="39">
        <f>L24-Q24</f>
        <v>-266.20000000000437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-0.15375568181818194</v>
      </c>
      <c r="O25" s="41"/>
      <c r="P25" s="13"/>
      <c r="Q25" s="59"/>
      <c r="R25" s="60"/>
      <c r="S25" s="44">
        <f>IF(Q24=0,0,(S24/Q24))</f>
        <v>-8.8573900312771802E-3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22</v>
      </c>
      <c r="E27" s="64">
        <f>IF(D27&lt;=0,0,F27/D27)</f>
        <v>6783.0039228568266</v>
      </c>
      <c r="F27" s="65">
        <f>F13+F17+F24+F19+F15</f>
        <v>149226.08630285019</v>
      </c>
      <c r="G27" s="66"/>
      <c r="H27" s="67"/>
      <c r="I27" s="65"/>
      <c r="J27" s="66">
        <f>+J13+J15+J17</f>
        <v>18</v>
      </c>
      <c r="K27" s="67">
        <f>IF(J27&lt;=0,0,L27/J27)</f>
        <v>6134.6050000000023</v>
      </c>
      <c r="L27" s="65">
        <f>L13+L17+L24+L19+L15</f>
        <v>110422.89000000004</v>
      </c>
      <c r="M27" s="66">
        <f>J27-D27</f>
        <v>-4</v>
      </c>
      <c r="N27" s="65">
        <f>L27-F27</f>
        <v>-38803.196302850149</v>
      </c>
      <c r="O27" s="66">
        <f>+O13+O15+O17</f>
        <v>20</v>
      </c>
      <c r="P27" s="67">
        <f>IF(O27&lt;=0,0,Q27/O27)</f>
        <v>7526.5694999999951</v>
      </c>
      <c r="Q27" s="65">
        <f>Q13+Q17+Q24+Q19+Q15</f>
        <v>150531.3899999999</v>
      </c>
      <c r="R27" s="66">
        <f>J27-O27</f>
        <v>-2</v>
      </c>
      <c r="S27" s="68">
        <f>L27-Q27</f>
        <v>-40108.499999999854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-0.18181818181818182</v>
      </c>
      <c r="N28" s="74">
        <f>N27/F27</f>
        <v>-0.26002957836808865</v>
      </c>
      <c r="O28" s="72"/>
      <c r="P28" s="70"/>
      <c r="Q28" s="71"/>
      <c r="R28" s="73">
        <f>R27/O27</f>
        <v>-0.1</v>
      </c>
      <c r="S28" s="75">
        <f>IF(Q27=0,0,S27/Q27)</f>
        <v>-0.26644608808833747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0.28996408847836608</v>
      </c>
      <c r="E31" s="82">
        <f t="shared" ref="E31:E36" si="12">F31/D$24</f>
        <v>1463.502501173562</v>
      </c>
      <c r="F31" s="30">
        <v>32197.055025818365</v>
      </c>
      <c r="G31" s="157"/>
      <c r="H31" s="82"/>
      <c r="I31" s="30"/>
      <c r="J31" s="157">
        <f>L31/(L13+L15)</f>
        <v>0.26405313205751396</v>
      </c>
      <c r="K31" s="82">
        <f t="shared" ref="K31:K36" si="13">IF(L31=0,0,L31/J$24)</f>
        <v>1094.9577777777779</v>
      </c>
      <c r="L31" s="30">
        <v>19709.240000000002</v>
      </c>
      <c r="M31" s="41"/>
      <c r="N31" s="59">
        <f t="shared" ref="N31:N53" si="14">L31-F31</f>
        <v>-12487.815025818363</v>
      </c>
      <c r="O31" s="157">
        <f>Q31/(Q13+Q15+Q17)</f>
        <v>0.27667410733478298</v>
      </c>
      <c r="P31" s="82">
        <f t="shared" ref="P31:P40" si="15">Q31/O$24</f>
        <v>1528.45</v>
      </c>
      <c r="Q31" s="33">
        <v>30569</v>
      </c>
      <c r="R31" s="41"/>
      <c r="S31" s="85">
        <f t="shared" ref="S31:S41" si="16">L31-Q31</f>
        <v>-10859.759999999998</v>
      </c>
      <c r="T31" s="13"/>
      <c r="U31" s="13"/>
      <c r="V31" s="11" t="s">
        <v>256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0.25</v>
      </c>
      <c r="E32" s="88">
        <f t="shared" si="12"/>
        <v>400</v>
      </c>
      <c r="F32" s="22">
        <v>8800</v>
      </c>
      <c r="G32" s="162"/>
      <c r="H32" s="90"/>
      <c r="I32" s="22"/>
      <c r="J32" s="162">
        <f>L32/L24</f>
        <v>0.3523909117155346</v>
      </c>
      <c r="K32" s="88">
        <f t="shared" si="13"/>
        <v>583.16388888888889</v>
      </c>
      <c r="L32" s="22">
        <v>10496.95</v>
      </c>
      <c r="M32" s="23"/>
      <c r="N32" s="91">
        <f t="shared" si="14"/>
        <v>1696.9500000000007</v>
      </c>
      <c r="O32" s="162">
        <f>Q32/Q24</f>
        <v>0.2498336327943036</v>
      </c>
      <c r="P32" s="88">
        <f t="shared" si="15"/>
        <v>375.42500000000001</v>
      </c>
      <c r="Q32" s="22">
        <v>7508.5</v>
      </c>
      <c r="R32" s="23"/>
      <c r="S32" s="92">
        <f t="shared" si="16"/>
        <v>2988.4500000000007</v>
      </c>
      <c r="T32" s="13"/>
      <c r="U32" s="13"/>
      <c r="V32" s="11" t="s">
        <v>257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2"/>
        <v>100</v>
      </c>
      <c r="F33" s="30">
        <v>2200</v>
      </c>
      <c r="G33" s="83"/>
      <c r="H33" s="82"/>
      <c r="I33" s="30"/>
      <c r="J33" s="41"/>
      <c r="K33" s="82">
        <f t="shared" si="13"/>
        <v>105.80833333333334</v>
      </c>
      <c r="L33" s="30">
        <v>1904.55</v>
      </c>
      <c r="M33" s="41"/>
      <c r="N33" s="59">
        <f t="shared" si="14"/>
        <v>-295.45000000000005</v>
      </c>
      <c r="O33" s="41"/>
      <c r="P33" s="82">
        <f t="shared" si="15"/>
        <v>112.023</v>
      </c>
      <c r="Q33" s="33">
        <v>2240.46</v>
      </c>
      <c r="R33" s="41"/>
      <c r="S33" s="85">
        <f t="shared" si="16"/>
        <v>-335.91000000000008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2"/>
        <v>45</v>
      </c>
      <c r="F34" s="30">
        <v>990</v>
      </c>
      <c r="G34" s="83"/>
      <c r="H34" s="82"/>
      <c r="I34" s="30"/>
      <c r="J34" s="41"/>
      <c r="K34" s="82">
        <f t="shared" si="13"/>
        <v>18.017777777777777</v>
      </c>
      <c r="L34" s="30">
        <v>324.32</v>
      </c>
      <c r="M34" s="41"/>
      <c r="N34" s="59">
        <f t="shared" si="14"/>
        <v>-665.68000000000006</v>
      </c>
      <c r="O34" s="41"/>
      <c r="P34" s="82">
        <f t="shared" si="15"/>
        <v>25.25</v>
      </c>
      <c r="Q34" s="33">
        <v>505</v>
      </c>
      <c r="R34" s="41"/>
      <c r="S34" s="85">
        <f t="shared" si="16"/>
        <v>-180.68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2"/>
        <v>46.81818181818182</v>
      </c>
      <c r="F35" s="22">
        <v>1030</v>
      </c>
      <c r="G35" s="89"/>
      <c r="H35" s="90"/>
      <c r="I35" s="22"/>
      <c r="J35" s="23"/>
      <c r="K35" s="88">
        <f t="shared" si="13"/>
        <v>50.046111111111117</v>
      </c>
      <c r="L35" s="22">
        <v>900.83</v>
      </c>
      <c r="M35" s="23"/>
      <c r="N35" s="91">
        <f t="shared" si="14"/>
        <v>-129.16999999999996</v>
      </c>
      <c r="O35" s="23"/>
      <c r="P35" s="88">
        <f t="shared" si="15"/>
        <v>29.45</v>
      </c>
      <c r="Q35" s="33">
        <v>589</v>
      </c>
      <c r="R35" s="23"/>
      <c r="S35" s="92">
        <f t="shared" si="16"/>
        <v>311.83000000000004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2"/>
        <v>496.609375</v>
      </c>
      <c r="F36" s="30">
        <v>10925.40625</v>
      </c>
      <c r="G36" s="83"/>
      <c r="H36" s="82"/>
      <c r="I36" s="30"/>
      <c r="J36" s="41"/>
      <c r="K36" s="82">
        <f t="shared" si="13"/>
        <v>750.24333333333334</v>
      </c>
      <c r="L36" s="475">
        <v>13504.38</v>
      </c>
      <c r="M36" s="13"/>
      <c r="N36" s="59">
        <f t="shared" si="14"/>
        <v>2578.9737499999992</v>
      </c>
      <c r="O36" s="41"/>
      <c r="P36" s="82">
        <f t="shared" si="15"/>
        <v>542.34699999999998</v>
      </c>
      <c r="Q36" s="55">
        <v>10846.94</v>
      </c>
      <c r="R36" s="41"/>
      <c r="S36" s="85">
        <f t="shared" si="16"/>
        <v>2657.4399999999987</v>
      </c>
      <c r="T36" s="13"/>
      <c r="U36" s="13"/>
      <c r="V36" s="11">
        <f>4959+13000-4455</f>
        <v>13504</v>
      </c>
      <c r="W36" s="11"/>
      <c r="X36" s="474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1162.5435392066952</v>
      </c>
      <c r="F37" s="30">
        <v>25575.957862547293</v>
      </c>
      <c r="G37" s="83"/>
      <c r="H37" s="82"/>
      <c r="I37" s="30"/>
      <c r="J37" s="41"/>
      <c r="K37" s="82">
        <f>IF(L37=0,0,L37/J$24)</f>
        <v>1767.2572222222223</v>
      </c>
      <c r="L37" s="476">
        <v>31810.63</v>
      </c>
      <c r="M37" s="13"/>
      <c r="N37" s="59">
        <f t="shared" si="14"/>
        <v>6234.6721374527078</v>
      </c>
      <c r="O37" s="41"/>
      <c r="P37" s="82">
        <f t="shared" si="15"/>
        <v>276.64850000000001</v>
      </c>
      <c r="Q37" s="33">
        <v>5532.97</v>
      </c>
      <c r="R37" s="41"/>
      <c r="S37" s="85">
        <f>L37-Q37</f>
        <v>26277.66</v>
      </c>
      <c r="T37" s="13"/>
      <c r="U37" s="13"/>
      <c r="V37" s="474">
        <v>31811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76">
        <v>0</v>
      </c>
      <c r="M38" s="13"/>
      <c r="N38" s="59">
        <f t="shared" si="14"/>
        <v>0</v>
      </c>
      <c r="O38" s="41"/>
      <c r="P38" s="82">
        <f t="shared" si="15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76">
        <v>0</v>
      </c>
      <c r="M39" s="13"/>
      <c r="N39" s="59">
        <f t="shared" si="14"/>
        <v>0</v>
      </c>
      <c r="O39" s="41"/>
      <c r="P39" s="82">
        <f t="shared" si="15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119" si="17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77">
        <v>0</v>
      </c>
      <c r="M40" s="13"/>
      <c r="N40" s="59">
        <f t="shared" si="14"/>
        <v>0</v>
      </c>
      <c r="O40" s="41"/>
      <c r="P40" s="82">
        <f t="shared" si="15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7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0.54761483841719472</v>
      </c>
      <c r="F41" s="96">
        <f>SUM(F31:F40)</f>
        <v>81718.419138365658</v>
      </c>
      <c r="G41" s="97"/>
      <c r="H41" s="95"/>
      <c r="I41" s="96"/>
      <c r="J41" s="97" t="s">
        <v>38</v>
      </c>
      <c r="K41" s="95">
        <f>L41/L$27</f>
        <v>0.71226989259201567</v>
      </c>
      <c r="L41" s="96">
        <f>SUM(L31:L40)</f>
        <v>78650.899999999994</v>
      </c>
      <c r="M41" s="98"/>
      <c r="N41" s="96">
        <f t="shared" si="14"/>
        <v>-3067.5191383656638</v>
      </c>
      <c r="O41" s="97" t="s">
        <v>38</v>
      </c>
      <c r="P41" s="95">
        <f>Q41/Q$27</f>
        <v>0.38391906166547751</v>
      </c>
      <c r="Q41" s="99">
        <f>SUM(Q31:Q40)</f>
        <v>57791.87</v>
      </c>
      <c r="R41" s="100"/>
      <c r="S41" s="101">
        <f t="shared" ref="S41:S51" si="18">L41-Q41</f>
        <v>20859.029999999992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7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12154.748982188295</v>
      </c>
      <c r="G42" s="41"/>
      <c r="H42" s="13"/>
      <c r="I42" s="30"/>
      <c r="J42" s="41"/>
      <c r="K42" s="13"/>
      <c r="L42" s="33">
        <v>9969.7000000000007</v>
      </c>
      <c r="M42" s="41"/>
      <c r="N42" s="59">
        <f t="shared" si="14"/>
        <v>-2185.0489821882948</v>
      </c>
      <c r="O42" s="41"/>
      <c r="P42" s="13"/>
      <c r="Q42" s="33">
        <v>14604.22</v>
      </c>
      <c r="R42" s="41"/>
      <c r="S42" s="85">
        <f t="shared" si="18"/>
        <v>-4634.5199999999986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7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8147.3763358778633</v>
      </c>
      <c r="G43" s="83"/>
      <c r="H43" s="13"/>
      <c r="I43" s="22"/>
      <c r="J43" s="41"/>
      <c r="K43" s="13"/>
      <c r="L43" s="33">
        <v>8615.69</v>
      </c>
      <c r="M43" s="41"/>
      <c r="N43" s="59">
        <f t="shared" si="14"/>
        <v>468.3136641221372</v>
      </c>
      <c r="O43" s="41"/>
      <c r="P43" s="13"/>
      <c r="Q43" s="33">
        <v>6890.54</v>
      </c>
      <c r="R43" s="41"/>
      <c r="S43" s="85">
        <f t="shared" si="18"/>
        <v>1725.1500000000005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7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4"/>
        <v>0</v>
      </c>
      <c r="O44" s="107"/>
      <c r="P44" s="105"/>
      <c r="Q44" s="108">
        <v>342</v>
      </c>
      <c r="R44" s="107"/>
      <c r="S44" s="110">
        <f t="shared" si="18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7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4"/>
        <v>0</v>
      </c>
      <c r="O45" s="41"/>
      <c r="P45" s="13"/>
      <c r="Q45" s="33">
        <v>0</v>
      </c>
      <c r="R45" s="41"/>
      <c r="S45" s="85">
        <f t="shared" si="18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4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4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4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128" si="19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7010.6435510330384</v>
      </c>
      <c r="G49" s="83"/>
      <c r="H49" s="13"/>
      <c r="I49" s="22"/>
      <c r="J49" s="41"/>
      <c r="K49" s="13"/>
      <c r="L49" s="22">
        <v>10700.38</v>
      </c>
      <c r="M49" s="41"/>
      <c r="N49" s="59">
        <f t="shared" si="14"/>
        <v>3689.7364489669608</v>
      </c>
      <c r="O49" s="41"/>
      <c r="P49" s="13"/>
      <c r="Q49" s="22">
        <v>7615.48</v>
      </c>
      <c r="R49" s="41"/>
      <c r="S49" s="85">
        <f t="shared" ref="S49:S60" si="20">L49-Q49</f>
        <v>3084.8999999999996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9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9178.4255367870064</v>
      </c>
      <c r="G50" s="106"/>
      <c r="H50" s="105"/>
      <c r="I50" s="30"/>
      <c r="J50" s="107"/>
      <c r="K50" s="105"/>
      <c r="L50" s="33">
        <v>8568.67</v>
      </c>
      <c r="M50" s="107"/>
      <c r="N50" s="109">
        <f t="shared" si="14"/>
        <v>-609.75553678700635</v>
      </c>
      <c r="O50" s="107"/>
      <c r="P50" s="105"/>
      <c r="Q50" s="33">
        <v>7630.09</v>
      </c>
      <c r="R50" s="107"/>
      <c r="S50" s="110">
        <f t="shared" si="20"/>
        <v>938.57999999999993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9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4215.27691319107</v>
      </c>
      <c r="G51" s="83"/>
      <c r="H51" s="13"/>
      <c r="I51" s="30"/>
      <c r="J51" s="41"/>
      <c r="K51" s="13"/>
      <c r="L51" s="33">
        <v>4031.8</v>
      </c>
      <c r="M51" s="41"/>
      <c r="N51" s="59">
        <f t="shared" si="14"/>
        <v>-183.4769131910698</v>
      </c>
      <c r="O51" s="41"/>
      <c r="P51" s="13"/>
      <c r="Q51" s="33">
        <v>3798.41</v>
      </c>
      <c r="R51" s="41"/>
      <c r="S51" s="85">
        <f t="shared" si="20"/>
        <v>233.39000000000033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9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951.83672233346738</v>
      </c>
      <c r="G52" s="83"/>
      <c r="H52" s="13"/>
      <c r="I52" s="30"/>
      <c r="J52" s="41"/>
      <c r="K52" s="13"/>
      <c r="L52" s="33">
        <v>1229.54</v>
      </c>
      <c r="M52" s="41"/>
      <c r="N52" s="59">
        <f t="shared" si="14"/>
        <v>277.70327766653259</v>
      </c>
      <c r="O52" s="41"/>
      <c r="P52" s="13"/>
      <c r="Q52" s="33">
        <v>878.72</v>
      </c>
      <c r="R52" s="41"/>
      <c r="S52" s="85">
        <f t="shared" si="20"/>
        <v>350.81999999999994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9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4"/>
        <v>0</v>
      </c>
      <c r="O53" s="23"/>
      <c r="P53" s="111"/>
      <c r="Q53" s="33">
        <v>0</v>
      </c>
      <c r="R53" s="23"/>
      <c r="S53" s="92">
        <f t="shared" si="20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9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0.28145419532193772</v>
      </c>
      <c r="F54" s="96">
        <f>+SUM(F42:F53)</f>
        <v>42000.308041410732</v>
      </c>
      <c r="G54" s="97"/>
      <c r="H54" s="95"/>
      <c r="I54" s="96"/>
      <c r="J54" s="97" t="s">
        <v>38</v>
      </c>
      <c r="K54" s="95">
        <f>L54/L$27</f>
        <v>0.39355771253586991</v>
      </c>
      <c r="L54" s="96">
        <f>+SUM(L42:L53)</f>
        <v>43457.78</v>
      </c>
      <c r="M54" s="100"/>
      <c r="N54" s="96">
        <f>+SUM(N42:N53)</f>
        <v>1457.4719585892597</v>
      </c>
      <c r="O54" s="97" t="s">
        <v>38</v>
      </c>
      <c r="P54" s="95">
        <f>Q54/Q$27</f>
        <v>0.27741363445856732</v>
      </c>
      <c r="Q54" s="96">
        <f>+SUM(Q42:Q53)</f>
        <v>41759.460000000006</v>
      </c>
      <c r="R54" s="100"/>
      <c r="S54" s="101">
        <f>+SUM(S42:S53)</f>
        <v>1698.3200000000018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9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21">L55-F55</f>
        <v>0</v>
      </c>
      <c r="O55" s="41"/>
      <c r="P55" s="13"/>
      <c r="Q55" s="33">
        <v>0</v>
      </c>
      <c r="R55" s="41"/>
      <c r="S55" s="85">
        <f t="shared" ref="S55:S71" si="22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9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21"/>
        <v>0</v>
      </c>
      <c r="O56" s="41"/>
      <c r="P56" s="13"/>
      <c r="Q56" s="33">
        <v>0</v>
      </c>
      <c r="R56" s="41"/>
      <c r="S56" s="85">
        <f t="shared" si="22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9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5080.0833333333339</v>
      </c>
      <c r="G57" s="89"/>
      <c r="H57" s="111"/>
      <c r="I57" s="22"/>
      <c r="J57" s="23"/>
      <c r="K57" s="111"/>
      <c r="L57" s="22">
        <v>7316.83</v>
      </c>
      <c r="M57" s="23"/>
      <c r="N57" s="91">
        <f t="shared" si="21"/>
        <v>2236.746666666666</v>
      </c>
      <c r="O57" s="23"/>
      <c r="P57" s="111"/>
      <c r="Q57" s="22">
        <v>6947.4</v>
      </c>
      <c r="R57" s="23"/>
      <c r="S57" s="92">
        <f t="shared" si="22"/>
        <v>369.43000000000029</v>
      </c>
      <c r="T57" s="112"/>
      <c r="U57" s="13"/>
      <c r="V57" s="11" t="s">
        <v>258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9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4993.05</v>
      </c>
      <c r="G58" s="83"/>
      <c r="H58" s="13"/>
      <c r="I58" s="30"/>
      <c r="J58" s="41"/>
      <c r="K58" s="13"/>
      <c r="L58" s="33">
        <v>4468.3500000000004</v>
      </c>
      <c r="M58" s="41"/>
      <c r="N58" s="59">
        <f t="shared" si="21"/>
        <v>-524.69999999999982</v>
      </c>
      <c r="O58" s="41"/>
      <c r="P58" s="13"/>
      <c r="Q58" s="33">
        <v>4560.8</v>
      </c>
      <c r="R58" s="41"/>
      <c r="S58" s="85">
        <f t="shared" si="22"/>
        <v>-92.449999999999818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9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822.6</v>
      </c>
      <c r="G59" s="83"/>
      <c r="H59" s="13"/>
      <c r="I59" s="30"/>
      <c r="J59" s="41"/>
      <c r="K59" s="13"/>
      <c r="L59" s="33">
        <v>1461.62</v>
      </c>
      <c r="M59" s="41"/>
      <c r="N59" s="59">
        <f t="shared" si="21"/>
        <v>639.01999999999987</v>
      </c>
      <c r="O59" s="41"/>
      <c r="P59" s="13"/>
      <c r="Q59" s="33">
        <v>1724.36</v>
      </c>
      <c r="R59" s="41"/>
      <c r="S59" s="85">
        <f t="shared" si="22"/>
        <v>-262.74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9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2754.4500000000003</v>
      </c>
      <c r="G60" s="89"/>
      <c r="H60" s="111"/>
      <c r="I60" s="22"/>
      <c r="J60" s="23"/>
      <c r="K60" s="111"/>
      <c r="L60" s="22">
        <v>3629.84</v>
      </c>
      <c r="M60" s="23"/>
      <c r="N60" s="91">
        <f t="shared" si="21"/>
        <v>875.38999999999987</v>
      </c>
      <c r="O60" s="23"/>
      <c r="P60" s="111"/>
      <c r="Q60" s="22">
        <v>3162.47</v>
      </c>
      <c r="R60" s="23"/>
      <c r="S60" s="92">
        <f t="shared" si="22"/>
        <v>467.37000000000035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9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68.75</v>
      </c>
      <c r="G61" s="83"/>
      <c r="H61" s="13"/>
      <c r="I61" s="30"/>
      <c r="J61" s="41"/>
      <c r="K61" s="13"/>
      <c r="L61" s="33">
        <v>0</v>
      </c>
      <c r="M61" s="41"/>
      <c r="N61" s="59">
        <f t="shared" si="21"/>
        <v>-68.75</v>
      </c>
      <c r="O61" s="41"/>
      <c r="P61" s="13"/>
      <c r="Q61" s="33">
        <v>36.35</v>
      </c>
      <c r="R61" s="41"/>
      <c r="S61" s="85">
        <f t="shared" si="22"/>
        <v>-36.35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9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15</v>
      </c>
      <c r="G62" s="83"/>
      <c r="H62" s="13"/>
      <c r="I62" s="30"/>
      <c r="J62" s="41"/>
      <c r="K62" s="13"/>
      <c r="L62" s="33">
        <v>78.08</v>
      </c>
      <c r="M62" s="41"/>
      <c r="N62" s="59">
        <f t="shared" si="21"/>
        <v>63.08</v>
      </c>
      <c r="O62" s="41"/>
      <c r="P62" s="13"/>
      <c r="Q62" s="33">
        <v>0</v>
      </c>
      <c r="R62" s="41"/>
      <c r="S62" s="85">
        <f t="shared" si="22"/>
        <v>78.08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9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787.5</v>
      </c>
      <c r="G63" s="83"/>
      <c r="H63" s="13"/>
      <c r="I63" s="30"/>
      <c r="J63" s="41"/>
      <c r="K63" s="13"/>
      <c r="L63" s="32">
        <v>502.79</v>
      </c>
      <c r="M63" s="41"/>
      <c r="N63" s="59">
        <f t="shared" si="21"/>
        <v>-284.70999999999998</v>
      </c>
      <c r="O63" s="41"/>
      <c r="P63" s="13"/>
      <c r="Q63" s="32">
        <v>1019.53</v>
      </c>
      <c r="R63" s="41"/>
      <c r="S63" s="85">
        <f t="shared" si="22"/>
        <v>-516.74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9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364.45</v>
      </c>
      <c r="M64" s="41"/>
      <c r="N64" s="59">
        <f t="shared" si="21"/>
        <v>154.04999999999998</v>
      </c>
      <c r="O64" s="41"/>
      <c r="P64" s="13"/>
      <c r="Q64" s="33">
        <v>401.68</v>
      </c>
      <c r="R64" s="41"/>
      <c r="S64" s="85">
        <f t="shared" si="22"/>
        <v>-37.230000000000018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9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225</v>
      </c>
      <c r="G65" s="83"/>
      <c r="H65" s="13"/>
      <c r="I65" s="30"/>
      <c r="J65" s="41"/>
      <c r="K65" s="13"/>
      <c r="L65" s="33">
        <v>82.69</v>
      </c>
      <c r="M65" s="41"/>
      <c r="N65" s="59">
        <f t="shared" si="21"/>
        <v>-142.31</v>
      </c>
      <c r="O65" s="41"/>
      <c r="P65" s="13"/>
      <c r="Q65" s="33">
        <v>198.76</v>
      </c>
      <c r="R65" s="41"/>
      <c r="S65" s="85">
        <f t="shared" si="22"/>
        <v>-116.07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9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836.1</v>
      </c>
      <c r="G66" s="83"/>
      <c r="H66" s="13"/>
      <c r="I66" s="30"/>
      <c r="J66" s="41"/>
      <c r="K66" s="13"/>
      <c r="L66" s="33">
        <v>650.70000000000005</v>
      </c>
      <c r="M66" s="41"/>
      <c r="N66" s="59">
        <f t="shared" si="21"/>
        <v>-185.39999999999998</v>
      </c>
      <c r="O66" s="41"/>
      <c r="P66" s="13"/>
      <c r="Q66" s="33">
        <v>658.8</v>
      </c>
      <c r="R66" s="41"/>
      <c r="S66" s="85">
        <f t="shared" si="22"/>
        <v>-8.0999999999999091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482.16381333333317</v>
      </c>
      <c r="G67" s="83"/>
      <c r="H67" s="13"/>
      <c r="I67" s="30"/>
      <c r="J67" s="41"/>
      <c r="K67" s="13"/>
      <c r="L67" s="59">
        <v>-312.31</v>
      </c>
      <c r="M67" s="41"/>
      <c r="N67" s="59">
        <f t="shared" si="21"/>
        <v>-794.47381333333317</v>
      </c>
      <c r="O67" s="41"/>
      <c r="P67" s="13"/>
      <c r="Q67" s="33">
        <v>570.88</v>
      </c>
      <c r="R67" s="41"/>
      <c r="S67" s="85">
        <f>L67-Q67</f>
        <v>-883.19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2782.0810187369511</v>
      </c>
      <c r="G68" s="83"/>
      <c r="H68" s="13"/>
      <c r="I68" s="30"/>
      <c r="J68" s="41"/>
      <c r="K68" s="13"/>
      <c r="L68" s="32">
        <v>2461.66</v>
      </c>
      <c r="M68" s="41"/>
      <c r="N68" s="59">
        <f t="shared" si="21"/>
        <v>-320.42101873695128</v>
      </c>
      <c r="O68" s="41"/>
      <c r="P68" s="13"/>
      <c r="Q68" s="33">
        <v>3121.95</v>
      </c>
      <c r="R68" s="41"/>
      <c r="S68" s="85">
        <f>L68-Q68</f>
        <v>-660.29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21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149" si="23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21"/>
        <v>0</v>
      </c>
      <c r="O70" s="41"/>
      <c r="P70" s="13"/>
      <c r="Q70" s="33">
        <v>0</v>
      </c>
      <c r="R70" s="41"/>
      <c r="S70" s="85">
        <f t="shared" ref="S70:S86" si="24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3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21"/>
        <v>0</v>
      </c>
      <c r="O71" s="41"/>
      <c r="P71" s="13"/>
      <c r="Q71" s="33">
        <v>0</v>
      </c>
      <c r="R71" s="41"/>
      <c r="S71" s="85">
        <f t="shared" si="24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3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0.12770674777818408</v>
      </c>
      <c r="F72" s="96">
        <f>+SUM(F55:F71)</f>
        <v>19057.17816540362</v>
      </c>
      <c r="G72" s="97"/>
      <c r="H72" s="95"/>
      <c r="I72" s="96"/>
      <c r="J72" s="97" t="s">
        <v>38</v>
      </c>
      <c r="K72" s="95">
        <f>L72/L$27</f>
        <v>0.18750369601809908</v>
      </c>
      <c r="L72" s="96">
        <f>+SUM(L55:L71)</f>
        <v>20704.7</v>
      </c>
      <c r="M72" s="100"/>
      <c r="N72" s="96">
        <f>+SUM(N55:N71)</f>
        <v>1647.5218345963817</v>
      </c>
      <c r="O72" s="97" t="s">
        <v>38</v>
      </c>
      <c r="P72" s="95">
        <f>Q72/Q$27</f>
        <v>0.14882596912178925</v>
      </c>
      <c r="Q72" s="96">
        <f>+SUM(Q55:Q71)</f>
        <v>22402.98</v>
      </c>
      <c r="R72" s="100"/>
      <c r="S72" s="101">
        <f>+SUM(S55:S71)</f>
        <v>-1698.2799999999991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3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3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0.95677578151731657</v>
      </c>
      <c r="F74" s="96">
        <f>F41+F54+F72</f>
        <v>142775.90534518001</v>
      </c>
      <c r="G74" s="97"/>
      <c r="H74" s="95"/>
      <c r="I74" s="96"/>
      <c r="J74" s="97" t="s">
        <v>38</v>
      </c>
      <c r="K74" s="95">
        <f>L74/L$27</f>
        <v>1.2933313011459848</v>
      </c>
      <c r="L74" s="96">
        <f>L41+L54+L72</f>
        <v>142813.38</v>
      </c>
      <c r="M74" s="100"/>
      <c r="N74" s="113">
        <f t="shared" ref="N74:N82" si="25">L74-F74</f>
        <v>37.474654819990974</v>
      </c>
      <c r="O74" s="97" t="s">
        <v>38</v>
      </c>
      <c r="P74" s="95">
        <f>Q74/Q$27</f>
        <v>0.81015866524583413</v>
      </c>
      <c r="Q74" s="96">
        <f>Q41+Q54+Q72</f>
        <v>121954.31000000001</v>
      </c>
      <c r="R74" s="100"/>
      <c r="S74" s="114">
        <f>L74-Q74</f>
        <v>20859.069999999992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3"/>
        <v>Véhicules neufsRBSC neuf</v>
      </c>
      <c r="B75" s="11" t="str">
        <f t="shared" si="0"/>
        <v>Véhicules neufs</v>
      </c>
      <c r="C75" s="29" t="s">
        <v>218</v>
      </c>
      <c r="D75" s="81"/>
      <c r="E75" s="13"/>
      <c r="F75" s="30">
        <v>32032.971384615397</v>
      </c>
      <c r="G75" s="83"/>
      <c r="H75" s="13"/>
      <c r="I75" s="30"/>
      <c r="J75" s="41"/>
      <c r="K75" s="13"/>
      <c r="L75" s="32">
        <v>27489.53</v>
      </c>
      <c r="M75" s="41"/>
      <c r="N75" s="59">
        <f t="shared" si="25"/>
        <v>-4543.4413846153984</v>
      </c>
      <c r="O75" s="41"/>
      <c r="P75" s="13"/>
      <c r="Q75" s="32">
        <v>28947.02</v>
      </c>
      <c r="R75" s="41"/>
      <c r="S75" s="85">
        <f>L75-Q75</f>
        <v>-1457.4900000000016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>
      <c r="A76" t="str">
        <f t="shared" si="23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5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>
      <c r="A77" t="str">
        <f t="shared" si="23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5"/>
        <v>0</v>
      </c>
      <c r="O77" s="41"/>
      <c r="P77" s="13"/>
      <c r="Q77" s="32">
        <v>0</v>
      </c>
      <c r="R77" s="41"/>
      <c r="S77" s="85">
        <f t="shared" ref="S77:S82" si="26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3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36609.110153846166</v>
      </c>
      <c r="G78" s="83"/>
      <c r="H78" s="13"/>
      <c r="I78" s="30"/>
      <c r="J78" s="41"/>
      <c r="K78" s="13"/>
      <c r="L78" s="33">
        <v>37435.699999999997</v>
      </c>
      <c r="M78" s="41"/>
      <c r="N78" s="59">
        <f t="shared" si="25"/>
        <v>826.58984615383088</v>
      </c>
      <c r="O78" s="41"/>
      <c r="P78" s="13"/>
      <c r="Q78" s="32">
        <v>32547.599999999999</v>
      </c>
      <c r="R78" s="41"/>
      <c r="S78" s="85">
        <f t="shared" si="26"/>
        <v>4888.0999999999985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5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5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5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161" si="27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12959.1</v>
      </c>
      <c r="G82" s="83"/>
      <c r="H82" s="13"/>
      <c r="I82" s="30"/>
      <c r="J82" s="41"/>
      <c r="K82" s="13"/>
      <c r="L82" s="32">
        <v>10710</v>
      </c>
      <c r="M82" s="41"/>
      <c r="N82" s="59">
        <f t="shared" si="25"/>
        <v>-2249.1000000000004</v>
      </c>
      <c r="O82" s="41"/>
      <c r="P82" s="13"/>
      <c r="Q82" s="32">
        <v>11900</v>
      </c>
      <c r="R82" s="41"/>
      <c r="S82" s="85">
        <f t="shared" ref="S82:S87" si="28">L82-Q82</f>
        <v>-1190</v>
      </c>
      <c r="T82" s="13"/>
      <c r="U82" s="13"/>
      <c r="V82" s="11">
        <f>L82/595</f>
        <v>18</v>
      </c>
      <c r="W82" s="505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7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81601.181538461562</v>
      </c>
      <c r="G83" s="97"/>
      <c r="H83" s="95"/>
      <c r="I83" s="96"/>
      <c r="J83" s="97"/>
      <c r="K83" s="95"/>
      <c r="L83" s="96">
        <f>+SUM(L75:L82)</f>
        <v>75635.23</v>
      </c>
      <c r="M83" s="100"/>
      <c r="N83" s="96">
        <f>+SUM(N75:N82)</f>
        <v>-5965.9515384615679</v>
      </c>
      <c r="O83" s="97"/>
      <c r="P83" s="95"/>
      <c r="Q83" s="96">
        <f>+SUM(Q75:Q82)</f>
        <v>73394.62</v>
      </c>
      <c r="R83" s="100"/>
      <c r="S83" s="101">
        <f>+SUM(S75:S82)</f>
        <v>2240.6099999999969</v>
      </c>
      <c r="T83" s="13"/>
      <c r="U83" s="13"/>
      <c r="V83" s="11">
        <v>24</v>
      </c>
      <c r="W83" s="11" t="s">
        <v>259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7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7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88051.36249613174</v>
      </c>
      <c r="G85" s="128"/>
      <c r="H85" s="126"/>
      <c r="I85" s="127"/>
      <c r="J85" s="128"/>
      <c r="K85" s="125"/>
      <c r="L85" s="127">
        <f>L27-L74+L83</f>
        <v>43244.740000000034</v>
      </c>
      <c r="M85" s="128"/>
      <c r="N85" s="127">
        <f>N27-N41-N54-N72+N83</f>
        <v>-44806.622496131691</v>
      </c>
      <c r="O85" s="128"/>
      <c r="P85" s="125"/>
      <c r="Q85" s="127">
        <f>Q27-Q74+Q83</f>
        <v>101971.69999999988</v>
      </c>
      <c r="R85" s="128"/>
      <c r="S85" s="129">
        <f>S27-S41-S54-S72+S83</f>
        <v>-58726.959999999846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Juin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63" t="s">
        <v>5</v>
      </c>
      <c r="E91" s="464"/>
      <c r="F91" s="465"/>
      <c r="G91" s="466"/>
      <c r="H91" s="464"/>
      <c r="I91" s="465"/>
      <c r="J91" s="466" t="s">
        <v>7</v>
      </c>
      <c r="K91" s="464"/>
      <c r="L91" s="465"/>
      <c r="M91" s="466" t="s">
        <v>213</v>
      </c>
      <c r="N91" s="465"/>
      <c r="O91" s="463" t="s">
        <v>8</v>
      </c>
      <c r="P91" s="464"/>
      <c r="Q91" s="465"/>
      <c r="R91" s="470" t="s">
        <v>214</v>
      </c>
      <c r="S91" s="471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219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9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1628741.3793103448</v>
      </c>
      <c r="G93" s="46"/>
      <c r="H93" s="25"/>
      <c r="I93" s="22"/>
      <c r="J93" s="23"/>
      <c r="K93" s="25"/>
      <c r="L93" s="22">
        <v>1477403.5899999996</v>
      </c>
      <c r="M93" s="137"/>
      <c r="N93" s="138"/>
      <c r="O93" s="23"/>
      <c r="P93" s="25"/>
      <c r="Q93" s="22">
        <v>1633050.91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9"/>
        <v>Véhicules usagésCertifié</v>
      </c>
      <c r="B94" s="11" t="s">
        <v>70</v>
      </c>
      <c r="C94" s="29" t="s">
        <v>72</v>
      </c>
      <c r="D94" s="30">
        <v>7</v>
      </c>
      <c r="E94" s="30">
        <f>IF(D94=0,0,F94/D94)</f>
        <v>3000</v>
      </c>
      <c r="F94" s="30">
        <v>21000</v>
      </c>
      <c r="G94" s="31"/>
      <c r="H94" s="30"/>
      <c r="I94" s="30"/>
      <c r="J94" s="31">
        <v>9</v>
      </c>
      <c r="K94" s="30">
        <f>IF(J94=0,0,L94/J94)</f>
        <v>2507.0399999999954</v>
      </c>
      <c r="L94" s="33">
        <v>22563.359999999957</v>
      </c>
      <c r="M94" s="31">
        <f>J94-D94</f>
        <v>2</v>
      </c>
      <c r="N94" s="33">
        <f>L94-F94</f>
        <v>1563.3599999999569</v>
      </c>
      <c r="O94" s="31">
        <v>6</v>
      </c>
      <c r="P94" s="30">
        <f t="shared" ref="P94:P96" si="30">IF(O94=0,0,Q94/O94)</f>
        <v>3063.1899999999837</v>
      </c>
      <c r="Q94" s="33">
        <v>18379.139999999901</v>
      </c>
      <c r="R94" s="31">
        <f>J94-O94</f>
        <v>3</v>
      </c>
      <c r="S94" s="34">
        <f>L94-Q94</f>
        <v>4184.2200000000557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9"/>
        <v>Véhicules usagésNon Certifié</v>
      </c>
      <c r="B95" s="11" t="s">
        <v>70</v>
      </c>
      <c r="C95" s="29" t="s">
        <v>73</v>
      </c>
      <c r="D95" s="30">
        <v>5</v>
      </c>
      <c r="E95" s="30">
        <f t="shared" ref="E95:E105" si="31">IF(D95=0,0,F95/D95)</f>
        <v>2200</v>
      </c>
      <c r="F95" s="30">
        <v>11000</v>
      </c>
      <c r="G95" s="31"/>
      <c r="H95" s="30"/>
      <c r="I95" s="30"/>
      <c r="J95" s="31">
        <v>5</v>
      </c>
      <c r="K95" s="30">
        <f>IF(J95=0,0,L95/J95)</f>
        <v>1368.9299999999967</v>
      </c>
      <c r="L95" s="32">
        <v>6844.6499999999833</v>
      </c>
      <c r="M95" s="31">
        <f>J95-D95</f>
        <v>0</v>
      </c>
      <c r="N95" s="33">
        <f>L95-F95</f>
        <v>-4155.3500000000167</v>
      </c>
      <c r="O95" s="31">
        <v>16</v>
      </c>
      <c r="P95" s="30">
        <f t="shared" si="30"/>
        <v>2929.0137499999937</v>
      </c>
      <c r="Q95" s="32">
        <v>46864.219999999899</v>
      </c>
      <c r="R95" s="31">
        <f>J95-O95</f>
        <v>-11</v>
      </c>
      <c r="S95" s="34">
        <f>L95-Q95</f>
        <v>-40019.56999999992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9"/>
        <v>Véhicules usagésAutres marques</v>
      </c>
      <c r="B96" s="11" t="s">
        <v>70</v>
      </c>
      <c r="C96" s="29" t="s">
        <v>207</v>
      </c>
      <c r="D96" s="30">
        <v>9</v>
      </c>
      <c r="E96" s="25">
        <f t="shared" si="31"/>
        <v>1850</v>
      </c>
      <c r="F96" s="30">
        <v>16650</v>
      </c>
      <c r="G96" s="31"/>
      <c r="H96" s="30"/>
      <c r="I96" s="30"/>
      <c r="J96" s="31">
        <v>5</v>
      </c>
      <c r="K96" s="30">
        <f>IF(J96=0,0,L96/J96)</f>
        <v>1005.798000000001</v>
      </c>
      <c r="L96" s="32">
        <v>5028.9900000000052</v>
      </c>
      <c r="M96" s="31">
        <f>J96-D96</f>
        <v>-4</v>
      </c>
      <c r="N96" s="33">
        <f>L96-F96</f>
        <v>-11621.009999999995</v>
      </c>
      <c r="O96" s="31">
        <v>0</v>
      </c>
      <c r="P96" s="30">
        <f t="shared" si="30"/>
        <v>0</v>
      </c>
      <c r="Q96" s="32">
        <v>0</v>
      </c>
      <c r="R96" s="31">
        <f>J96-O96</f>
        <v>5</v>
      </c>
      <c r="S96" s="34">
        <f>L96-Q96</f>
        <v>5028.9900000000052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9"/>
        <v>Véhicules usagésTotal Usagés</v>
      </c>
      <c r="B97" s="11" t="s">
        <v>70</v>
      </c>
      <c r="C97" s="35" t="s">
        <v>74</v>
      </c>
      <c r="D97" s="36">
        <f>+D95+D94+D96</f>
        <v>21</v>
      </c>
      <c r="E97" s="30">
        <f t="shared" si="31"/>
        <v>2316.6666666666665</v>
      </c>
      <c r="F97" s="37">
        <f>+F94+F95+F96</f>
        <v>48650</v>
      </c>
      <c r="G97" s="38"/>
      <c r="H97" s="36"/>
      <c r="I97" s="37"/>
      <c r="J97" s="38">
        <f>+J94+J95+J96</f>
        <v>19</v>
      </c>
      <c r="K97" s="36">
        <f>IF(J97&lt;=0,0,L97/J97)</f>
        <v>1812.4736842105233</v>
      </c>
      <c r="L97" s="37">
        <f>+L94+L95+L96</f>
        <v>34436.999999999942</v>
      </c>
      <c r="M97" s="38">
        <f>J97-D97</f>
        <v>-2</v>
      </c>
      <c r="N97" s="37">
        <f>L97-F97</f>
        <v>-14213.000000000058</v>
      </c>
      <c r="O97" s="38">
        <f>+O95+O94+O96</f>
        <v>22</v>
      </c>
      <c r="P97" s="36">
        <f>IF(O97=0,0,Q97/O97)</f>
        <v>2965.6072727272635</v>
      </c>
      <c r="Q97" s="37">
        <f>+Q94+Q95+Q96</f>
        <v>65243.359999999797</v>
      </c>
      <c r="R97" s="38">
        <f>R94+R95</f>
        <v>-8</v>
      </c>
      <c r="S97" s="39">
        <f>S94+S95</f>
        <v>-35835.34999999986</v>
      </c>
      <c r="T97" s="13"/>
      <c r="U97" s="13"/>
      <c r="V97" s="13"/>
      <c r="W97" s="478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9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-9.5238095238095233E-2</v>
      </c>
      <c r="N98" s="43">
        <f>N97/F97</f>
        <v>-0.29214799588900425</v>
      </c>
      <c r="O98" s="41"/>
      <c r="P98" s="13"/>
      <c r="Q98" s="40"/>
      <c r="R98" s="42">
        <f>R97/O97</f>
        <v>-0.36363636363636365</v>
      </c>
      <c r="S98" s="44">
        <f>IF(Q97=0,0,(S97/Q97))</f>
        <v>-0.54925665998808115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9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9"/>
        <v>Véhicules usagésVentes au Gros</v>
      </c>
      <c r="B100" s="11" t="s">
        <v>70</v>
      </c>
      <c r="C100" s="29" t="s">
        <v>75</v>
      </c>
      <c r="D100" s="30">
        <v>22</v>
      </c>
      <c r="E100" s="30">
        <f t="shared" si="31"/>
        <v>375</v>
      </c>
      <c r="F100" s="30">
        <v>8250</v>
      </c>
      <c r="G100" s="31"/>
      <c r="H100" s="30"/>
      <c r="I100" s="30"/>
      <c r="J100" s="31">
        <v>27</v>
      </c>
      <c r="K100" s="30">
        <f>IF(J100=0,0,L100/J100)</f>
        <v>42.867407407406802</v>
      </c>
      <c r="L100" s="33">
        <v>1157.4199999999837</v>
      </c>
      <c r="M100" s="31">
        <f>J100-D100</f>
        <v>5</v>
      </c>
      <c r="N100" s="33">
        <f>L100-F100</f>
        <v>-7092.5800000000163</v>
      </c>
      <c r="O100" s="31">
        <v>23</v>
      </c>
      <c r="P100" s="30">
        <f>IF(O100=0,0,Q100/O100)</f>
        <v>1285.4086956521739</v>
      </c>
      <c r="Q100" s="33">
        <v>29564.400000000001</v>
      </c>
      <c r="R100" s="31">
        <f>J100-O100</f>
        <v>4</v>
      </c>
      <c r="S100" s="34">
        <f>L100-Q100</f>
        <v>-28406.980000000018</v>
      </c>
      <c r="T100" s="13"/>
      <c r="U100" s="13"/>
      <c r="V100" s="13"/>
      <c r="W100" s="478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9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9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12" si="32">IF(D102=0,0,F102/D102)</f>
        <v>0</v>
      </c>
      <c r="F102" s="33">
        <v>12600</v>
      </c>
      <c r="G102" s="31"/>
      <c r="H102" s="30"/>
      <c r="I102" s="30"/>
      <c r="J102" s="31"/>
      <c r="K102" s="30">
        <f>IF(J97=0,0,L102/J97)</f>
        <v>392.41894736842113</v>
      </c>
      <c r="L102" s="33">
        <v>7455.9600000000009</v>
      </c>
      <c r="M102" s="31"/>
      <c r="N102" s="33">
        <f>L102-F102</f>
        <v>-5144.0399999999991</v>
      </c>
      <c r="O102" s="31"/>
      <c r="P102" s="30"/>
      <c r="Q102" s="33">
        <v>8454.42</v>
      </c>
      <c r="R102" s="31">
        <f>O102-K102</f>
        <v>-392.41894736842113</v>
      </c>
      <c r="S102" s="34">
        <f>L102-Q102</f>
        <v>-998.45999999999913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9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2"/>
        <v>0</v>
      </c>
      <c r="F103" s="33">
        <v>18480</v>
      </c>
      <c r="G103" s="31"/>
      <c r="H103" s="30"/>
      <c r="I103" s="30"/>
      <c r="J103" s="31"/>
      <c r="K103" s="30">
        <f>IF(J97=0,0,L103/J97)</f>
        <v>558.47368421052636</v>
      </c>
      <c r="L103" s="33">
        <v>10611</v>
      </c>
      <c r="M103" s="31"/>
      <c r="N103" s="33">
        <f>L103-F103</f>
        <v>-7869</v>
      </c>
      <c r="O103" s="31"/>
      <c r="P103" s="30"/>
      <c r="Q103" s="33">
        <v>14637.5</v>
      </c>
      <c r="R103" s="31">
        <f>O103-K103</f>
        <v>-558.47368421052636</v>
      </c>
      <c r="S103" s="34">
        <f>L103-Q103</f>
        <v>-4026.5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9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2"/>
        <v>0</v>
      </c>
      <c r="F104" s="33">
        <v>3570</v>
      </c>
      <c r="G104" s="31"/>
      <c r="H104" s="47"/>
      <c r="I104" s="30"/>
      <c r="J104" s="31"/>
      <c r="K104" s="47">
        <f>IF(J97=0,0,L104/J97)</f>
        <v>69.84210526315789</v>
      </c>
      <c r="L104" s="33">
        <v>1327</v>
      </c>
      <c r="M104" s="51"/>
      <c r="N104" s="33">
        <f>L104-F104</f>
        <v>-2243</v>
      </c>
      <c r="O104" s="31"/>
      <c r="P104" s="47"/>
      <c r="Q104" s="33">
        <v>3530.27</v>
      </c>
      <c r="R104" s="31">
        <f>O104-K104</f>
        <v>-69.84210526315789</v>
      </c>
      <c r="S104" s="34">
        <f>L104-Q104</f>
        <v>-2203.27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9"/>
        <v>Véhicules usagésTotal F&amp;I</v>
      </c>
      <c r="B105" s="11" t="s">
        <v>70</v>
      </c>
      <c r="C105" s="35" t="s">
        <v>27</v>
      </c>
      <c r="D105" s="36">
        <f>D97</f>
        <v>21</v>
      </c>
      <c r="E105" s="30">
        <f t="shared" si="32"/>
        <v>1650</v>
      </c>
      <c r="F105" s="37">
        <f>F102+F103+F104</f>
        <v>34650</v>
      </c>
      <c r="G105" s="38"/>
      <c r="H105" s="36"/>
      <c r="I105" s="37"/>
      <c r="J105" s="38">
        <f>J97</f>
        <v>19</v>
      </c>
      <c r="K105" s="36">
        <f>IF(J105&lt;=0,0,L105/J105)</f>
        <v>1020.7347368421052</v>
      </c>
      <c r="L105" s="37">
        <f>L102+L103+L104</f>
        <v>19393.96</v>
      </c>
      <c r="M105" s="31">
        <f>J105-D105</f>
        <v>-2</v>
      </c>
      <c r="N105" s="37">
        <f>L105-F105</f>
        <v>-15256.04</v>
      </c>
      <c r="O105" s="38">
        <f>O97</f>
        <v>22</v>
      </c>
      <c r="P105" s="36">
        <f t="shared" ref="P105" si="33">IF(O105=0,0,Q105/O105)</f>
        <v>1210.0995454545455</v>
      </c>
      <c r="Q105" s="37">
        <f>Q102+Q103+Q104</f>
        <v>26622.19</v>
      </c>
      <c r="R105" s="56"/>
      <c r="S105" s="39">
        <f>L105-Q105</f>
        <v>-7228.23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9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-0.44028975468975473</v>
      </c>
      <c r="O106" s="41"/>
      <c r="P106" s="13"/>
      <c r="Q106" s="59"/>
      <c r="R106" s="60"/>
      <c r="S106" s="44">
        <f>IF(Q105=0,0,(S105/Q105))</f>
        <v>-0.27151147219669003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9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9"/>
        <v>Véhicules usagésTotal Dépt. Usagés</v>
      </c>
      <c r="B108" s="11" t="s">
        <v>70</v>
      </c>
      <c r="C108" s="62" t="s">
        <v>76</v>
      </c>
      <c r="D108" s="63">
        <f>D97+D100</f>
        <v>43</v>
      </c>
      <c r="E108" s="67">
        <f>IF(D108&lt;=0,0,F108/D108)</f>
        <v>2129.0697674418607</v>
      </c>
      <c r="F108" s="65">
        <f>F97+F105+F100</f>
        <v>91550</v>
      </c>
      <c r="G108" s="66"/>
      <c r="H108" s="67"/>
      <c r="I108" s="65"/>
      <c r="J108" s="66">
        <f>J97+J100</f>
        <v>46</v>
      </c>
      <c r="K108" s="67">
        <f>IF(J108&lt;=0,0,L108/J108)</f>
        <v>1195.3995652173896</v>
      </c>
      <c r="L108" s="65">
        <f>L97+L105+L100</f>
        <v>54988.379999999925</v>
      </c>
      <c r="M108" s="66">
        <f>J108-D108</f>
        <v>3</v>
      </c>
      <c r="N108" s="65">
        <f>L108-F108</f>
        <v>-36561.620000000075</v>
      </c>
      <c r="O108" s="66">
        <f>O97+O100</f>
        <v>45</v>
      </c>
      <c r="P108" s="67">
        <f>IF(O108&lt;=0,0,Q108/O108)</f>
        <v>2698.4433333333291</v>
      </c>
      <c r="Q108" s="65">
        <f>Q97+Q105+Q100</f>
        <v>121429.94999999981</v>
      </c>
      <c r="R108" s="66">
        <f>J108-O108</f>
        <v>1</v>
      </c>
      <c r="S108" s="68">
        <f>L108-Q108</f>
        <v>-66441.569999999891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9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6.9767441860465115E-2</v>
      </c>
      <c r="N109" s="74">
        <f>N108/F108</f>
        <v>-0.39936231567449565</v>
      </c>
      <c r="O109" s="72"/>
      <c r="P109" s="70"/>
      <c r="Q109" s="71"/>
      <c r="R109" s="73">
        <f>O108/R108</f>
        <v>45</v>
      </c>
      <c r="S109" s="145">
        <f>IF(Q108=0,0,(S108/Q108))</f>
        <v>-0.54715965871681571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9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9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9"/>
        <v>Véhicules usagésComm. vendeurs</v>
      </c>
      <c r="B112" s="11" t="s">
        <v>70</v>
      </c>
      <c r="C112" s="29" t="s">
        <v>30</v>
      </c>
      <c r="D112" s="148">
        <f>F112/(F97+F105)</f>
        <v>0.1918885111296427</v>
      </c>
      <c r="E112" s="82">
        <f t="shared" ref="E112:E121" si="34">F112/D$97</f>
        <v>761.1577608142494</v>
      </c>
      <c r="F112" s="30">
        <v>15984.312977099236</v>
      </c>
      <c r="G112" s="157"/>
      <c r="H112" s="82"/>
      <c r="I112" s="30"/>
      <c r="J112" s="157">
        <f>L112/L97</f>
        <v>0.3276176786595818</v>
      </c>
      <c r="K112" s="82">
        <f>IF($J$97=0,0,L112/(J$94+J$95+J96))</f>
        <v>593.79842105263162</v>
      </c>
      <c r="L112" s="33">
        <v>11282.17</v>
      </c>
      <c r="M112" s="41"/>
      <c r="N112" s="59">
        <f t="shared" ref="N112:N153" si="35">L112-F112</f>
        <v>-4702.1429770992363</v>
      </c>
      <c r="O112" s="157">
        <f>Q112/Q97</f>
        <v>0.31115135701165703</v>
      </c>
      <c r="P112" s="82">
        <f t="shared" ref="P112:P121" si="36">Q112/O$97</f>
        <v>922.75272727272738</v>
      </c>
      <c r="Q112" s="33">
        <v>20300.560000000001</v>
      </c>
      <c r="R112" s="41"/>
      <c r="S112" s="85">
        <f t="shared" ref="S112:S122" si="37">L112-Q112</f>
        <v>-9018.3900000000012</v>
      </c>
      <c r="T112" s="13"/>
      <c r="U112" s="13"/>
      <c r="V112" s="11" t="s">
        <v>260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9"/>
        <v>Véhicules usagésComm. F&amp;I</v>
      </c>
      <c r="B113" s="11" t="s">
        <v>70</v>
      </c>
      <c r="C113" s="86" t="s">
        <v>31</v>
      </c>
      <c r="D113" s="218">
        <f>F113/(F105+F19)</f>
        <v>0.23015298504440102</v>
      </c>
      <c r="E113" s="88">
        <f t="shared" si="34"/>
        <v>412.5</v>
      </c>
      <c r="F113" s="22">
        <v>8662.5</v>
      </c>
      <c r="G113" s="162"/>
      <c r="H113" s="88"/>
      <c r="I113" s="22"/>
      <c r="J113" s="162">
        <f>L113/L105</f>
        <v>0.30493978537647803</v>
      </c>
      <c r="K113" s="88">
        <f>IF($J$97=0,0,L113/(J$94+J$95+J96))</f>
        <v>311.26263157894738</v>
      </c>
      <c r="L113" s="33">
        <v>5913.99</v>
      </c>
      <c r="M113" s="23"/>
      <c r="N113" s="91">
        <f t="shared" si="35"/>
        <v>-2748.51</v>
      </c>
      <c r="O113" s="162">
        <f>Q113/(Q105+Q19)</f>
        <v>0.17991412149887784</v>
      </c>
      <c r="P113" s="88">
        <f t="shared" si="36"/>
        <v>299.41136363636366</v>
      </c>
      <c r="Q113" s="33">
        <v>6587.05</v>
      </c>
      <c r="R113" s="23"/>
      <c r="S113" s="92">
        <f t="shared" si="37"/>
        <v>-673.0600000000004</v>
      </c>
      <c r="T113" s="13"/>
      <c r="U113" s="13"/>
      <c r="V113" s="11" t="s">
        <v>261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9"/>
        <v>Véhicules usagésFrais de livraison</v>
      </c>
      <c r="B114" s="11" t="s">
        <v>70</v>
      </c>
      <c r="C114" s="29" t="s">
        <v>32</v>
      </c>
      <c r="D114" s="81"/>
      <c r="E114" s="82">
        <f t="shared" si="34"/>
        <v>110</v>
      </c>
      <c r="F114" s="30">
        <v>2310</v>
      </c>
      <c r="G114" s="83"/>
      <c r="H114" s="82"/>
      <c r="I114" s="30"/>
      <c r="J114" s="41"/>
      <c r="K114" s="82">
        <f>IF($J$97=0,0,L114/(J$94+J$95+J96))</f>
        <v>124.51684210526317</v>
      </c>
      <c r="L114" s="108">
        <v>2365.8200000000002</v>
      </c>
      <c r="M114" s="41"/>
      <c r="N114" s="59">
        <f t="shared" si="35"/>
        <v>55.820000000000164</v>
      </c>
      <c r="O114" s="41"/>
      <c r="P114" s="82">
        <f t="shared" si="36"/>
        <v>104.4909090909091</v>
      </c>
      <c r="Q114" s="108">
        <v>2298.8000000000002</v>
      </c>
      <c r="R114" s="41"/>
      <c r="S114" s="85">
        <f t="shared" si="37"/>
        <v>67.019999999999982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9"/>
        <v>Véhicules usagésService gratuit 1</v>
      </c>
      <c r="B115" s="11" t="s">
        <v>70</v>
      </c>
      <c r="C115" s="29" t="s">
        <v>33</v>
      </c>
      <c r="D115" s="81"/>
      <c r="E115" s="82">
        <f t="shared" si="34"/>
        <v>90</v>
      </c>
      <c r="F115" s="30">
        <v>1890</v>
      </c>
      <c r="G115" s="83"/>
      <c r="H115" s="82"/>
      <c r="I115" s="30"/>
      <c r="J115" s="41"/>
      <c r="K115" s="82">
        <f>IF($J$97=0,0,L115/(J$94+J$95+J96))</f>
        <v>126.25947368421052</v>
      </c>
      <c r="L115" s="33">
        <v>2398.9299999999998</v>
      </c>
      <c r="M115" s="41"/>
      <c r="N115" s="59">
        <f t="shared" si="35"/>
        <v>508.92999999999984</v>
      </c>
      <c r="O115" s="41"/>
      <c r="P115" s="82">
        <f t="shared" si="36"/>
        <v>2.7022727272727276</v>
      </c>
      <c r="Q115" s="33">
        <v>59.45</v>
      </c>
      <c r="R115" s="41"/>
      <c r="S115" s="85">
        <f t="shared" si="37"/>
        <v>2339.48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9"/>
        <v>Véhicules usagésEntretien stock</v>
      </c>
      <c r="B116" s="11" t="s">
        <v>70</v>
      </c>
      <c r="C116" s="86" t="s">
        <v>34</v>
      </c>
      <c r="D116" s="87"/>
      <c r="E116" s="88">
        <f t="shared" si="34"/>
        <v>101.19047619047619</v>
      </c>
      <c r="F116" s="22">
        <v>2125</v>
      </c>
      <c r="G116" s="89"/>
      <c r="H116" s="88"/>
      <c r="I116" s="22"/>
      <c r="J116" s="23"/>
      <c r="K116" s="88">
        <f>IF($J$97=0,0,L116/(J$94+J$95+J96))</f>
        <v>84.85368421052631</v>
      </c>
      <c r="L116" s="48">
        <v>1612.22</v>
      </c>
      <c r="M116" s="23"/>
      <c r="N116" s="91">
        <f t="shared" si="35"/>
        <v>-512.78</v>
      </c>
      <c r="O116" s="23"/>
      <c r="P116" s="88">
        <f t="shared" si="36"/>
        <v>76.803636363636372</v>
      </c>
      <c r="Q116" s="48">
        <v>1689.68</v>
      </c>
      <c r="R116" s="23"/>
      <c r="S116" s="92">
        <f t="shared" si="37"/>
        <v>-77.460000000000036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9"/>
        <v>Véhicules usagésPublicité 1</v>
      </c>
      <c r="B117" s="11" t="s">
        <v>70</v>
      </c>
      <c r="C117" s="29" t="s">
        <v>35</v>
      </c>
      <c r="D117" s="81"/>
      <c r="E117" s="82">
        <f t="shared" si="34"/>
        <v>301.71825396825398</v>
      </c>
      <c r="F117" s="30">
        <v>6336.0833333333339</v>
      </c>
      <c r="G117" s="83"/>
      <c r="H117" s="82"/>
      <c r="I117" s="30"/>
      <c r="J117" s="41"/>
      <c r="K117" s="82">
        <f>IF($J$97=0,0,L117/(J$94+J$95+J96))</f>
        <v>122.36947368421052</v>
      </c>
      <c r="L117" s="33">
        <v>2325.02</v>
      </c>
      <c r="M117" s="41"/>
      <c r="N117" s="59">
        <f t="shared" si="35"/>
        <v>-4011.063333333334</v>
      </c>
      <c r="O117" s="41"/>
      <c r="P117" s="82">
        <f t="shared" si="36"/>
        <v>277.39227272727271</v>
      </c>
      <c r="Q117" s="33">
        <v>6102.63</v>
      </c>
      <c r="R117" s="41"/>
      <c r="S117" s="85">
        <f t="shared" si="37"/>
        <v>-3777.61</v>
      </c>
      <c r="T117" s="13"/>
      <c r="U117" s="13"/>
      <c r="V117" s="13">
        <v>2325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4"/>
        <v>399.57062975463407</v>
      </c>
      <c r="F118" s="30">
        <v>8390.9832248473158</v>
      </c>
      <c r="G118" s="83"/>
      <c r="H118" s="82"/>
      <c r="I118" s="30"/>
      <c r="J118" s="41"/>
      <c r="K118" s="82">
        <f>IF($J$97=0,0,L118/(J$94+J$95+J96))</f>
        <v>456.71157894736842</v>
      </c>
      <c r="L118" s="33">
        <v>8677.52</v>
      </c>
      <c r="M118" s="41"/>
      <c r="N118" s="59">
        <f t="shared" si="35"/>
        <v>286.53677515268464</v>
      </c>
      <c r="O118" s="41"/>
      <c r="P118" s="82">
        <f t="shared" si="36"/>
        <v>250.86545454545455</v>
      </c>
      <c r="Q118" s="33">
        <v>5519.04</v>
      </c>
      <c r="R118" s="41"/>
      <c r="S118" s="85">
        <f>L118-Q118</f>
        <v>3158.4800000000005</v>
      </c>
      <c r="T118" s="13"/>
      <c r="U118" s="13"/>
      <c r="V118" s="13">
        <v>8678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4"/>
        <v>0</v>
      </c>
      <c r="F119" s="30">
        <v>0</v>
      </c>
      <c r="G119" s="83"/>
      <c r="H119" s="82"/>
      <c r="I119" s="30"/>
      <c r="J119" s="41"/>
      <c r="K119" s="82">
        <f t="shared" ref="K119:K121" si="38">IF($J$97=0,0,L119/(J$94+J$95))</f>
        <v>0</v>
      </c>
      <c r="L119" s="33">
        <v>0</v>
      </c>
      <c r="M119" s="41"/>
      <c r="N119" s="59">
        <f t="shared" si="35"/>
        <v>0</v>
      </c>
      <c r="O119" s="41"/>
      <c r="P119" s="82">
        <f t="shared" si="36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4"/>
        <v>0</v>
      </c>
      <c r="F120" s="30">
        <v>0</v>
      </c>
      <c r="G120" s="83"/>
      <c r="H120" s="82"/>
      <c r="I120" s="30"/>
      <c r="J120" s="41"/>
      <c r="K120" s="82">
        <f t="shared" si="38"/>
        <v>0</v>
      </c>
      <c r="L120" s="33">
        <v>0</v>
      </c>
      <c r="M120" s="41"/>
      <c r="N120" s="59">
        <f t="shared" si="35"/>
        <v>0</v>
      </c>
      <c r="O120" s="41"/>
      <c r="P120" s="82">
        <f t="shared" si="36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4"/>
        <v>0</v>
      </c>
      <c r="F121" s="30">
        <v>0</v>
      </c>
      <c r="G121" s="83"/>
      <c r="H121" s="82"/>
      <c r="I121" s="30"/>
      <c r="J121" s="41"/>
      <c r="K121" s="82">
        <f t="shared" si="38"/>
        <v>0</v>
      </c>
      <c r="L121" s="33">
        <v>0</v>
      </c>
      <c r="M121" s="41"/>
      <c r="N121" s="59">
        <f t="shared" si="35"/>
        <v>0</v>
      </c>
      <c r="O121" s="41"/>
      <c r="P121" s="82">
        <f t="shared" si="36"/>
        <v>0</v>
      </c>
      <c r="Q121" s="33">
        <v>0</v>
      </c>
      <c r="R121" s="41"/>
      <c r="S121" s="85">
        <f t="shared" ref="S121:S131" si="39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87" si="40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0.49916853670431338</v>
      </c>
      <c r="F122" s="96">
        <f>SUM(F112:F121)</f>
        <v>45698.879535279892</v>
      </c>
      <c r="G122" s="97"/>
      <c r="H122" s="95"/>
      <c r="I122" s="96"/>
      <c r="J122" s="97" t="s">
        <v>38</v>
      </c>
      <c r="K122" s="95">
        <f>L122/L$108</f>
        <v>0.62878138981363052</v>
      </c>
      <c r="L122" s="96">
        <f>SUM(L112:L121)</f>
        <v>34575.67</v>
      </c>
      <c r="M122" s="100"/>
      <c r="N122" s="96">
        <f t="shared" si="35"/>
        <v>-11123.209535279893</v>
      </c>
      <c r="O122" s="97" t="s">
        <v>38</v>
      </c>
      <c r="P122" s="95">
        <f>Q122/Q$108</f>
        <v>0.35046716234339276</v>
      </c>
      <c r="Q122" s="96">
        <f>SUM(Q112:Q121)</f>
        <v>42557.21</v>
      </c>
      <c r="R122" s="100"/>
      <c r="S122" s="101">
        <f t="shared" si="39"/>
        <v>-7981.5400000000009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40"/>
        <v>Véhicules usagésSalaires cadres</v>
      </c>
      <c r="B123" s="11" t="s">
        <v>70</v>
      </c>
      <c r="C123" s="102" t="s">
        <v>40</v>
      </c>
      <c r="D123" s="13"/>
      <c r="E123" s="13"/>
      <c r="F123" s="30">
        <v>4812.8379134860052</v>
      </c>
      <c r="G123" s="41"/>
      <c r="H123" s="13"/>
      <c r="I123" s="30"/>
      <c r="J123" s="41"/>
      <c r="K123" s="13"/>
      <c r="L123" s="33">
        <v>2909.35</v>
      </c>
      <c r="M123" s="41"/>
      <c r="N123" s="59">
        <f t="shared" si="35"/>
        <v>-1903.4879134860053</v>
      </c>
      <c r="O123" s="41"/>
      <c r="P123" s="13"/>
      <c r="Q123" s="33">
        <v>1917.1</v>
      </c>
      <c r="R123" s="41"/>
      <c r="S123" s="85">
        <f t="shared" si="39"/>
        <v>992.25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0"/>
        <v>Véhicules usagésSalaires commis</v>
      </c>
      <c r="B124" s="11" t="s">
        <v>70</v>
      </c>
      <c r="C124" s="103" t="s">
        <v>41</v>
      </c>
      <c r="D124" s="81"/>
      <c r="E124" s="13"/>
      <c r="F124" s="22">
        <v>2525.1709923664121</v>
      </c>
      <c r="G124" s="83"/>
      <c r="H124" s="13"/>
      <c r="I124" s="22"/>
      <c r="J124" s="41"/>
      <c r="K124" s="13"/>
      <c r="L124" s="22">
        <v>2701.3</v>
      </c>
      <c r="M124" s="41"/>
      <c r="N124" s="59">
        <f t="shared" si="35"/>
        <v>176.12900763358812</v>
      </c>
      <c r="O124" s="41"/>
      <c r="P124" s="13"/>
      <c r="Q124" s="22">
        <v>2907.89</v>
      </c>
      <c r="R124" s="41"/>
      <c r="S124" s="85">
        <f t="shared" si="39"/>
        <v>-206.58999999999969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0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5"/>
        <v>0</v>
      </c>
      <c r="O125" s="107"/>
      <c r="P125" s="105"/>
      <c r="Q125" s="33">
        <v>2809</v>
      </c>
      <c r="R125" s="107"/>
      <c r="S125" s="110">
        <f t="shared" si="39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4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5"/>
        <v>0</v>
      </c>
      <c r="O126" s="41"/>
      <c r="P126" s="13"/>
      <c r="Q126" s="33">
        <v>0</v>
      </c>
      <c r="R126" s="41"/>
      <c r="S126" s="85">
        <f t="shared" si="39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5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5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5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95" si="41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3733.2204438613235</v>
      </c>
      <c r="G130" s="83"/>
      <c r="H130" s="13"/>
      <c r="I130" s="30"/>
      <c r="J130" s="41"/>
      <c r="K130" s="13"/>
      <c r="L130" s="33">
        <v>5315.87</v>
      </c>
      <c r="M130" s="41"/>
      <c r="N130" s="59">
        <f t="shared" si="35"/>
        <v>1582.6495561386764</v>
      </c>
      <c r="O130" s="41"/>
      <c r="P130" s="13"/>
      <c r="Q130" s="33">
        <v>6380.3</v>
      </c>
      <c r="R130" s="41"/>
      <c r="S130" s="85">
        <f>L130-Q130</f>
        <v>-1064.4300000000003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41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4887.5806631679388</v>
      </c>
      <c r="G131" s="106"/>
      <c r="H131" s="105"/>
      <c r="I131" s="54"/>
      <c r="J131" s="107"/>
      <c r="K131" s="105"/>
      <c r="L131" s="55">
        <v>3396.29</v>
      </c>
      <c r="M131" s="107"/>
      <c r="N131" s="109">
        <f t="shared" si="35"/>
        <v>-1491.2906631679389</v>
      </c>
      <c r="O131" s="107"/>
      <c r="P131" s="105"/>
      <c r="Q131" s="55">
        <v>3844.58</v>
      </c>
      <c r="R131" s="107"/>
      <c r="S131" s="110">
        <f t="shared" ref="S131:S148" si="42">L131-Q131</f>
        <v>-448.28999999999996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41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2244.6666749363867</v>
      </c>
      <c r="G132" s="83"/>
      <c r="H132" s="13"/>
      <c r="I132" s="30"/>
      <c r="J132" s="41"/>
      <c r="K132" s="13"/>
      <c r="L132" s="33">
        <v>2149.19</v>
      </c>
      <c r="M132" s="41"/>
      <c r="N132" s="59">
        <f t="shared" si="35"/>
        <v>-95.476674936386644</v>
      </c>
      <c r="O132" s="41"/>
      <c r="P132" s="13"/>
      <c r="Q132" s="33">
        <v>2325.4699999999998</v>
      </c>
      <c r="R132" s="41"/>
      <c r="S132" s="85">
        <f t="shared" si="42"/>
        <v>-176.27999999999975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41"/>
        <v>Véhicules usagésCsst</v>
      </c>
      <c r="B133" s="11" t="s">
        <v>70</v>
      </c>
      <c r="C133" s="102" t="s">
        <v>47</v>
      </c>
      <c r="D133" s="81"/>
      <c r="E133" s="13"/>
      <c r="F133" s="30">
        <v>506.86021692111962</v>
      </c>
      <c r="G133" s="83"/>
      <c r="H133" s="13"/>
      <c r="I133" s="30"/>
      <c r="J133" s="41"/>
      <c r="K133" s="13"/>
      <c r="L133" s="33">
        <v>637.46</v>
      </c>
      <c r="M133" s="41"/>
      <c r="N133" s="59">
        <f t="shared" si="35"/>
        <v>130.59978307888042</v>
      </c>
      <c r="O133" s="41"/>
      <c r="P133" s="13"/>
      <c r="Q133" s="33">
        <v>700.94</v>
      </c>
      <c r="R133" s="41"/>
      <c r="S133" s="85">
        <f t="shared" si="42"/>
        <v>-63.480000000000018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41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5"/>
        <v>0</v>
      </c>
      <c r="O134" s="23"/>
      <c r="P134" s="111"/>
      <c r="Q134" s="33">
        <v>0</v>
      </c>
      <c r="R134" s="23"/>
      <c r="S134" s="92">
        <f t="shared" si="42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41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0.23505556422434939</v>
      </c>
      <c r="F135" s="96">
        <f>+SUM(F123:F134)</f>
        <v>21519.336904739186</v>
      </c>
      <c r="G135" s="97"/>
      <c r="H135" s="95"/>
      <c r="I135" s="96"/>
      <c r="J135" s="97" t="s">
        <v>38</v>
      </c>
      <c r="K135" s="95">
        <f>L135/L$108</f>
        <v>0.36223034757525185</v>
      </c>
      <c r="L135" s="96">
        <f>SUM(L123:L134)</f>
        <v>19918.46</v>
      </c>
      <c r="M135" s="479"/>
      <c r="N135" s="480">
        <f t="shared" si="35"/>
        <v>-1600.876904739187</v>
      </c>
      <c r="O135" s="97" t="s">
        <v>38</v>
      </c>
      <c r="P135" s="95">
        <f>Q135/Q$108</f>
        <v>0.1719944708863014</v>
      </c>
      <c r="Q135" s="96">
        <f>+SUM(Q123:Q134)</f>
        <v>20885.280000000002</v>
      </c>
      <c r="R135" s="147"/>
      <c r="S135" s="114">
        <f t="shared" si="42"/>
        <v>-966.82000000000335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41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5"/>
        <v>0</v>
      </c>
      <c r="O136" s="41"/>
      <c r="P136" s="13"/>
      <c r="Q136" s="33">
        <v>0</v>
      </c>
      <c r="R136" s="41"/>
      <c r="S136" s="85">
        <f t="shared" si="42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41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5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41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857.83333333333326</v>
      </c>
      <c r="G138" s="89"/>
      <c r="H138" s="111"/>
      <c r="I138" s="22"/>
      <c r="J138" s="23"/>
      <c r="K138" s="111"/>
      <c r="L138" s="22">
        <v>1088.93</v>
      </c>
      <c r="M138" s="23"/>
      <c r="N138" s="91">
        <f t="shared" si="35"/>
        <v>231.09666666666681</v>
      </c>
      <c r="O138" s="23"/>
      <c r="P138" s="111"/>
      <c r="Q138" s="22">
        <v>895.29</v>
      </c>
      <c r="R138" s="23"/>
      <c r="S138" s="92">
        <f t="shared" si="42"/>
        <v>193.6400000000001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41"/>
        <v>Véhicules usagésInformatique</v>
      </c>
      <c r="B139" s="11" t="s">
        <v>70</v>
      </c>
      <c r="C139" s="29" t="s">
        <v>52</v>
      </c>
      <c r="D139" s="81"/>
      <c r="E139" s="13"/>
      <c r="F139" s="30">
        <v>1419.9</v>
      </c>
      <c r="G139" s="83"/>
      <c r="H139" s="13"/>
      <c r="I139" s="30"/>
      <c r="J139" s="41"/>
      <c r="K139" s="13"/>
      <c r="L139" s="33">
        <v>1618.64</v>
      </c>
      <c r="M139" s="41"/>
      <c r="N139" s="59">
        <f t="shared" si="35"/>
        <v>198.74</v>
      </c>
      <c r="O139" s="41"/>
      <c r="P139" s="13"/>
      <c r="Q139" s="33">
        <v>1281.29</v>
      </c>
      <c r="R139" s="41"/>
      <c r="S139" s="85">
        <f t="shared" si="42"/>
        <v>337.35000000000014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41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182.8</v>
      </c>
      <c r="G140" s="83"/>
      <c r="H140" s="13"/>
      <c r="I140" s="30"/>
      <c r="J140" s="41"/>
      <c r="K140" s="13"/>
      <c r="L140" s="33">
        <v>82.33</v>
      </c>
      <c r="M140" s="41"/>
      <c r="N140" s="59">
        <f t="shared" si="35"/>
        <v>-100.47000000000001</v>
      </c>
      <c r="O140" s="41"/>
      <c r="P140" s="13"/>
      <c r="Q140" s="33">
        <v>684.93</v>
      </c>
      <c r="R140" s="41"/>
      <c r="S140" s="85">
        <f t="shared" si="42"/>
        <v>-602.59999999999991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41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612.1</v>
      </c>
      <c r="G141" s="89"/>
      <c r="H141" s="111"/>
      <c r="I141" s="22"/>
      <c r="J141" s="23"/>
      <c r="K141" s="111"/>
      <c r="L141" s="22">
        <v>1004.86</v>
      </c>
      <c r="M141" s="23"/>
      <c r="N141" s="91">
        <f t="shared" si="35"/>
        <v>392.76</v>
      </c>
      <c r="O141" s="23"/>
      <c r="P141" s="111"/>
      <c r="Q141" s="22">
        <v>720.39</v>
      </c>
      <c r="R141" s="23"/>
      <c r="S141" s="92">
        <f t="shared" si="42"/>
        <v>284.47000000000003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41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46.32352941176471</v>
      </c>
      <c r="G142" s="83"/>
      <c r="H142" s="13"/>
      <c r="I142" s="30"/>
      <c r="J142" s="41"/>
      <c r="K142" s="13"/>
      <c r="L142" s="33">
        <v>0</v>
      </c>
      <c r="M142" s="41"/>
      <c r="N142" s="59">
        <f t="shared" si="35"/>
        <v>-46.32352941176471</v>
      </c>
      <c r="O142" s="41"/>
      <c r="P142" s="13"/>
      <c r="Q142" s="33">
        <v>146.68</v>
      </c>
      <c r="R142" s="41"/>
      <c r="S142" s="85">
        <f t="shared" si="42"/>
        <v>-146.68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41"/>
        <v>Véhicules usagésUniformes</v>
      </c>
      <c r="B143" s="11" t="s">
        <v>70</v>
      </c>
      <c r="C143" s="29" t="s">
        <v>56</v>
      </c>
      <c r="D143" s="81"/>
      <c r="E143" s="13"/>
      <c r="F143" s="30">
        <v>5</v>
      </c>
      <c r="G143" s="83"/>
      <c r="H143" s="13"/>
      <c r="I143" s="30"/>
      <c r="J143" s="41"/>
      <c r="K143" s="13"/>
      <c r="L143" s="33">
        <v>17.350000000000001</v>
      </c>
      <c r="M143" s="41"/>
      <c r="N143" s="59">
        <f t="shared" si="35"/>
        <v>12.350000000000001</v>
      </c>
      <c r="O143" s="41"/>
      <c r="P143" s="13"/>
      <c r="Q143" s="33">
        <v>0</v>
      </c>
      <c r="R143" s="41"/>
      <c r="S143" s="85">
        <f t="shared" si="42"/>
        <v>17.350000000000001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41"/>
        <v>Véhicules usagésPapeterie</v>
      </c>
      <c r="B144" s="11" t="s">
        <v>70</v>
      </c>
      <c r="C144" s="29" t="s">
        <v>57</v>
      </c>
      <c r="D144" s="81"/>
      <c r="E144" s="13"/>
      <c r="F144" s="30">
        <v>175</v>
      </c>
      <c r="G144" s="83"/>
      <c r="H144" s="13"/>
      <c r="I144" s="30"/>
      <c r="J144" s="41"/>
      <c r="K144" s="13"/>
      <c r="L144" s="32">
        <v>111.73</v>
      </c>
      <c r="M144" s="41"/>
      <c r="N144" s="59">
        <f t="shared" si="35"/>
        <v>-63.269999999999996</v>
      </c>
      <c r="O144" s="41"/>
      <c r="P144" s="13"/>
      <c r="Q144" s="32">
        <v>732.96</v>
      </c>
      <c r="R144" s="41"/>
      <c r="S144" s="85">
        <f t="shared" si="42"/>
        <v>-621.23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41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104.99</v>
      </c>
      <c r="M145" s="41"/>
      <c r="N145" s="59">
        <f t="shared" si="35"/>
        <v>41.789999999999992</v>
      </c>
      <c r="O145" s="41"/>
      <c r="P145" s="13"/>
      <c r="Q145" s="33">
        <v>31.51</v>
      </c>
      <c r="R145" s="41"/>
      <c r="S145" s="85">
        <f t="shared" si="42"/>
        <v>73.47999999999999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41"/>
        <v>Véhicules usagésFrais postaux</v>
      </c>
      <c r="B146" s="11" t="s">
        <v>70</v>
      </c>
      <c r="C146" s="29" t="s">
        <v>59</v>
      </c>
      <c r="D146" s="81"/>
      <c r="E146" s="13"/>
      <c r="F146" s="30">
        <v>50</v>
      </c>
      <c r="G146" s="83"/>
      <c r="H146" s="13"/>
      <c r="I146" s="30"/>
      <c r="J146" s="41"/>
      <c r="K146" s="13"/>
      <c r="L146" s="33">
        <v>302.58999999999997</v>
      </c>
      <c r="M146" s="41"/>
      <c r="N146" s="59">
        <f t="shared" si="35"/>
        <v>252.58999999999997</v>
      </c>
      <c r="O146" s="41"/>
      <c r="P146" s="13"/>
      <c r="Q146" s="33">
        <v>65.59</v>
      </c>
      <c r="R146" s="41"/>
      <c r="S146" s="85">
        <f t="shared" si="42"/>
        <v>236.99999999999997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41"/>
        <v>Véhicules usagésDivers</v>
      </c>
      <c r="B147" s="11" t="s">
        <v>70</v>
      </c>
      <c r="C147" s="29" t="s">
        <v>60</v>
      </c>
      <c r="D147" s="81"/>
      <c r="E147" s="13"/>
      <c r="F147" s="30">
        <v>185.8</v>
      </c>
      <c r="G147" s="83"/>
      <c r="H147" s="13"/>
      <c r="I147" s="30"/>
      <c r="J147" s="41"/>
      <c r="K147" s="13"/>
      <c r="L147" s="33">
        <v>144.6</v>
      </c>
      <c r="M147" s="41"/>
      <c r="N147" s="59">
        <f t="shared" si="35"/>
        <v>-41.200000000000017</v>
      </c>
      <c r="O147" s="41"/>
      <c r="P147" s="13"/>
      <c r="Q147" s="33">
        <v>894.4</v>
      </c>
      <c r="R147" s="41"/>
      <c r="S147" s="85">
        <f t="shared" si="42"/>
        <v>-749.8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41"/>
        <v>Véhicules usagésFormation</v>
      </c>
      <c r="B148" s="11" t="s">
        <v>70</v>
      </c>
      <c r="C148" s="29" t="s">
        <v>61</v>
      </c>
      <c r="D148" s="81"/>
      <c r="E148" s="13"/>
      <c r="F148" s="30">
        <v>137.24010666666663</v>
      </c>
      <c r="G148" s="83"/>
      <c r="H148" s="13"/>
      <c r="I148" s="30"/>
      <c r="J148" s="41"/>
      <c r="K148" s="13"/>
      <c r="L148" s="59">
        <v>-10.73</v>
      </c>
      <c r="M148" s="41"/>
      <c r="N148" s="59">
        <f t="shared" si="35"/>
        <v>-147.97010666666662</v>
      </c>
      <c r="O148" s="41"/>
      <c r="P148" s="13"/>
      <c r="Q148" s="33">
        <v>448.26</v>
      </c>
      <c r="R148" s="41"/>
      <c r="S148" s="85">
        <f t="shared" si="42"/>
        <v>-458.99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618.2402263859891</v>
      </c>
      <c r="G149" s="83"/>
      <c r="H149" s="13"/>
      <c r="I149" s="30"/>
      <c r="J149" s="41"/>
      <c r="K149" s="13"/>
      <c r="L149" s="33">
        <v>547.04</v>
      </c>
      <c r="M149" s="41"/>
      <c r="N149" s="59">
        <f t="shared" si="35"/>
        <v>-71.20022638598914</v>
      </c>
      <c r="O149" s="41"/>
      <c r="P149" s="13"/>
      <c r="Q149" s="33">
        <v>693.77</v>
      </c>
      <c r="R149" s="41"/>
      <c r="S149" s="85">
        <f>L149-Q149</f>
        <v>-146.73000000000002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5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5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5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218" si="43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4.7552563580532545E-2</v>
      </c>
      <c r="F153" s="96">
        <f>+SUM(F136:F152)</f>
        <v>4353.4371957977546</v>
      </c>
      <c r="G153" s="97"/>
      <c r="H153" s="95"/>
      <c r="I153" s="96"/>
      <c r="J153" s="97" t="s">
        <v>38</v>
      </c>
      <c r="K153" s="95">
        <f>L153/L$108</f>
        <v>9.115253077104668E-2</v>
      </c>
      <c r="L153" s="96">
        <f>+SUM(L136:L152)</f>
        <v>5012.3300000000008</v>
      </c>
      <c r="M153" s="100"/>
      <c r="N153" s="96">
        <f t="shared" si="35"/>
        <v>658.89280420224623</v>
      </c>
      <c r="O153" s="97" t="s">
        <v>38</v>
      </c>
      <c r="P153" s="95">
        <f>Q153/Q$108</f>
        <v>5.4311724578656337E-2</v>
      </c>
      <c r="Q153" s="96">
        <f>+SUM(Q136:Q152)</f>
        <v>6595.07</v>
      </c>
      <c r="R153" s="100"/>
      <c r="S153" s="101">
        <f>L153-Q153</f>
        <v>-1582.7399999999989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3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3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0.78177666450919536</v>
      </c>
      <c r="F155" s="96">
        <f>F122+F135+F153</f>
        <v>71571.653635816838</v>
      </c>
      <c r="G155" s="97"/>
      <c r="H155" s="95"/>
      <c r="I155" s="96"/>
      <c r="J155" s="97" t="s">
        <v>38</v>
      </c>
      <c r="K155" s="95">
        <f>L155/L$108</f>
        <v>1.0821642681599291</v>
      </c>
      <c r="L155" s="96">
        <f>L122+L135+L153</f>
        <v>59506.46</v>
      </c>
      <c r="M155" s="100"/>
      <c r="N155" s="113">
        <f t="shared" ref="N155:N162" si="44">L155-F155</f>
        <v>-12065.193635816839</v>
      </c>
      <c r="O155" s="97" t="s">
        <v>38</v>
      </c>
      <c r="P155" s="95">
        <f>Q155/Q$108</f>
        <v>0.57677335780835048</v>
      </c>
      <c r="Q155" s="96">
        <f>Q122+Q135+Q153</f>
        <v>70037.56</v>
      </c>
      <c r="R155" s="100"/>
      <c r="S155" s="114">
        <f t="shared" ref="S155:S162" si="45">L155-Q155</f>
        <v>-10531.099999999999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3"/>
        <v>Véhicules usagésRBSC used</v>
      </c>
      <c r="B156" s="11" t="s">
        <v>70</v>
      </c>
      <c r="C156" s="29" t="s">
        <v>222</v>
      </c>
      <c r="D156" s="149"/>
      <c r="E156" s="150"/>
      <c r="F156" s="30">
        <v>2625</v>
      </c>
      <c r="G156" s="151"/>
      <c r="H156" s="150"/>
      <c r="I156" s="30"/>
      <c r="J156" s="151"/>
      <c r="K156" s="150"/>
      <c r="L156" s="32">
        <v>3375</v>
      </c>
      <c r="M156" s="41"/>
      <c r="N156" s="59">
        <f t="shared" si="44"/>
        <v>750</v>
      </c>
      <c r="O156" s="151"/>
      <c r="P156" s="150"/>
      <c r="Q156" s="33">
        <v>2250</v>
      </c>
      <c r="R156" s="41"/>
      <c r="S156" s="85">
        <f t="shared" si="45"/>
        <v>1125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3"/>
        <v>Véhicules usagésProgramme 360</v>
      </c>
      <c r="B157" s="11" t="s">
        <v>70</v>
      </c>
      <c r="C157" s="29" t="s">
        <v>223</v>
      </c>
      <c r="D157" s="149"/>
      <c r="E157" s="150"/>
      <c r="F157" s="30">
        <v>1822.0588235294119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4"/>
        <v>-1822.0588235294119</v>
      </c>
      <c r="O157" s="151"/>
      <c r="P157" s="150"/>
      <c r="Q157" s="33">
        <v>4750</v>
      </c>
      <c r="R157" s="41"/>
      <c r="S157" s="85">
        <f t="shared" si="45"/>
        <v>-4750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>
      <c r="A158" t="str">
        <f t="shared" si="43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4"/>
        <v>0</v>
      </c>
      <c r="O158" s="41"/>
      <c r="P158" s="13"/>
      <c r="Q158" s="33">
        <v>0</v>
      </c>
      <c r="R158" s="41"/>
      <c r="S158" s="85">
        <f t="shared" si="45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10620.75</v>
      </c>
      <c r="G159" s="83"/>
      <c r="H159" s="13"/>
      <c r="I159" s="30"/>
      <c r="J159" s="41"/>
      <c r="K159" s="13"/>
      <c r="L159" s="32">
        <v>9520</v>
      </c>
      <c r="M159" s="41"/>
      <c r="N159" s="59">
        <f t="shared" si="44"/>
        <v>-1100.75</v>
      </c>
      <c r="O159" s="41"/>
      <c r="P159" s="13"/>
      <c r="Q159" s="33">
        <v>11900</v>
      </c>
      <c r="R159" s="41"/>
      <c r="S159" s="85">
        <f t="shared" si="45"/>
        <v>-2380</v>
      </c>
      <c r="T159" s="112"/>
      <c r="U159" s="13"/>
      <c r="V159" s="13">
        <f>L159/595</f>
        <v>16</v>
      </c>
      <c r="W159" s="454">
        <f>V159/J97</f>
        <v>0.84210526315789469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15067.808823529413</v>
      </c>
      <c r="G163" s="97"/>
      <c r="H163" s="95"/>
      <c r="I163" s="96"/>
      <c r="J163" s="97"/>
      <c r="K163" s="95"/>
      <c r="L163" s="96">
        <f>+SUM(L156:L162)</f>
        <v>12895</v>
      </c>
      <c r="M163" s="100"/>
      <c r="N163" s="96">
        <f>SUM(N156:N159)</f>
        <v>-2172.8088235294117</v>
      </c>
      <c r="O163" s="97"/>
      <c r="P163" s="95"/>
      <c r="Q163" s="96">
        <f>+SUM(Q156:Q162)</f>
        <v>18900</v>
      </c>
      <c r="R163" s="100"/>
      <c r="S163" s="101">
        <f>+SUM(S156:S162)</f>
        <v>-6005</v>
      </c>
      <c r="T163" s="112"/>
      <c r="U163" s="13"/>
      <c r="V163" s="13">
        <v>18</v>
      </c>
      <c r="W163" s="13" t="s">
        <v>259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35046.155187712575</v>
      </c>
      <c r="G165" s="153"/>
      <c r="H165" s="125"/>
      <c r="I165" s="127"/>
      <c r="J165" s="154"/>
      <c r="K165" s="126"/>
      <c r="L165" s="127">
        <f>L108-L155+L163</f>
        <v>8376.9199999999255</v>
      </c>
      <c r="M165" s="154"/>
      <c r="N165" s="127">
        <f>L165-F165</f>
        <v>-26669.235187712649</v>
      </c>
      <c r="O165" s="154"/>
      <c r="P165" s="126"/>
      <c r="Q165" s="127">
        <f>Q108-Q155+Q163</f>
        <v>70292.38999999981</v>
      </c>
      <c r="R165" s="154"/>
      <c r="S165" s="129">
        <f>L165-Q165</f>
        <v>-61915.469999999885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Juin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63" t="s">
        <v>5</v>
      </c>
      <c r="E170" s="464"/>
      <c r="F170" s="465"/>
      <c r="G170" s="466"/>
      <c r="H170" s="464"/>
      <c r="I170" s="465"/>
      <c r="J170" s="466" t="s">
        <v>7</v>
      </c>
      <c r="K170" s="464"/>
      <c r="L170" s="465"/>
      <c r="M170" s="466" t="s">
        <v>213</v>
      </c>
      <c r="N170" s="465"/>
      <c r="O170" s="463" t="s">
        <v>8</v>
      </c>
      <c r="P170" s="464"/>
      <c r="Q170" s="465"/>
      <c r="R170" s="470" t="s">
        <v>214</v>
      </c>
      <c r="S170" s="471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46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224</v>
      </c>
      <c r="N171" s="134" t="s">
        <v>219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6"/>
        <v>ServiceM/O Client</v>
      </c>
      <c r="B172" s="11" t="s">
        <v>78</v>
      </c>
      <c r="C172" s="29" t="s">
        <v>81</v>
      </c>
      <c r="D172" s="13">
        <v>0</v>
      </c>
      <c r="E172" s="82">
        <v>63028.546499910459</v>
      </c>
      <c r="F172" s="82">
        <v>50170.723013928728</v>
      </c>
      <c r="G172" s="156"/>
      <c r="H172" s="82"/>
      <c r="I172" s="82"/>
      <c r="J172" s="60">
        <v>157</v>
      </c>
      <c r="K172" s="30">
        <v>53893.73</v>
      </c>
      <c r="L172" s="33">
        <v>42144.950000000004</v>
      </c>
      <c r="M172" s="157">
        <f>(K172-E172)/E172</f>
        <v>-0.14493141611513177</v>
      </c>
      <c r="N172" s="59">
        <f>L172-F172</f>
        <v>-8025.7730139287232</v>
      </c>
      <c r="O172" s="60">
        <v>175</v>
      </c>
      <c r="P172" s="30">
        <v>56799.98</v>
      </c>
      <c r="Q172" s="33">
        <v>45732.18</v>
      </c>
      <c r="R172" s="157">
        <f>IF(O172=0,0,J172/O172)</f>
        <v>0.89714285714285713</v>
      </c>
      <c r="S172" s="85">
        <f>L172-Q172</f>
        <v>-3587.2299999999959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6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0.79600000000000004</v>
      </c>
      <c r="G173" s="41"/>
      <c r="H173" s="144"/>
      <c r="I173" s="158"/>
      <c r="J173" s="60"/>
      <c r="K173" s="13"/>
      <c r="L173" s="158">
        <f>IF(L172=0,0,L172/K172)</f>
        <v>0.78200098601451418</v>
      </c>
      <c r="M173" s="157"/>
      <c r="N173" s="59"/>
      <c r="O173" s="60"/>
      <c r="P173" s="13"/>
      <c r="Q173" s="158">
        <f>Q172/P172</f>
        <v>0.80514429758602024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6"/>
        <v>Service</v>
      </c>
      <c r="B174" s="11" t="s">
        <v>78</v>
      </c>
      <c r="C174" s="86"/>
      <c r="D174" s="111"/>
      <c r="E174" s="159">
        <f>IFERROR(E172/D172,0)</f>
        <v>0</v>
      </c>
      <c r="F174" s="160"/>
      <c r="G174" s="23"/>
      <c r="H174" s="159"/>
      <c r="I174" s="160"/>
      <c r="J174" s="161"/>
      <c r="K174" s="481">
        <f>IFERROR(K172/J172,0)</f>
        <v>343.27216560509555</v>
      </c>
      <c r="L174" s="160"/>
      <c r="M174" s="162"/>
      <c r="N174" s="91"/>
      <c r="O174" s="161"/>
      <c r="P174" s="481">
        <f>IFERROR(P172/O172,0)</f>
        <v>324.57131428571432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6"/>
        <v>ServiceM/O Garantie</v>
      </c>
      <c r="B175" s="11" t="s">
        <v>78</v>
      </c>
      <c r="C175" s="14" t="s">
        <v>83</v>
      </c>
      <c r="D175" s="163">
        <v>0</v>
      </c>
      <c r="E175" s="82">
        <v>33303.272233769181</v>
      </c>
      <c r="F175" s="82">
        <v>24011.659280547578</v>
      </c>
      <c r="G175" s="164"/>
      <c r="H175" s="82"/>
      <c r="I175" s="82"/>
      <c r="J175" s="164">
        <v>170</v>
      </c>
      <c r="K175" s="165">
        <v>28704.47</v>
      </c>
      <c r="L175" s="33">
        <v>19244.020000000008</v>
      </c>
      <c r="M175" s="157">
        <f>(K175-E175)/E175</f>
        <v>-0.1380885998675542</v>
      </c>
      <c r="N175" s="109">
        <f>L175-F175</f>
        <v>-4767.6392805475698</v>
      </c>
      <c r="O175" s="164">
        <v>266</v>
      </c>
      <c r="P175" s="165">
        <v>39385.870000000003</v>
      </c>
      <c r="Q175" s="33">
        <v>28373.94</v>
      </c>
      <c r="R175" s="157">
        <f>IF(O175=0,0,J175/O175)</f>
        <v>0.63909774436090228</v>
      </c>
      <c r="S175" s="85">
        <f>L175-Q175</f>
        <v>-9129.919999999991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6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/>
      <c r="J176" s="41"/>
      <c r="K176" s="13"/>
      <c r="L176" s="158">
        <f>IF(L175=0,0,L175/K175)</f>
        <v>0.6704189277837217</v>
      </c>
      <c r="M176" s="42"/>
      <c r="N176" s="43"/>
      <c r="O176" s="41"/>
      <c r="P176" s="13"/>
      <c r="Q176" s="158">
        <f>Q175/P175</f>
        <v>0.72040912134224777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6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148.06718045112783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6"/>
        <v>ServiceM/O Interne</v>
      </c>
      <c r="B178" s="11" t="s">
        <v>78</v>
      </c>
      <c r="C178" s="29" t="s">
        <v>84</v>
      </c>
      <c r="D178" s="13">
        <v>0</v>
      </c>
      <c r="E178" s="82">
        <v>43757.631967158552</v>
      </c>
      <c r="F178" s="82">
        <v>27042.216555703984</v>
      </c>
      <c r="G178" s="41"/>
      <c r="H178" s="82"/>
      <c r="I178" s="82"/>
      <c r="J178" s="60">
        <v>145</v>
      </c>
      <c r="K178" s="165">
        <v>32149.02</v>
      </c>
      <c r="L178" s="33">
        <v>19018.77</v>
      </c>
      <c r="M178" s="157">
        <f>(K178-E178)/E178</f>
        <v>-0.2652934230049554</v>
      </c>
      <c r="N178" s="59">
        <f>L178-F178</f>
        <v>-8023.4465557039839</v>
      </c>
      <c r="O178" s="60">
        <v>196</v>
      </c>
      <c r="P178" s="165">
        <v>35162.229999999901</v>
      </c>
      <c r="Q178" s="33">
        <v>19397.369999999901</v>
      </c>
      <c r="R178" s="157">
        <f>IF(O178=0,0,J178/O178)</f>
        <v>0.73979591836734693</v>
      </c>
      <c r="S178" s="85">
        <f>L178-Q178</f>
        <v>-378.59999999990032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6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0.61799999999999999</v>
      </c>
      <c r="G179" s="41"/>
      <c r="H179" s="144"/>
      <c r="I179" s="158"/>
      <c r="J179" s="60"/>
      <c r="K179" s="144"/>
      <c r="L179" s="158">
        <f>IF(L178=0,0,L178/K178)</f>
        <v>0.59158164074674746</v>
      </c>
      <c r="M179" s="157"/>
      <c r="N179" s="59">
        <f>L179-F179</f>
        <v>-2.6418359253252532E-2</v>
      </c>
      <c r="O179" s="60"/>
      <c r="P179" s="144"/>
      <c r="Q179" s="158">
        <f>Q178/P178</f>
        <v>0.5516535782855625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6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179.39913265306072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6"/>
        <v>ServiceM/O Esthétique</v>
      </c>
      <c r="B181" s="11" t="s">
        <v>78</v>
      </c>
      <c r="C181" s="14" t="s">
        <v>85</v>
      </c>
      <c r="D181" s="105">
        <v>0</v>
      </c>
      <c r="E181" s="82">
        <v>10730.01975387566</v>
      </c>
      <c r="F181" s="82">
        <v>4292.0079015502643</v>
      </c>
      <c r="G181" s="107"/>
      <c r="H181" s="82"/>
      <c r="I181" s="82"/>
      <c r="J181" s="164">
        <v>47</v>
      </c>
      <c r="K181" s="165">
        <v>9411.9299999999985</v>
      </c>
      <c r="L181" s="108">
        <v>3425.9399999999987</v>
      </c>
      <c r="M181" s="173">
        <f>IF(E181=0,0,(K181-E181)/E181)</f>
        <v>-0.12284131661543032</v>
      </c>
      <c r="N181" s="109">
        <f>L181-F181</f>
        <v>-866.06790155026556</v>
      </c>
      <c r="O181" s="164">
        <v>44</v>
      </c>
      <c r="P181" s="165">
        <v>9642.94</v>
      </c>
      <c r="Q181" s="108">
        <v>3423.04</v>
      </c>
      <c r="R181" s="157">
        <f>IF(O181=0,0,J181/O181)</f>
        <v>1.0681818181818181</v>
      </c>
      <c r="S181" s="110">
        <f>L181-Q181</f>
        <v>2.8999999999987267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6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0.36399973225470222</v>
      </c>
      <c r="M182" s="60">
        <f>J182-D182</f>
        <v>0</v>
      </c>
      <c r="N182" s="176"/>
      <c r="O182" s="175"/>
      <c r="P182" s="174"/>
      <c r="Q182" s="158">
        <f>IFERROR(Q181/P181,0)</f>
        <v>0.35497887573706771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6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219.15772727272727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6"/>
        <v>ServiceAjustement M/O</v>
      </c>
      <c r="B184" s="11" t="s">
        <v>78</v>
      </c>
      <c r="C184" s="29" t="s">
        <v>86</v>
      </c>
      <c r="D184" s="13"/>
      <c r="E184" s="13"/>
      <c r="F184" s="59">
        <v>-2265.1431851491625</v>
      </c>
      <c r="G184" s="41"/>
      <c r="H184" s="82"/>
      <c r="I184" s="82"/>
      <c r="J184" s="60"/>
      <c r="K184" s="82"/>
      <c r="L184" s="82">
        <v>-1991.54</v>
      </c>
      <c r="M184" s="175"/>
      <c r="N184" s="59">
        <f>L184-F184</f>
        <v>273.60318514916253</v>
      </c>
      <c r="O184" s="60"/>
      <c r="P184" s="82"/>
      <c r="Q184" s="82">
        <v>-2000.57</v>
      </c>
      <c r="R184" s="184"/>
      <c r="S184" s="85">
        <f>L184-Q184</f>
        <v>9.0299999999999727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6"/>
        <v>ServiceSous-total M/O</v>
      </c>
      <c r="B185" s="11" t="s">
        <v>78</v>
      </c>
      <c r="C185" s="185" t="s">
        <v>87</v>
      </c>
      <c r="D185" s="186">
        <f>D172+D175+D178+D181+D184</f>
        <v>0</v>
      </c>
      <c r="E185" s="186">
        <f>E172+E175+E178+E181+E184</f>
        <v>150819.47045471382</v>
      </c>
      <c r="F185" s="187">
        <f>F172+F175+F178+F181+F184</f>
        <v>103251.4635665814</v>
      </c>
      <c r="G185" s="188"/>
      <c r="H185" s="186"/>
      <c r="I185" s="187"/>
      <c r="J185" s="188">
        <f>J172+J175+J178+J181+J184</f>
        <v>519</v>
      </c>
      <c r="K185" s="186">
        <f>K172+K175+K178+K181+K184</f>
        <v>124159.15000000001</v>
      </c>
      <c r="L185" s="187">
        <f>L172+L175+L178+L181+L184</f>
        <v>81842.140000000029</v>
      </c>
      <c r="M185" s="189">
        <f>(K185-E185)/E185</f>
        <v>-0.17676975243537299</v>
      </c>
      <c r="N185" s="187">
        <f>L185-F185</f>
        <v>-21409.32356658137</v>
      </c>
      <c r="O185" s="188">
        <f t="shared" ref="O185:Q185" si="47">O172+O175+O178+O181+O184</f>
        <v>681</v>
      </c>
      <c r="P185" s="186">
        <f t="shared" si="47"/>
        <v>140991.0199999999</v>
      </c>
      <c r="Q185" s="187">
        <f t="shared" si="47"/>
        <v>94925.95999999989</v>
      </c>
      <c r="R185" s="42">
        <f>IF(O185=0,0,J185/O185)</f>
        <v>0.76211453744493396</v>
      </c>
      <c r="S185" s="190">
        <f>L185-Q185</f>
        <v>-13083.819999999861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6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0.68460301083993302</v>
      </c>
      <c r="G186" s="194"/>
      <c r="H186" s="192"/>
      <c r="I186" s="43"/>
      <c r="J186" s="194"/>
      <c r="K186" s="443">
        <f>IF(J185=0,0,K185/J185)</f>
        <v>239.22764932562623</v>
      </c>
      <c r="L186" s="43">
        <f>IF(L185=0,0,L185/K185)</f>
        <v>0.6591712330504842</v>
      </c>
      <c r="M186" s="194"/>
      <c r="N186" s="193">
        <f>N185/F185</f>
        <v>-0.20735128420504792</v>
      </c>
      <c r="O186" s="194"/>
      <c r="P186" s="443">
        <f>IF(O185=0,0,P185/O185)</f>
        <v>207.03527165932437</v>
      </c>
      <c r="Q186" s="43">
        <f>Q185/P185</f>
        <v>0.67327663846959862</v>
      </c>
      <c r="R186" s="194"/>
      <c r="S186" s="44">
        <f>IF(R185=0,0,S185/R185)</f>
        <v>-17167.786936416003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6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6"/>
        <v>ServiceSous-traitement</v>
      </c>
      <c r="B188" s="11" t="s">
        <v>78</v>
      </c>
      <c r="C188" s="29" t="s">
        <v>89</v>
      </c>
      <c r="D188" s="82"/>
      <c r="E188" s="82">
        <v>5645.9567159259104</v>
      </c>
      <c r="F188" s="82">
        <v>965.45859842333073</v>
      </c>
      <c r="G188" s="60"/>
      <c r="H188" s="82"/>
      <c r="I188" s="82"/>
      <c r="J188" s="60"/>
      <c r="K188" s="30">
        <v>1414.9</v>
      </c>
      <c r="L188" s="33">
        <v>139.59000000000015</v>
      </c>
      <c r="M188" s="84">
        <f>IF(E188=0,0,(K188-E188)/E188)</f>
        <v>-0.74939588254212053</v>
      </c>
      <c r="N188" s="59">
        <f>L188-F188</f>
        <v>-825.86859842333058</v>
      </c>
      <c r="O188" s="60"/>
      <c r="P188" s="30">
        <v>5482.9</v>
      </c>
      <c r="Q188" s="33">
        <v>412.89999999999901</v>
      </c>
      <c r="R188" s="157">
        <f>IF(O188=0,0,J188/O188)</f>
        <v>0</v>
      </c>
      <c r="S188" s="85">
        <f>L188-Q188</f>
        <v>-273.30999999999887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6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0.17100000000000001</v>
      </c>
      <c r="G189" s="41"/>
      <c r="H189" s="144"/>
      <c r="I189" s="158"/>
      <c r="J189" s="175"/>
      <c r="K189" s="174"/>
      <c r="L189" s="158">
        <f>IF(L188=0,0,L188/K188)</f>
        <v>9.8657148915117773E-2</v>
      </c>
      <c r="M189" s="175"/>
      <c r="N189" s="176"/>
      <c r="O189" s="175"/>
      <c r="P189" s="174"/>
      <c r="Q189" s="158">
        <f>IFERROR(Q188/P188,0)</f>
        <v>7.5306863156358692E-2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>
      <c r="A190" t="str">
        <f t="shared" si="46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>
      <c r="A191" t="str">
        <f t="shared" si="46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>
      <c r="A192" t="str">
        <f t="shared" si="46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6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6"/>
        <v>ServiceTotal Mécanique</v>
      </c>
      <c r="B194" s="11" t="s">
        <v>78</v>
      </c>
      <c r="C194" s="62" t="s">
        <v>91</v>
      </c>
      <c r="D194" s="63"/>
      <c r="E194" s="63">
        <f>E185+E188+E191</f>
        <v>156465.42717063974</v>
      </c>
      <c r="F194" s="65">
        <f>F185+F188+F191</f>
        <v>104216.92216500473</v>
      </c>
      <c r="G194" s="66"/>
      <c r="H194" s="63"/>
      <c r="I194" s="65"/>
      <c r="J194" s="66"/>
      <c r="K194" s="63">
        <f>K185+K188+K191</f>
        <v>125574.05</v>
      </c>
      <c r="L194" s="65">
        <f>L185+L188+L191</f>
        <v>81981.730000000025</v>
      </c>
      <c r="M194" s="206">
        <f>L195-F195</f>
        <v>-1.3214302974683512E-2</v>
      </c>
      <c r="N194" s="65">
        <f>L194-F194</f>
        <v>-22235.192165004701</v>
      </c>
      <c r="O194" s="66"/>
      <c r="P194" s="63">
        <f t="shared" ref="P194:Q194" si="48">P185+P188+P191</f>
        <v>146473.9199999999</v>
      </c>
      <c r="Q194" s="65">
        <f t="shared" si="48"/>
        <v>95338.859999999884</v>
      </c>
      <c r="R194" s="206">
        <f>L195-Q195</f>
        <v>1.9625919799425295E-3</v>
      </c>
      <c r="S194" s="68">
        <f>L194-Q194</f>
        <v>-13357.129999999859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6"/>
        <v>Service</v>
      </c>
      <c r="B195" s="11" t="s">
        <v>78</v>
      </c>
      <c r="C195" s="69"/>
      <c r="D195" s="70"/>
      <c r="E195" s="70"/>
      <c r="F195" s="74">
        <f>F194/E194</f>
        <v>0.66606996861579348</v>
      </c>
      <c r="G195" s="72"/>
      <c r="H195" s="70"/>
      <c r="I195" s="74"/>
      <c r="J195" s="72"/>
      <c r="K195" s="70"/>
      <c r="L195" s="74">
        <f>L194/K194</f>
        <v>0.65285566564110997</v>
      </c>
      <c r="M195" s="73"/>
      <c r="N195" s="74">
        <f>N194/F194</f>
        <v>-0.21335491111318883</v>
      </c>
      <c r="O195" s="72"/>
      <c r="P195" s="70"/>
      <c r="Q195" s="74">
        <f>Q194/P194</f>
        <v>0.65089307366116744</v>
      </c>
      <c r="R195" s="73"/>
      <c r="S195" s="75">
        <f>L194/S194</f>
        <v>-6.137675533591489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6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82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6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6"/>
        <v>ServiceSalaires cadres</v>
      </c>
      <c r="B198" s="11" t="s">
        <v>78</v>
      </c>
      <c r="C198" s="102" t="s">
        <v>40</v>
      </c>
      <c r="D198" s="13"/>
      <c r="E198" s="13"/>
      <c r="F198" s="30">
        <v>9322.4953562340961</v>
      </c>
      <c r="G198" s="41"/>
      <c r="H198" s="13"/>
      <c r="I198" s="30"/>
      <c r="J198" s="41"/>
      <c r="K198" s="13"/>
      <c r="L198" s="33">
        <v>6087.28</v>
      </c>
      <c r="M198" s="41"/>
      <c r="N198" s="59">
        <f t="shared" ref="N198:N229" si="49">L198-F198</f>
        <v>-3235.2153562340964</v>
      </c>
      <c r="O198" s="41"/>
      <c r="P198" s="13"/>
      <c r="Q198" s="33">
        <v>3457.71</v>
      </c>
      <c r="R198" s="41"/>
      <c r="S198" s="85">
        <f t="shared" ref="S198:S228" si="50">L198-Q198</f>
        <v>2629.5699999999997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6"/>
        <v>ServiceSalaires commis</v>
      </c>
      <c r="B199" s="11" t="s">
        <v>78</v>
      </c>
      <c r="C199" s="103" t="s">
        <v>41</v>
      </c>
      <c r="D199" s="81"/>
      <c r="E199" s="13"/>
      <c r="F199" s="22">
        <v>4893.8631043257001</v>
      </c>
      <c r="G199" s="83"/>
      <c r="H199" s="13"/>
      <c r="I199" s="22"/>
      <c r="J199" s="41"/>
      <c r="K199" s="13"/>
      <c r="L199" s="33">
        <v>4698.12</v>
      </c>
      <c r="M199" s="41"/>
      <c r="N199" s="59">
        <f t="shared" si="49"/>
        <v>-195.74310432570019</v>
      </c>
      <c r="O199" s="41"/>
      <c r="P199" s="13"/>
      <c r="Q199" s="33">
        <v>5500.84</v>
      </c>
      <c r="R199" s="41"/>
      <c r="S199" s="85">
        <f t="shared" si="50"/>
        <v>-802.72000000000025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6"/>
        <v>ServiceSalaires autres</v>
      </c>
      <c r="B200" s="11" t="s">
        <v>78</v>
      </c>
      <c r="C200" s="102" t="s">
        <v>42</v>
      </c>
      <c r="D200" s="104"/>
      <c r="E200" s="105"/>
      <c r="F200" s="30">
        <v>4172.0687022900765</v>
      </c>
      <c r="G200" s="106"/>
      <c r="H200" s="105"/>
      <c r="I200" s="30"/>
      <c r="J200" s="107"/>
      <c r="K200" s="105"/>
      <c r="L200" s="108">
        <v>4219.9399999999996</v>
      </c>
      <c r="M200" s="107"/>
      <c r="N200" s="109">
        <f t="shared" si="49"/>
        <v>47.871297709923056</v>
      </c>
      <c r="O200" s="107"/>
      <c r="P200" s="105"/>
      <c r="Q200" s="108">
        <v>4513.8500000000004</v>
      </c>
      <c r="R200" s="107"/>
      <c r="S200" s="110">
        <f t="shared" si="50"/>
        <v>-293.91000000000076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6"/>
        <v>ServiceSalaires spécialistes</v>
      </c>
      <c r="B201" s="11" t="s">
        <v>78</v>
      </c>
      <c r="C201" s="102" t="s">
        <v>43</v>
      </c>
      <c r="D201" s="81"/>
      <c r="E201" s="13"/>
      <c r="F201" s="30">
        <v>13003.850331481193</v>
      </c>
      <c r="G201" s="83"/>
      <c r="H201" s="13"/>
      <c r="I201" s="30"/>
      <c r="J201" s="41"/>
      <c r="K201" s="13"/>
      <c r="L201" s="33">
        <v>14791.16</v>
      </c>
      <c r="M201" s="41"/>
      <c r="N201" s="59">
        <f t="shared" si="49"/>
        <v>1787.3096685188066</v>
      </c>
      <c r="O201" s="41"/>
      <c r="P201" s="13"/>
      <c r="Q201" s="33">
        <v>13109.7</v>
      </c>
      <c r="R201" s="41"/>
      <c r="S201" s="85">
        <f t="shared" si="50"/>
        <v>1681.4599999999991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6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9"/>
        <v>0</v>
      </c>
      <c r="O202" s="41"/>
      <c r="P202" s="13"/>
      <c r="Q202" s="33">
        <v>0</v>
      </c>
      <c r="R202" s="41"/>
      <c r="S202" s="85">
        <f t="shared" si="50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6"/>
        <v>ServiceSalaires en absences</v>
      </c>
      <c r="B205" s="11" t="s">
        <v>78</v>
      </c>
      <c r="C205" s="103" t="s">
        <v>44</v>
      </c>
      <c r="D205" s="81"/>
      <c r="E205" s="13"/>
      <c r="F205" s="30">
        <v>7219.1651592443795</v>
      </c>
      <c r="G205" s="83"/>
      <c r="H205" s="13"/>
      <c r="I205" s="30"/>
      <c r="J205" s="41"/>
      <c r="K205" s="13"/>
      <c r="L205" s="33">
        <v>6304.75</v>
      </c>
      <c r="M205" s="41"/>
      <c r="N205" s="59">
        <f t="shared" si="49"/>
        <v>-914.41515924437954</v>
      </c>
      <c r="O205" s="41"/>
      <c r="P205" s="13"/>
      <c r="Q205" s="33">
        <v>9353.8700000000008</v>
      </c>
      <c r="R205" s="41"/>
      <c r="S205" s="85">
        <f>L205-Q205</f>
        <v>-3049.1200000000008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6"/>
        <v>ServiceDéduction à la source</v>
      </c>
      <c r="B206" s="11" t="s">
        <v>78</v>
      </c>
      <c r="C206" s="102" t="s">
        <v>45</v>
      </c>
      <c r="D206" s="104"/>
      <c r="E206" s="105"/>
      <c r="F206" s="55">
        <v>9451.4247329159916</v>
      </c>
      <c r="G206" s="106"/>
      <c r="H206" s="105"/>
      <c r="I206" s="55"/>
      <c r="J206" s="107"/>
      <c r="K206" s="105"/>
      <c r="L206" s="108">
        <v>9477.68</v>
      </c>
      <c r="M206" s="107"/>
      <c r="N206" s="109">
        <f t="shared" si="49"/>
        <v>26.255267084008665</v>
      </c>
      <c r="O206" s="107"/>
      <c r="P206" s="105"/>
      <c r="Q206" s="108">
        <v>9543.23</v>
      </c>
      <c r="R206" s="107"/>
      <c r="S206" s="110">
        <f t="shared" ref="S206:S236" si="51">L206-Q206</f>
        <v>-65.549999999999272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6"/>
        <v>ServiceBénéfices marginaux</v>
      </c>
      <c r="B207" s="11" t="s">
        <v>78</v>
      </c>
      <c r="C207" s="102" t="s">
        <v>46</v>
      </c>
      <c r="D207" s="81"/>
      <c r="E207" s="13"/>
      <c r="F207" s="30">
        <v>4340.6543217836397</v>
      </c>
      <c r="G207" s="83"/>
      <c r="H207" s="13"/>
      <c r="I207" s="30"/>
      <c r="J207" s="41"/>
      <c r="K207" s="13"/>
      <c r="L207" s="33">
        <v>3595.46</v>
      </c>
      <c r="M207" s="41"/>
      <c r="N207" s="59">
        <f t="shared" si="49"/>
        <v>-745.19432178363968</v>
      </c>
      <c r="O207" s="41"/>
      <c r="P207" s="13"/>
      <c r="Q207" s="33">
        <v>4706.71</v>
      </c>
      <c r="R207" s="41"/>
      <c r="S207" s="85">
        <f t="shared" si="51"/>
        <v>-1111.25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6"/>
        <v>ServiceCsst</v>
      </c>
      <c r="B208" s="11" t="s">
        <v>78</v>
      </c>
      <c r="C208" s="102" t="s">
        <v>47</v>
      </c>
      <c r="D208" s="81"/>
      <c r="E208" s="13"/>
      <c r="F208" s="30">
        <v>980.14775008017682</v>
      </c>
      <c r="G208" s="83"/>
      <c r="H208" s="13"/>
      <c r="I208" s="30"/>
      <c r="J208" s="41"/>
      <c r="K208" s="13"/>
      <c r="L208" s="33">
        <v>1114.99</v>
      </c>
      <c r="M208" s="483"/>
      <c r="N208" s="146">
        <f t="shared" si="49"/>
        <v>134.84224991982319</v>
      </c>
      <c r="O208" s="483"/>
      <c r="P208" s="484"/>
      <c r="Q208" s="22">
        <v>1007.75</v>
      </c>
      <c r="R208" s="483"/>
      <c r="S208" s="485">
        <f t="shared" si="51"/>
        <v>107.24000000000001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6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9"/>
        <v>0</v>
      </c>
      <c r="O209" s="23"/>
      <c r="P209" s="111"/>
      <c r="Q209" s="33">
        <v>0</v>
      </c>
      <c r="R209" s="23"/>
      <c r="S209" s="92">
        <f t="shared" si="51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6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0.5122360970690909</v>
      </c>
      <c r="F210" s="96">
        <f>+SUM(F198:F209)</f>
        <v>53383.669458355253</v>
      </c>
      <c r="G210" s="97"/>
      <c r="H210" s="95"/>
      <c r="I210" s="96"/>
      <c r="J210" s="97" t="s">
        <v>92</v>
      </c>
      <c r="K210" s="95">
        <f>L210/L$194</f>
        <v>0.6134217953195179</v>
      </c>
      <c r="L210" s="96">
        <f>+SUM(L198:L209)</f>
        <v>50289.38</v>
      </c>
      <c r="M210" s="147"/>
      <c r="N210" s="113">
        <f t="shared" si="49"/>
        <v>-3094.2894583552552</v>
      </c>
      <c r="O210" s="97" t="s">
        <v>92</v>
      </c>
      <c r="P210" s="95">
        <f>Q210/Q$194</f>
        <v>0.53696530459877601</v>
      </c>
      <c r="Q210" s="96">
        <f>+SUM(Q198:Q209)</f>
        <v>51193.659999999996</v>
      </c>
      <c r="R210" s="147"/>
      <c r="S210" s="114">
        <f t="shared" si="51"/>
        <v>-904.27999999999884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6"/>
        <v>ServicePublicité 2</v>
      </c>
      <c r="B211" s="11" t="s">
        <v>78</v>
      </c>
      <c r="C211" s="29" t="s">
        <v>49</v>
      </c>
      <c r="D211" s="81"/>
      <c r="E211" s="13"/>
      <c r="F211" s="30">
        <v>4222.9250664275323</v>
      </c>
      <c r="G211" s="83"/>
      <c r="H211" s="13"/>
      <c r="I211" s="30"/>
      <c r="J211" s="41"/>
      <c r="K211" s="13"/>
      <c r="L211" s="33">
        <v>4098.54</v>
      </c>
      <c r="M211" s="41"/>
      <c r="N211" s="59">
        <f t="shared" si="49"/>
        <v>-124.38506642753237</v>
      </c>
      <c r="O211" s="41"/>
      <c r="P211" s="13"/>
      <c r="Q211" s="33">
        <v>4112.59</v>
      </c>
      <c r="R211" s="41"/>
      <c r="S211" s="85">
        <f t="shared" si="51"/>
        <v>-14.050000000000182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6"/>
        <v>ServiceService gratuit 2</v>
      </c>
      <c r="B212" s="11" t="s">
        <v>78</v>
      </c>
      <c r="C212" s="29" t="s">
        <v>50</v>
      </c>
      <c r="D212" s="81"/>
      <c r="E212" s="13"/>
      <c r="F212" s="30">
        <v>3700</v>
      </c>
      <c r="G212" s="83"/>
      <c r="H212" s="13"/>
      <c r="I212" s="30"/>
      <c r="J212" s="41"/>
      <c r="K212" s="13"/>
      <c r="L212" s="33">
        <v>2633</v>
      </c>
      <c r="M212" s="41"/>
      <c r="N212" s="59">
        <f t="shared" si="49"/>
        <v>-1067</v>
      </c>
      <c r="O212" s="41"/>
      <c r="P212" s="13"/>
      <c r="Q212" s="33">
        <v>6830.2999999999902</v>
      </c>
      <c r="R212" s="41"/>
      <c r="S212" s="85">
        <f t="shared" si="51"/>
        <v>-4197.2999999999902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6"/>
        <v>ServiceFrais véhicules de cie</v>
      </c>
      <c r="B213" s="11" t="s">
        <v>78</v>
      </c>
      <c r="C213" s="86" t="s">
        <v>51</v>
      </c>
      <c r="D213" s="87"/>
      <c r="E213" s="111"/>
      <c r="F213" s="22">
        <v>4822.7083333333339</v>
      </c>
      <c r="G213" s="89"/>
      <c r="H213" s="111"/>
      <c r="I213" s="22"/>
      <c r="J213" s="23"/>
      <c r="K213" s="111"/>
      <c r="L213" s="33">
        <v>5432.3600000000006</v>
      </c>
      <c r="M213" s="23"/>
      <c r="N213" s="91">
        <f t="shared" si="49"/>
        <v>609.65166666666664</v>
      </c>
      <c r="O213" s="23"/>
      <c r="P213" s="111"/>
      <c r="Q213" s="33">
        <v>4878.18</v>
      </c>
      <c r="R213" s="23"/>
      <c r="S213" s="92">
        <f t="shared" si="51"/>
        <v>554.18000000000029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6"/>
        <v>ServiceInformatique</v>
      </c>
      <c r="B214" s="11" t="s">
        <v>78</v>
      </c>
      <c r="C214" s="29" t="s">
        <v>52</v>
      </c>
      <c r="D214" s="81"/>
      <c r="E214" s="13"/>
      <c r="F214" s="30">
        <v>5527.0249999999996</v>
      </c>
      <c r="G214" s="83"/>
      <c r="H214" s="13"/>
      <c r="I214" s="30"/>
      <c r="J214" s="41"/>
      <c r="K214" s="13"/>
      <c r="L214" s="108">
        <v>5512.51</v>
      </c>
      <c r="M214" s="41"/>
      <c r="N214" s="59">
        <f t="shared" si="49"/>
        <v>-14.514999999999418</v>
      </c>
      <c r="O214" s="41"/>
      <c r="P214" s="13"/>
      <c r="Q214" s="108">
        <v>5347.36</v>
      </c>
      <c r="R214" s="41"/>
      <c r="S214" s="85">
        <f t="shared" si="51"/>
        <v>165.15000000000055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6"/>
        <v>ServiceFrais de déplacement</v>
      </c>
      <c r="B215" s="11" t="s">
        <v>78</v>
      </c>
      <c r="C215" s="29" t="s">
        <v>53</v>
      </c>
      <c r="D215" s="81"/>
      <c r="E215" s="13"/>
      <c r="F215" s="30">
        <v>411.3</v>
      </c>
      <c r="G215" s="83"/>
      <c r="H215" s="13"/>
      <c r="I215" s="30"/>
      <c r="J215" s="41"/>
      <c r="K215" s="13"/>
      <c r="L215" s="33">
        <v>240.52</v>
      </c>
      <c r="M215" s="41"/>
      <c r="N215" s="59">
        <f t="shared" si="49"/>
        <v>-170.78</v>
      </c>
      <c r="O215" s="41"/>
      <c r="P215" s="13"/>
      <c r="Q215" s="33">
        <v>304.13</v>
      </c>
      <c r="R215" s="41"/>
      <c r="S215" s="85">
        <f t="shared" si="51"/>
        <v>-63.609999999999985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6"/>
        <v>ServiceServices extérieurs</v>
      </c>
      <c r="B216" s="11" t="s">
        <v>78</v>
      </c>
      <c r="C216" s="86" t="s">
        <v>54</v>
      </c>
      <c r="D216" s="87"/>
      <c r="E216" s="111"/>
      <c r="F216" s="22">
        <v>5452.2250000000004</v>
      </c>
      <c r="G216" s="89"/>
      <c r="H216" s="111"/>
      <c r="I216" s="22"/>
      <c r="J216" s="23"/>
      <c r="K216" s="111"/>
      <c r="L216" s="33">
        <v>7189.94</v>
      </c>
      <c r="M216" s="23"/>
      <c r="N216" s="91">
        <f t="shared" si="49"/>
        <v>1737.7149999999992</v>
      </c>
      <c r="O216" s="23"/>
      <c r="P216" s="111"/>
      <c r="Q216" s="33">
        <v>5721.96</v>
      </c>
      <c r="R216" s="23"/>
      <c r="S216" s="92">
        <f t="shared" si="51"/>
        <v>1467.9799999999996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108">
        <v>0</v>
      </c>
      <c r="M217" s="41"/>
      <c r="N217" s="59">
        <f t="shared" si="49"/>
        <v>0</v>
      </c>
      <c r="O217" s="41"/>
      <c r="P217" s="13"/>
      <c r="Q217" s="108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75" si="52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1231.3253012048192</v>
      </c>
      <c r="G218" s="83"/>
      <c r="H218" s="13"/>
      <c r="I218" s="30"/>
      <c r="J218" s="41"/>
      <c r="K218" s="13"/>
      <c r="L218" s="33">
        <v>765.73</v>
      </c>
      <c r="M218" s="41"/>
      <c r="N218" s="59">
        <f t="shared" si="49"/>
        <v>-465.59530120481918</v>
      </c>
      <c r="O218" s="41"/>
      <c r="P218" s="13"/>
      <c r="Q218" s="33">
        <v>978.18</v>
      </c>
      <c r="R218" s="41"/>
      <c r="S218" s="85">
        <f t="shared" ref="S218:S248" si="53">L218-Q218</f>
        <v>-212.44999999999993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2"/>
        <v>ServiceUniformes</v>
      </c>
      <c r="B219" s="11" t="s">
        <v>78</v>
      </c>
      <c r="C219" s="29" t="s">
        <v>56</v>
      </c>
      <c r="D219" s="81"/>
      <c r="E219" s="13"/>
      <c r="F219" s="30">
        <v>950</v>
      </c>
      <c r="G219" s="83"/>
      <c r="H219" s="13"/>
      <c r="I219" s="30"/>
      <c r="J219" s="41"/>
      <c r="K219" s="13"/>
      <c r="L219" s="33">
        <v>1192.3800000000001</v>
      </c>
      <c r="M219" s="41"/>
      <c r="N219" s="59">
        <f t="shared" si="49"/>
        <v>242.38000000000011</v>
      </c>
      <c r="O219" s="41"/>
      <c r="P219" s="13"/>
      <c r="Q219" s="33">
        <v>747.98</v>
      </c>
      <c r="R219" s="41"/>
      <c r="S219" s="85">
        <f t="shared" si="53"/>
        <v>444.40000000000009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2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251.4</v>
      </c>
      <c r="M220" s="41"/>
      <c r="N220" s="59">
        <f t="shared" si="49"/>
        <v>-142.35</v>
      </c>
      <c r="O220" s="41"/>
      <c r="P220" s="13"/>
      <c r="Q220" s="32">
        <v>449.03</v>
      </c>
      <c r="R220" s="41"/>
      <c r="S220" s="85">
        <f t="shared" si="53"/>
        <v>-197.62999999999997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2"/>
        <v>ServiceTéléphone</v>
      </c>
      <c r="B221" s="11" t="s">
        <v>78</v>
      </c>
      <c r="C221" s="29" t="s">
        <v>58</v>
      </c>
      <c r="D221" s="81"/>
      <c r="E221" s="13"/>
      <c r="F221" s="30">
        <v>111.2</v>
      </c>
      <c r="G221" s="83"/>
      <c r="H221" s="13"/>
      <c r="I221" s="30"/>
      <c r="J221" s="41"/>
      <c r="K221" s="13"/>
      <c r="L221" s="33">
        <v>166.04</v>
      </c>
      <c r="M221" s="41"/>
      <c r="N221" s="59">
        <f t="shared" si="49"/>
        <v>54.839999999999989</v>
      </c>
      <c r="O221" s="41"/>
      <c r="P221" s="13"/>
      <c r="Q221" s="33">
        <v>70.900000000000006</v>
      </c>
      <c r="R221" s="41"/>
      <c r="S221" s="85">
        <f t="shared" si="53"/>
        <v>95.139999999999986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2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101.88</v>
      </c>
      <c r="M222" s="41"/>
      <c r="N222" s="59">
        <f t="shared" si="49"/>
        <v>-10.620000000000005</v>
      </c>
      <c r="O222" s="41"/>
      <c r="P222" s="13"/>
      <c r="Q222" s="33">
        <v>122.95</v>
      </c>
      <c r="R222" s="41"/>
      <c r="S222" s="85">
        <f t="shared" si="53"/>
        <v>-21.070000000000007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2"/>
        <v>ServiceDivers</v>
      </c>
      <c r="B223" s="11" t="s">
        <v>78</v>
      </c>
      <c r="C223" s="29" t="s">
        <v>60</v>
      </c>
      <c r="D223" s="81"/>
      <c r="E223" s="13"/>
      <c r="F223" s="30">
        <v>418.05</v>
      </c>
      <c r="G223" s="83"/>
      <c r="H223" s="13"/>
      <c r="I223" s="30"/>
      <c r="J223" s="41"/>
      <c r="K223" s="13"/>
      <c r="L223" s="33">
        <v>325.36</v>
      </c>
      <c r="M223" s="41"/>
      <c r="N223" s="59">
        <f t="shared" si="49"/>
        <v>-92.69</v>
      </c>
      <c r="O223" s="41"/>
      <c r="P223" s="13"/>
      <c r="Q223" s="33">
        <v>329.42</v>
      </c>
      <c r="R223" s="41"/>
      <c r="S223" s="85">
        <f t="shared" si="53"/>
        <v>-4.0600000000000023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2"/>
        <v>ServiceFormation</v>
      </c>
      <c r="B224" s="11" t="s">
        <v>78</v>
      </c>
      <c r="C224" s="29" t="s">
        <v>61</v>
      </c>
      <c r="D224" s="81"/>
      <c r="E224" s="13"/>
      <c r="F224" s="30">
        <v>1728.5819066666668</v>
      </c>
      <c r="G224" s="83"/>
      <c r="H224" s="13"/>
      <c r="I224" s="30"/>
      <c r="J224" s="41"/>
      <c r="K224" s="13"/>
      <c r="L224" s="33">
        <v>1291.02</v>
      </c>
      <c r="M224" s="41"/>
      <c r="N224" s="59">
        <f t="shared" si="49"/>
        <v>-437.5619066666668</v>
      </c>
      <c r="O224" s="41"/>
      <c r="P224" s="13"/>
      <c r="Q224" s="33">
        <v>643.6</v>
      </c>
      <c r="R224" s="41"/>
      <c r="S224" s="85">
        <f t="shared" si="53"/>
        <v>647.41999999999996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2"/>
        <v>ServiceFrais bancaires</v>
      </c>
      <c r="B225" s="11" t="s">
        <v>78</v>
      </c>
      <c r="C225" s="29" t="s">
        <v>62</v>
      </c>
      <c r="D225" s="81"/>
      <c r="E225" s="13"/>
      <c r="F225" s="30">
        <v>1391.0405093684756</v>
      </c>
      <c r="G225" s="83"/>
      <c r="H225" s="13"/>
      <c r="I225" s="30"/>
      <c r="J225" s="41"/>
      <c r="K225" s="13"/>
      <c r="L225" s="33">
        <v>1230.82</v>
      </c>
      <c r="M225" s="41"/>
      <c r="N225" s="59">
        <f t="shared" si="49"/>
        <v>-160.22050936847563</v>
      </c>
      <c r="O225" s="41"/>
      <c r="P225" s="13"/>
      <c r="Q225" s="33">
        <v>1560.97</v>
      </c>
      <c r="R225" s="41"/>
      <c r="S225" s="85">
        <f t="shared" si="53"/>
        <v>-330.15000000000009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2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9"/>
        <v>0</v>
      </c>
      <c r="O226" s="41"/>
      <c r="P226" s="13"/>
      <c r="Q226" s="33">
        <v>0</v>
      </c>
      <c r="R226" s="41"/>
      <c r="S226" s="85">
        <f t="shared" si="53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:A285" si="54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 t="shared" ref="S228:S258" si="55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0.29239619136663886</v>
      </c>
      <c r="F229" s="96">
        <f>+SUM(F211:F228)</f>
        <v>30472.63111700083</v>
      </c>
      <c r="G229" s="97"/>
      <c r="H229" s="95"/>
      <c r="I229" s="96"/>
      <c r="J229" s="97" t="s">
        <v>92</v>
      </c>
      <c r="K229" s="95">
        <f>L229/L$194</f>
        <v>0.37119855850809685</v>
      </c>
      <c r="L229" s="96">
        <f>+SUM(L211:L228)</f>
        <v>30431.500000000007</v>
      </c>
      <c r="M229" s="100"/>
      <c r="N229" s="96">
        <f t="shared" si="49"/>
        <v>-41.131117000822996</v>
      </c>
      <c r="O229" s="97" t="s">
        <v>92</v>
      </c>
      <c r="P229" s="95">
        <f>Q229/Q$194</f>
        <v>0.33666807008181165</v>
      </c>
      <c r="Q229" s="96">
        <f>+SUM(Q211:Q228)</f>
        <v>32097.549999999988</v>
      </c>
      <c r="R229" s="100"/>
      <c r="S229" s="101">
        <f>L229-Q229</f>
        <v>-1666.0499999999811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0.80463228843572987</v>
      </c>
      <c r="F231" s="96">
        <f>F210+F229</f>
        <v>83856.300575356086</v>
      </c>
      <c r="G231" s="97"/>
      <c r="H231" s="95"/>
      <c r="I231" s="96"/>
      <c r="J231" s="97" t="s">
        <v>38</v>
      </c>
      <c r="K231" s="95">
        <f>L231/L$194</f>
        <v>0.98462035382761481</v>
      </c>
      <c r="L231" s="96">
        <f>L210+L229</f>
        <v>80720.88</v>
      </c>
      <c r="M231" s="100"/>
      <c r="N231" s="113">
        <f>L231-F231</f>
        <v>-3135.4205753560818</v>
      </c>
      <c r="O231" s="97" t="s">
        <v>38</v>
      </c>
      <c r="P231" s="95">
        <f>Q231/Q$194</f>
        <v>0.87363337468058766</v>
      </c>
      <c r="Q231" s="96">
        <f>Q210+Q229</f>
        <v>83291.209999999992</v>
      </c>
      <c r="R231" s="100"/>
      <c r="S231" s="114">
        <f>L231-Q231</f>
        <v>-2570.3299999999872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20360.621589648639</v>
      </c>
      <c r="G233" s="153"/>
      <c r="H233" s="125"/>
      <c r="I233" s="127"/>
      <c r="J233" s="154"/>
      <c r="K233" s="126"/>
      <c r="L233" s="127">
        <f>L194-L231</f>
        <v>1260.8500000000204</v>
      </c>
      <c r="M233" s="154"/>
      <c r="N233" s="127">
        <f>L233-F233</f>
        <v>-19099.771589648619</v>
      </c>
      <c r="O233" s="154"/>
      <c r="P233" s="126"/>
      <c r="Q233" s="127">
        <f>Q194-Q231</f>
        <v>12047.649999999892</v>
      </c>
      <c r="R233" s="154"/>
      <c r="S233" s="129">
        <f>L233-Q233</f>
        <v>-10786.799999999872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Juin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63" t="s">
        <v>5</v>
      </c>
      <c r="E238" s="464"/>
      <c r="F238" s="465"/>
      <c r="G238" s="466"/>
      <c r="H238" s="464"/>
      <c r="I238" s="465"/>
      <c r="J238" s="466" t="s">
        <v>7</v>
      </c>
      <c r="K238" s="464"/>
      <c r="L238" s="465"/>
      <c r="M238" s="466" t="s">
        <v>213</v>
      </c>
      <c r="N238" s="465"/>
      <c r="O238" s="463" t="s">
        <v>8</v>
      </c>
      <c r="P238" s="464"/>
      <c r="Q238" s="465"/>
      <c r="R238" s="470" t="s">
        <v>214</v>
      </c>
      <c r="S238" s="471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56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219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6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6"/>
        <v>CarrosserieM/O Sous-traitement</v>
      </c>
      <c r="B241" s="11" t="s">
        <v>94</v>
      </c>
      <c r="C241" s="29" t="s">
        <v>95</v>
      </c>
      <c r="D241" s="80">
        <v>0</v>
      </c>
      <c r="E241" s="82">
        <v>3431.1793248406088</v>
      </c>
      <c r="F241" s="82">
        <v>617.61227847130954</v>
      </c>
      <c r="G241" s="156"/>
      <c r="H241" s="82"/>
      <c r="I241" s="82"/>
      <c r="J241" s="60">
        <v>5</v>
      </c>
      <c r="K241" s="30">
        <v>1103.3</v>
      </c>
      <c r="L241" s="33">
        <v>167.96999999999991</v>
      </c>
      <c r="M241" s="157">
        <f>IFERROR((K241-E241)/E241,0)</f>
        <v>-0.67844875025549645</v>
      </c>
      <c r="N241" s="59">
        <f>L241-F241</f>
        <v>-449.64227847130962</v>
      </c>
      <c r="O241" s="60">
        <v>7</v>
      </c>
      <c r="P241" s="30">
        <v>1269.33</v>
      </c>
      <c r="Q241" s="33">
        <v>224.32999999999899</v>
      </c>
      <c r="R241" s="157">
        <f>IF(O241=0,0,J241/O241)</f>
        <v>0.7142857142857143</v>
      </c>
      <c r="S241" s="85">
        <f>L241-Q241</f>
        <v>-56.359999999999076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6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/>
      <c r="J242" s="60"/>
      <c r="K242" s="13"/>
      <c r="L242" s="158">
        <f>IFERROR(L241/K241,0)</f>
        <v>0.15224327018943162</v>
      </c>
      <c r="M242" s="157"/>
      <c r="N242" s="486">
        <f>IFERROR(N241/M241,0)</f>
        <v>662.75054424078337</v>
      </c>
      <c r="O242" s="60"/>
      <c r="P242" s="13"/>
      <c r="Q242" s="158">
        <f>IFERROR(Q241/P241,0)</f>
        <v>0.17673103133148904</v>
      </c>
      <c r="R242" s="60"/>
      <c r="S242" s="85">
        <f>IFERROR(S241/R241,0)</f>
        <v>-78.903999999998703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6"/>
        <v>Carrosserie</v>
      </c>
      <c r="B243" s="11" t="s">
        <v>94</v>
      </c>
      <c r="C243" s="29"/>
      <c r="D243" s="80"/>
      <c r="E243" s="207"/>
      <c r="F243" s="487"/>
      <c r="G243" s="135"/>
      <c r="H243" s="207"/>
      <c r="I243" s="487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6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6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6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6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6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6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6"/>
        <v>CarrosserieTotal Mécanique</v>
      </c>
      <c r="B250" s="11" t="s">
        <v>94</v>
      </c>
      <c r="C250" s="62" t="s">
        <v>91</v>
      </c>
      <c r="D250" s="63"/>
      <c r="E250" s="63">
        <f>E244+E247+E241</f>
        <v>3431.1793248406088</v>
      </c>
      <c r="F250" s="65">
        <f>F244+F247+F241</f>
        <v>617.61227847130954</v>
      </c>
      <c r="G250" s="66"/>
      <c r="H250" s="63"/>
      <c r="I250" s="65"/>
      <c r="J250" s="66"/>
      <c r="K250" s="63">
        <f>K244+K247+K241</f>
        <v>1103.3</v>
      </c>
      <c r="L250" s="65">
        <f>L244+L247+L241</f>
        <v>167.96999999999991</v>
      </c>
      <c r="M250" s="206">
        <f>L251-F251</f>
        <v>-2.775672981056837E-2</v>
      </c>
      <c r="N250" s="65">
        <f>L250-F250</f>
        <v>-449.64227847130962</v>
      </c>
      <c r="O250" s="66"/>
      <c r="P250" s="63">
        <f t="shared" ref="P250:Q250" si="57">P244+P247+P241</f>
        <v>1269.33</v>
      </c>
      <c r="Q250" s="65">
        <f t="shared" si="57"/>
        <v>224.32999999999899</v>
      </c>
      <c r="R250" s="206">
        <f>L251-Q251</f>
        <v>-2.4487761142057418E-2</v>
      </c>
      <c r="S250" s="68">
        <f>L250-Q250</f>
        <v>-56.359999999999076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6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/>
      <c r="J251" s="72"/>
      <c r="K251" s="70"/>
      <c r="L251" s="74">
        <f>IF(K250=0,0,L250/K250)</f>
        <v>0.15224327018943162</v>
      </c>
      <c r="M251" s="73"/>
      <c r="N251" s="74">
        <f>N250/F250</f>
        <v>-0.72803325669665619</v>
      </c>
      <c r="O251" s="72"/>
      <c r="P251" s="70"/>
      <c r="Q251" s="74">
        <f>Q250/P250</f>
        <v>0.17673103133148904</v>
      </c>
      <c r="R251" s="73"/>
      <c r="S251" s="75">
        <f>IF(R250=0,0,S250/R250)</f>
        <v>2301.557895515466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6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6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6"/>
        <v>CarrosserieSalaires cadres</v>
      </c>
      <c r="B254" s="11" t="s">
        <v>94</v>
      </c>
      <c r="C254" s="102" t="s">
        <v>40</v>
      </c>
      <c r="D254" s="13"/>
      <c r="E254" s="13"/>
      <c r="F254" s="30">
        <v>304.27500000000003</v>
      </c>
      <c r="G254" s="41"/>
      <c r="H254" s="13"/>
      <c r="I254" s="30"/>
      <c r="J254" s="41"/>
      <c r="K254" s="13"/>
      <c r="L254" s="33">
        <v>304.27</v>
      </c>
      <c r="M254" s="41"/>
      <c r="N254" s="59">
        <f t="shared" ref="N254:N284" si="58">L254-F254</f>
        <v>-5.0000000000522959E-3</v>
      </c>
      <c r="O254" s="41"/>
      <c r="P254" s="13"/>
      <c r="Q254" s="33">
        <v>304.27</v>
      </c>
      <c r="R254" s="41"/>
      <c r="S254" s="85">
        <f t="shared" ref="S254:S265" si="59"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6"/>
        <v>CarrosserieSalaires commis</v>
      </c>
      <c r="B255" s="11" t="s">
        <v>94</v>
      </c>
      <c r="C255" s="103" t="s">
        <v>41</v>
      </c>
      <c r="D255" s="81"/>
      <c r="E255" s="13"/>
      <c r="F255" s="22">
        <v>327.08664122137407</v>
      </c>
      <c r="G255" s="83"/>
      <c r="H255" s="13"/>
      <c r="I255" s="22"/>
      <c r="J255" s="41"/>
      <c r="K255" s="13"/>
      <c r="L255" s="33">
        <v>340.43</v>
      </c>
      <c r="M255" s="41"/>
      <c r="N255" s="59">
        <f t="shared" si="58"/>
        <v>13.343358778625941</v>
      </c>
      <c r="O255" s="41"/>
      <c r="P255" s="13"/>
      <c r="Q255" s="33">
        <v>362.53</v>
      </c>
      <c r="R255" s="41"/>
      <c r="S255" s="85">
        <f>L255-Q255</f>
        <v>-22.099999999999966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6"/>
        <v>CarrosserieSalaires autres</v>
      </c>
      <c r="B256" s="11" t="s">
        <v>94</v>
      </c>
      <c r="C256" s="102" t="s">
        <v>42</v>
      </c>
      <c r="D256" s="104"/>
      <c r="E256" s="105"/>
      <c r="F256" s="30">
        <v>19</v>
      </c>
      <c r="G256" s="106"/>
      <c r="H256" s="105"/>
      <c r="I256" s="30"/>
      <c r="J256" s="107"/>
      <c r="K256" s="105"/>
      <c r="L256" s="108">
        <v>19</v>
      </c>
      <c r="M256" s="107"/>
      <c r="N256" s="109">
        <f t="shared" si="58"/>
        <v>0</v>
      </c>
      <c r="O256" s="107"/>
      <c r="P256" s="105"/>
      <c r="Q256" s="108">
        <v>19</v>
      </c>
      <c r="R256" s="107"/>
      <c r="S256" s="110">
        <f t="shared" ref="S256:S272" si="60">L256-Q256</f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6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8"/>
        <v>0</v>
      </c>
      <c r="O257" s="41"/>
      <c r="P257" s="13"/>
      <c r="Q257" s="33">
        <v>0</v>
      </c>
      <c r="R257" s="41"/>
      <c r="S257" s="85">
        <f t="shared" si="60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6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6"/>
        <v>CarrosserieSalaires en absences</v>
      </c>
      <c r="B261" s="11" t="s">
        <v>94</v>
      </c>
      <c r="C261" s="103" t="s">
        <v>44</v>
      </c>
      <c r="D261" s="81"/>
      <c r="E261" s="13"/>
      <c r="F261" s="22">
        <v>103.42282031402918</v>
      </c>
      <c r="G261" s="83"/>
      <c r="H261" s="13"/>
      <c r="I261" s="22"/>
      <c r="J261" s="41"/>
      <c r="K261" s="13"/>
      <c r="L261" s="33">
        <v>78.34</v>
      </c>
      <c r="M261" s="41"/>
      <c r="N261" s="59">
        <f t="shared" si="58"/>
        <v>-25.082820314029178</v>
      </c>
      <c r="O261" s="41"/>
      <c r="P261" s="13"/>
      <c r="Q261" s="33">
        <v>45.68</v>
      </c>
      <c r="R261" s="41"/>
      <c r="S261" s="85">
        <f t="shared" si="60"/>
        <v>32.660000000000004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6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135.40249880725193</v>
      </c>
      <c r="G262" s="106"/>
      <c r="H262" s="105"/>
      <c r="I262" s="30"/>
      <c r="J262" s="107"/>
      <c r="K262" s="105"/>
      <c r="L262" s="108">
        <v>213.89</v>
      </c>
      <c r="M262" s="107"/>
      <c r="N262" s="109">
        <f t="shared" si="58"/>
        <v>78.487501192748056</v>
      </c>
      <c r="O262" s="107"/>
      <c r="P262" s="105"/>
      <c r="Q262" s="108">
        <v>216.04</v>
      </c>
      <c r="R262" s="107"/>
      <c r="S262" s="110">
        <f t="shared" si="60"/>
        <v>-2.1500000000000057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6"/>
        <v>CarrosserieBénéfices marginaux</v>
      </c>
      <c r="B263" s="11" t="s">
        <v>94</v>
      </c>
      <c r="C263" s="102" t="s">
        <v>46</v>
      </c>
      <c r="D263" s="81"/>
      <c r="E263" s="13"/>
      <c r="F263" s="30">
        <v>62.184851304071252</v>
      </c>
      <c r="G263" s="83"/>
      <c r="H263" s="13"/>
      <c r="I263" s="30"/>
      <c r="J263" s="41"/>
      <c r="K263" s="13"/>
      <c r="L263" s="33">
        <v>3.82</v>
      </c>
      <c r="M263" s="41"/>
      <c r="N263" s="59">
        <f t="shared" si="58"/>
        <v>-58.364851304071252</v>
      </c>
      <c r="O263" s="41"/>
      <c r="P263" s="13"/>
      <c r="Q263" s="33">
        <v>40.57</v>
      </c>
      <c r="R263" s="41"/>
      <c r="S263" s="85">
        <f t="shared" si="60"/>
        <v>-36.75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6"/>
        <v>CarrosserieCsst</v>
      </c>
      <c r="B264" s="11" t="s">
        <v>94</v>
      </c>
      <c r="C264" s="102" t="s">
        <v>47</v>
      </c>
      <c r="D264" s="81"/>
      <c r="E264" s="13"/>
      <c r="F264" s="30">
        <v>14.041740617048347</v>
      </c>
      <c r="G264" s="83"/>
      <c r="H264" s="13"/>
      <c r="I264" s="30"/>
      <c r="J264" s="41"/>
      <c r="K264" s="13"/>
      <c r="L264" s="33">
        <v>4.3600000000000003</v>
      </c>
      <c r="M264" s="483"/>
      <c r="N264" s="146">
        <f t="shared" si="58"/>
        <v>-9.681740617048348</v>
      </c>
      <c r="O264" s="41"/>
      <c r="P264" s="13"/>
      <c r="Q264" s="33">
        <v>4.07</v>
      </c>
      <c r="R264" s="41"/>
      <c r="S264" s="85">
        <f t="shared" si="60"/>
        <v>0.29000000000000004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6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8"/>
        <v>0</v>
      </c>
      <c r="O265" s="23"/>
      <c r="P265" s="111"/>
      <c r="Q265" s="33">
        <v>0</v>
      </c>
      <c r="R265" s="23"/>
      <c r="S265" s="92">
        <f t="shared" si="60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6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965.41355226377493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964.11000000000013</v>
      </c>
      <c r="M266" s="147"/>
      <c r="N266" s="113">
        <f t="shared" si="58"/>
        <v>-1.3035522637748045</v>
      </c>
      <c r="O266" s="97" t="s">
        <v>38</v>
      </c>
      <c r="P266" s="95">
        <f>IF(Q244=0,0,Q266/Q$244)</f>
        <v>0</v>
      </c>
      <c r="Q266" s="96">
        <f>+SUM(Q254:Q265)</f>
        <v>992.16</v>
      </c>
      <c r="R266" s="147"/>
      <c r="S266" s="114">
        <f t="shared" si="60"/>
        <v>-28.049999999999841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6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37.5</v>
      </c>
      <c r="M267" s="41"/>
      <c r="N267" s="59">
        <f t="shared" si="58"/>
        <v>37.5</v>
      </c>
      <c r="O267" s="41"/>
      <c r="P267" s="13"/>
      <c r="Q267" s="33">
        <v>0</v>
      </c>
      <c r="R267" s="41"/>
      <c r="S267" s="85">
        <f t="shared" si="60"/>
        <v>37.5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6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8.15</v>
      </c>
      <c r="M268" s="41"/>
      <c r="N268" s="59">
        <f t="shared" si="58"/>
        <v>8.15</v>
      </c>
      <c r="O268" s="41"/>
      <c r="P268" s="13"/>
      <c r="Q268" s="33">
        <v>0</v>
      </c>
      <c r="R268" s="41"/>
      <c r="S268" s="85">
        <f t="shared" si="60"/>
        <v>8.15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6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119.375</v>
      </c>
      <c r="G269" s="89"/>
      <c r="H269" s="111"/>
      <c r="I269" s="22"/>
      <c r="J269" s="23"/>
      <c r="K269" s="111"/>
      <c r="L269" s="33">
        <v>169.54</v>
      </c>
      <c r="M269" s="23"/>
      <c r="N269" s="91">
        <f t="shared" si="58"/>
        <v>50.164999999999992</v>
      </c>
      <c r="O269" s="23"/>
      <c r="P269" s="111"/>
      <c r="Q269" s="33">
        <v>161.94999999999999</v>
      </c>
      <c r="R269" s="23"/>
      <c r="S269" s="92">
        <f t="shared" si="60"/>
        <v>7.5900000000000034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6"/>
        <v>CarrosserieInformatique</v>
      </c>
      <c r="B270" s="11" t="s">
        <v>94</v>
      </c>
      <c r="C270" s="102" t="s">
        <v>52</v>
      </c>
      <c r="D270" s="81"/>
      <c r="E270" s="13"/>
      <c r="F270" s="30">
        <v>239.22500000000002</v>
      </c>
      <c r="G270" s="83"/>
      <c r="H270" s="13"/>
      <c r="I270" s="30"/>
      <c r="J270" s="41"/>
      <c r="K270" s="13"/>
      <c r="L270" s="108">
        <v>213.65</v>
      </c>
      <c r="M270" s="41"/>
      <c r="N270" s="59">
        <f t="shared" si="58"/>
        <v>-25.575000000000017</v>
      </c>
      <c r="O270" s="41"/>
      <c r="P270" s="13"/>
      <c r="Q270" s="108">
        <v>216.56</v>
      </c>
      <c r="R270" s="41"/>
      <c r="S270" s="85">
        <f t="shared" si="60"/>
        <v>-2.9099999999999966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6"/>
        <v>CarrosserieFrais de déplacement</v>
      </c>
      <c r="B271" s="11" t="s">
        <v>94</v>
      </c>
      <c r="C271" s="102" t="s">
        <v>53</v>
      </c>
      <c r="D271" s="81"/>
      <c r="E271" s="13"/>
      <c r="F271" s="30">
        <v>45.7</v>
      </c>
      <c r="G271" s="83"/>
      <c r="H271" s="13"/>
      <c r="I271" s="30"/>
      <c r="J271" s="41"/>
      <c r="K271" s="13"/>
      <c r="L271" s="33">
        <v>18.3</v>
      </c>
      <c r="M271" s="41"/>
      <c r="N271" s="59">
        <f t="shared" si="58"/>
        <v>-27.400000000000002</v>
      </c>
      <c r="O271" s="41"/>
      <c r="P271" s="13"/>
      <c r="Q271" s="33">
        <v>33.78</v>
      </c>
      <c r="R271" s="41"/>
      <c r="S271" s="85">
        <f t="shared" si="60"/>
        <v>-15.48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6"/>
        <v>CarrosserieServices extérieurs</v>
      </c>
      <c r="B272" s="11" t="s">
        <v>94</v>
      </c>
      <c r="C272" s="102" t="s">
        <v>54</v>
      </c>
      <c r="D272" s="87"/>
      <c r="E272" s="111"/>
      <c r="F272" s="22">
        <v>153.02500000000001</v>
      </c>
      <c r="G272" s="89"/>
      <c r="H272" s="111"/>
      <c r="I272" s="22"/>
      <c r="J272" s="23"/>
      <c r="K272" s="111"/>
      <c r="L272" s="33">
        <v>176.85</v>
      </c>
      <c r="M272" s="23"/>
      <c r="N272" s="91">
        <f t="shared" si="58"/>
        <v>23.824999999999989</v>
      </c>
      <c r="O272" s="23"/>
      <c r="P272" s="111"/>
      <c r="Q272" s="22">
        <v>173.45</v>
      </c>
      <c r="R272" s="23"/>
      <c r="S272" s="92">
        <f t="shared" si="60"/>
        <v>3.4000000000000057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319" si="61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2.5301204819277108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8"/>
        <v>-2.5301204819277108</v>
      </c>
      <c r="O274" s="41"/>
      <c r="P274" s="13"/>
      <c r="Q274" s="33">
        <v>0</v>
      </c>
      <c r="R274" s="41"/>
      <c r="S274" s="85">
        <f t="shared" ref="S274:S292" si="62">L274-Q274</f>
        <v>0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61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4.33</v>
      </c>
      <c r="M275" s="41"/>
      <c r="N275" s="59">
        <f t="shared" si="58"/>
        <v>4.33</v>
      </c>
      <c r="O275" s="41"/>
      <c r="P275" s="13"/>
      <c r="Q275" s="33">
        <v>0</v>
      </c>
      <c r="R275" s="41"/>
      <c r="S275" s="85">
        <f t="shared" si="62"/>
        <v>4.33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61"/>
        <v>CarrosseriePapeterie</v>
      </c>
      <c r="B276" s="11" t="s">
        <v>94</v>
      </c>
      <c r="C276" s="102" t="s">
        <v>57</v>
      </c>
      <c r="D276" s="81"/>
      <c r="E276" s="13"/>
      <c r="F276" s="30">
        <v>43.75</v>
      </c>
      <c r="G276" s="83"/>
      <c r="H276" s="13"/>
      <c r="I276" s="30"/>
      <c r="J276" s="41"/>
      <c r="K276" s="13"/>
      <c r="L276" s="32">
        <v>27.94</v>
      </c>
      <c r="M276" s="41"/>
      <c r="N276" s="59">
        <f t="shared" si="58"/>
        <v>-15.809999999999999</v>
      </c>
      <c r="O276" s="41"/>
      <c r="P276" s="13"/>
      <c r="Q276" s="32">
        <v>49.88</v>
      </c>
      <c r="R276" s="41"/>
      <c r="S276" s="85">
        <f t="shared" si="62"/>
        <v>-21.94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61"/>
        <v>CarrosserieTéléphone</v>
      </c>
      <c r="B277" s="11" t="s">
        <v>94</v>
      </c>
      <c r="C277" s="102" t="s">
        <v>58</v>
      </c>
      <c r="D277" s="81"/>
      <c r="E277" s="13"/>
      <c r="F277" s="30">
        <v>8.8000000000000007</v>
      </c>
      <c r="G277" s="83"/>
      <c r="H277" s="13"/>
      <c r="I277" s="30"/>
      <c r="J277" s="41"/>
      <c r="K277" s="13"/>
      <c r="L277" s="33">
        <v>15.16</v>
      </c>
      <c r="M277" s="41"/>
      <c r="N277" s="59">
        <f t="shared" si="58"/>
        <v>6.3599999999999994</v>
      </c>
      <c r="O277" s="41"/>
      <c r="P277" s="13"/>
      <c r="Q277" s="33">
        <v>7.87</v>
      </c>
      <c r="R277" s="41"/>
      <c r="S277" s="85">
        <f t="shared" si="62"/>
        <v>7.29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61"/>
        <v>CarrosserieFrais postaux</v>
      </c>
      <c r="B278" s="11" t="s">
        <v>94</v>
      </c>
      <c r="C278" s="102" t="s">
        <v>59</v>
      </c>
      <c r="D278" s="81"/>
      <c r="E278" s="13"/>
      <c r="F278" s="30">
        <v>12.5</v>
      </c>
      <c r="G278" s="83"/>
      <c r="H278" s="13"/>
      <c r="I278" s="30"/>
      <c r="J278" s="41"/>
      <c r="K278" s="13"/>
      <c r="L278" s="33">
        <v>3.77</v>
      </c>
      <c r="M278" s="41"/>
      <c r="N278" s="59">
        <f t="shared" si="58"/>
        <v>-8.73</v>
      </c>
      <c r="O278" s="41"/>
      <c r="P278" s="13"/>
      <c r="Q278" s="33">
        <v>8.35</v>
      </c>
      <c r="R278" s="41"/>
      <c r="S278" s="85">
        <f t="shared" si="62"/>
        <v>-4.58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61"/>
        <v>CarrosserieDivers</v>
      </c>
      <c r="B279" s="11" t="s">
        <v>94</v>
      </c>
      <c r="C279" s="102" t="s">
        <v>60</v>
      </c>
      <c r="D279" s="81"/>
      <c r="E279" s="13"/>
      <c r="F279" s="30">
        <v>46.45</v>
      </c>
      <c r="G279" s="83"/>
      <c r="H279" s="13"/>
      <c r="I279" s="30"/>
      <c r="J279" s="41"/>
      <c r="K279" s="13"/>
      <c r="L279" s="33">
        <v>36.14</v>
      </c>
      <c r="M279" s="41"/>
      <c r="N279" s="59">
        <f t="shared" si="58"/>
        <v>-10.310000000000002</v>
      </c>
      <c r="O279" s="41"/>
      <c r="P279" s="13"/>
      <c r="Q279" s="33">
        <v>36.58</v>
      </c>
      <c r="R279" s="41"/>
      <c r="S279" s="85">
        <f t="shared" si="62"/>
        <v>-0.43999999999999773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61"/>
        <v>CarrosserieFormation</v>
      </c>
      <c r="B280" s="11" t="s">
        <v>94</v>
      </c>
      <c r="C280" s="102" t="s">
        <v>61</v>
      </c>
      <c r="D280" s="81"/>
      <c r="E280" s="13"/>
      <c r="F280" s="30">
        <v>20.768359999999994</v>
      </c>
      <c r="G280" s="83"/>
      <c r="H280" s="13"/>
      <c r="I280" s="30"/>
      <c r="J280" s="41"/>
      <c r="K280" s="13"/>
      <c r="L280" s="33">
        <v>-2.7</v>
      </c>
      <c r="M280" s="41"/>
      <c r="N280" s="59">
        <f t="shared" si="58"/>
        <v>-23.468359999999993</v>
      </c>
      <c r="O280" s="41"/>
      <c r="P280" s="13"/>
      <c r="Q280" s="33">
        <v>30.61</v>
      </c>
      <c r="R280" s="41"/>
      <c r="S280" s="85">
        <f t="shared" si="62"/>
        <v>-33.31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61"/>
        <v>CarrosserieFrais bancaires</v>
      </c>
      <c r="B281" s="11" t="s">
        <v>94</v>
      </c>
      <c r="C281" s="102" t="s">
        <v>62</v>
      </c>
      <c r="D281" s="81"/>
      <c r="E281" s="13"/>
      <c r="F281" s="30">
        <v>154.56005659649728</v>
      </c>
      <c r="G281" s="83"/>
      <c r="H281" s="13"/>
      <c r="I281" s="30"/>
      <c r="J281" s="41"/>
      <c r="K281" s="13"/>
      <c r="L281" s="33">
        <v>136.72999999999999</v>
      </c>
      <c r="M281" s="41"/>
      <c r="N281" s="59">
        <f t="shared" si="58"/>
        <v>-17.830056596497286</v>
      </c>
      <c r="O281" s="41"/>
      <c r="P281" s="13"/>
      <c r="Q281" s="33">
        <v>173.43</v>
      </c>
      <c r="R281" s="41"/>
      <c r="S281" s="85">
        <f t="shared" si="62"/>
        <v>-36.700000000000017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61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:A329" si="63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 t="shared" ref="S284:S302" si="64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846.68353707842505</v>
      </c>
      <c r="G285" s="97"/>
      <c r="H285" s="95"/>
      <c r="I285" s="96"/>
      <c r="J285" s="97" t="s">
        <v>38</v>
      </c>
      <c r="K285" s="95" t="e">
        <f>IF(L262=0,0,L285/L$244)</f>
        <v>#DIV/0!</v>
      </c>
      <c r="L285" s="96">
        <f>+SUM(L267:L284)</f>
        <v>845.36</v>
      </c>
      <c r="M285" s="100"/>
      <c r="N285" s="96">
        <f>+SUM(N267:N284)</f>
        <v>-1.3235370784250371</v>
      </c>
      <c r="O285" s="97" t="s">
        <v>38</v>
      </c>
      <c r="P285" s="95">
        <f>IF(Q$244=0,0,Q285/Q$244)</f>
        <v>0</v>
      </c>
      <c r="Q285" s="96">
        <f>+SUM(Q267:Q284)</f>
        <v>892.46</v>
      </c>
      <c r="R285" s="100"/>
      <c r="S285" s="101">
        <f>L285-Q285</f>
        <v>-47.100000000000023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1812.0970893422</v>
      </c>
      <c r="G287" s="97"/>
      <c r="H287" s="95"/>
      <c r="I287" s="96"/>
      <c r="J287" s="97" t="s">
        <v>38</v>
      </c>
      <c r="K287" s="95" t="e">
        <f>IF(L264=0,0,L287/L$244)</f>
        <v>#DIV/0!</v>
      </c>
      <c r="L287" s="96">
        <f>L266+L285</f>
        <v>1809.4700000000003</v>
      </c>
      <c r="M287" s="100"/>
      <c r="N287" s="113">
        <f>L287-F287</f>
        <v>-2.6270893421997243</v>
      </c>
      <c r="O287" s="97" t="s">
        <v>38</v>
      </c>
      <c r="P287" s="95">
        <f>IF(Q$244=0,0,Q287/Q$244)</f>
        <v>0</v>
      </c>
      <c r="Q287" s="96">
        <f>Q266+Q285</f>
        <v>1884.62</v>
      </c>
      <c r="R287" s="100"/>
      <c r="S287" s="114">
        <f>L287-Q287</f>
        <v>-75.149999999999636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-1194.4848108708904</v>
      </c>
      <c r="G289" s="153"/>
      <c r="H289" s="125"/>
      <c r="I289" s="127"/>
      <c r="J289" s="154"/>
      <c r="K289" s="126"/>
      <c r="L289" s="127">
        <f>L250-L287</f>
        <v>-1641.5000000000005</v>
      </c>
      <c r="M289" s="154"/>
      <c r="N289" s="127">
        <f>L289-F289</f>
        <v>-447.01518912911001</v>
      </c>
      <c r="O289" s="154"/>
      <c r="P289" s="126">
        <f>+Q289/P250</f>
        <v>-1.3080050105173604</v>
      </c>
      <c r="Q289" s="127">
        <f>Q250-Q287</f>
        <v>-1660.2900000000009</v>
      </c>
      <c r="R289" s="154"/>
      <c r="S289" s="129">
        <f>L289-Q289</f>
        <v>18.790000000000418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Juin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63" t="s">
        <v>5</v>
      </c>
      <c r="E293" s="464"/>
      <c r="F293" s="465"/>
      <c r="G293" s="466"/>
      <c r="H293" s="464"/>
      <c r="I293" s="465"/>
      <c r="J293" s="466" t="s">
        <v>7</v>
      </c>
      <c r="K293" s="464"/>
      <c r="L293" s="465"/>
      <c r="M293" s="466" t="s">
        <v>213</v>
      </c>
      <c r="N293" s="465"/>
      <c r="O293" s="463" t="s">
        <v>8</v>
      </c>
      <c r="P293" s="464"/>
      <c r="Q293" s="465"/>
      <c r="R293" s="470" t="s">
        <v>214</v>
      </c>
      <c r="S293" s="471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3" si="65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219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5"/>
        <v>PiècesPièces Ro Clients</v>
      </c>
      <c r="B295" s="11" t="s">
        <v>98</v>
      </c>
      <c r="C295" s="29" t="s">
        <v>100</v>
      </c>
      <c r="D295" s="82">
        <v>67995.962632215334</v>
      </c>
      <c r="E295" s="148">
        <f>IF(D295=0,0,F295/D295)</f>
        <v>0.41799999999999998</v>
      </c>
      <c r="F295" s="85">
        <v>28422.312380266008</v>
      </c>
      <c r="G295" s="82"/>
      <c r="H295" s="148"/>
      <c r="I295" s="85"/>
      <c r="J295" s="30">
        <v>61151.799999999996</v>
      </c>
      <c r="K295" s="148">
        <f t="shared" ref="K295:K300" si="66">IF(J295&lt;=0,0,L295/J295)</f>
        <v>0.40306450505136393</v>
      </c>
      <c r="L295" s="33">
        <v>24648.119999999995</v>
      </c>
      <c r="M295" s="157">
        <f t="shared" ref="M295:M301" si="67">(+J295-D295)/D295</f>
        <v>-0.10065542669400625</v>
      </c>
      <c r="N295" s="59">
        <f t="shared" ref="N295:N304" si="68">L295-F295</f>
        <v>-3774.1923802660131</v>
      </c>
      <c r="O295" s="30">
        <v>61541.45</v>
      </c>
      <c r="P295" s="148">
        <f t="shared" ref="P295:P303" si="69">IF(O295=0,0,Q295/O295)</f>
        <v>0.42360035390781337</v>
      </c>
      <c r="Q295" s="33">
        <v>26068.98</v>
      </c>
      <c r="R295" s="157">
        <f>IF(O295=0,0,(J295-O295)/O295)</f>
        <v>-6.3315050262871845E-3</v>
      </c>
      <c r="S295" s="85">
        <f t="shared" ref="S295:S300" si="70">L295-Q295</f>
        <v>-1420.8600000000042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5"/>
        <v>PiècesPièces Ro Carrosserie</v>
      </c>
      <c r="B296" s="11" t="s">
        <v>98</v>
      </c>
      <c r="C296" s="29" t="s">
        <v>101</v>
      </c>
      <c r="D296" s="82">
        <v>833</v>
      </c>
      <c r="E296" s="148">
        <f t="shared" ref="E296:E303" si="71">IF(D296=0,0,F296/D296)</f>
        <v>0.34</v>
      </c>
      <c r="F296" s="85">
        <v>283.22000000000003</v>
      </c>
      <c r="G296" s="82"/>
      <c r="H296" s="148"/>
      <c r="I296" s="85"/>
      <c r="J296" s="30">
        <v>0</v>
      </c>
      <c r="K296" s="148">
        <f t="shared" si="66"/>
        <v>0</v>
      </c>
      <c r="L296" s="33">
        <v>0</v>
      </c>
      <c r="M296" s="157">
        <f t="shared" si="67"/>
        <v>-1</v>
      </c>
      <c r="N296" s="59">
        <f t="shared" si="68"/>
        <v>-283.22000000000003</v>
      </c>
      <c r="O296" s="30">
        <v>0</v>
      </c>
      <c r="P296" s="148">
        <f t="shared" si="69"/>
        <v>0</v>
      </c>
      <c r="Q296" s="33">
        <v>0</v>
      </c>
      <c r="R296" s="157">
        <f t="shared" ref="R296:R303" si="72">IF(O296=0,0,(J296-O296)/O296)</f>
        <v>0</v>
      </c>
      <c r="S296" s="85">
        <f t="shared" si="70"/>
        <v>0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5"/>
        <v>PiècesP/A Garantie</v>
      </c>
      <c r="B297" s="11" t="s">
        <v>98</v>
      </c>
      <c r="C297" s="29" t="s">
        <v>102</v>
      </c>
      <c r="D297" s="82">
        <v>58458.697915000506</v>
      </c>
      <c r="E297" s="148">
        <f t="shared" si="71"/>
        <v>0.28799999999999992</v>
      </c>
      <c r="F297" s="85">
        <v>16836.104999520143</v>
      </c>
      <c r="G297" s="82"/>
      <c r="H297" s="148"/>
      <c r="I297" s="85"/>
      <c r="J297" s="30">
        <v>52884.57</v>
      </c>
      <c r="K297" s="148">
        <f t="shared" si="66"/>
        <v>0.28641548943292916</v>
      </c>
      <c r="L297" s="33">
        <v>15146.960000000003</v>
      </c>
      <c r="M297" s="157">
        <f t="shared" si="67"/>
        <v>-9.5351557831570941E-2</v>
      </c>
      <c r="N297" s="59">
        <f t="shared" si="68"/>
        <v>-1689.1449995201401</v>
      </c>
      <c r="O297" s="30">
        <v>62414.93</v>
      </c>
      <c r="P297" s="148">
        <f t="shared" si="69"/>
        <v>0.28581046233649543</v>
      </c>
      <c r="Q297" s="33">
        <v>17838.84</v>
      </c>
      <c r="R297" s="157">
        <f t="shared" si="72"/>
        <v>-0.15269359430508053</v>
      </c>
      <c r="S297" s="85">
        <f t="shared" si="70"/>
        <v>-2691.8799999999974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5"/>
        <v>PiècesVentes Internes</v>
      </c>
      <c r="B298" s="11" t="s">
        <v>98</v>
      </c>
      <c r="C298" s="29" t="s">
        <v>103</v>
      </c>
      <c r="D298" s="82">
        <v>18163.174940769928</v>
      </c>
      <c r="E298" s="148">
        <f t="shared" si="71"/>
        <v>0.38500000000000001</v>
      </c>
      <c r="F298" s="85">
        <v>6992.8223521964228</v>
      </c>
      <c r="G298" s="82"/>
      <c r="H298" s="148"/>
      <c r="I298" s="85"/>
      <c r="J298" s="30">
        <v>12460.92</v>
      </c>
      <c r="K298" s="148">
        <f t="shared" si="66"/>
        <v>0.2860117872516636</v>
      </c>
      <c r="L298" s="33">
        <v>3563.9700000000003</v>
      </c>
      <c r="M298" s="157">
        <f t="shared" si="67"/>
        <v>-0.31394593507825413</v>
      </c>
      <c r="N298" s="59">
        <f t="shared" si="68"/>
        <v>-3428.8523521964225</v>
      </c>
      <c r="O298" s="30">
        <v>8570.3700000000008</v>
      </c>
      <c r="P298" s="148">
        <f t="shared" si="69"/>
        <v>0.36560031830597739</v>
      </c>
      <c r="Q298" s="33">
        <v>3133.33</v>
      </c>
      <c r="R298" s="157">
        <f t="shared" si="72"/>
        <v>0.45395356326506309</v>
      </c>
      <c r="S298" s="85">
        <f t="shared" si="70"/>
        <v>430.64000000000033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5"/>
        <v>PiècesVentes Détails</v>
      </c>
      <c r="B299" s="11" t="s">
        <v>98</v>
      </c>
      <c r="C299" s="29" t="s">
        <v>104</v>
      </c>
      <c r="D299" s="82">
        <v>27875.190772795097</v>
      </c>
      <c r="E299" s="148">
        <f t="shared" si="71"/>
        <v>0.31</v>
      </c>
      <c r="F299" s="85">
        <v>8641.3091395664796</v>
      </c>
      <c r="G299" s="82"/>
      <c r="H299" s="148"/>
      <c r="I299" s="85"/>
      <c r="J299" s="30">
        <v>23921.72</v>
      </c>
      <c r="K299" s="148">
        <f t="shared" si="66"/>
        <v>0.29105850248226306</v>
      </c>
      <c r="L299" s="33">
        <v>6962.6200000000026</v>
      </c>
      <c r="M299" s="157">
        <f t="shared" si="67"/>
        <v>-0.14182757725387482</v>
      </c>
      <c r="N299" s="59">
        <f t="shared" si="68"/>
        <v>-1678.689139566477</v>
      </c>
      <c r="O299" s="30">
        <v>21255.48</v>
      </c>
      <c r="P299" s="148">
        <f t="shared" si="69"/>
        <v>0.32480188638412305</v>
      </c>
      <c r="Q299" s="33">
        <v>6903.82</v>
      </c>
      <c r="R299" s="157">
        <f t="shared" si="72"/>
        <v>0.12543776945992288</v>
      </c>
      <c r="S299" s="85">
        <f t="shared" si="70"/>
        <v>58.80000000000291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67480.522234823162</v>
      </c>
      <c r="E300" s="148">
        <f t="shared" si="71"/>
        <v>0.21299999999999999</v>
      </c>
      <c r="F300" s="85">
        <v>14373.351236017334</v>
      </c>
      <c r="G300" s="82"/>
      <c r="H300" s="148"/>
      <c r="I300" s="85"/>
      <c r="J300" s="30">
        <v>58077.85</v>
      </c>
      <c r="K300" s="148">
        <f t="shared" si="66"/>
        <v>0.20469146154687201</v>
      </c>
      <c r="L300" s="33">
        <v>11888.04</v>
      </c>
      <c r="M300" s="157">
        <f t="shared" si="67"/>
        <v>-0.13933905552928483</v>
      </c>
      <c r="N300" s="59">
        <f t="shared" si="68"/>
        <v>-2485.3112360173327</v>
      </c>
      <c r="O300" s="30">
        <v>55559.15</v>
      </c>
      <c r="P300" s="148">
        <f t="shared" si="69"/>
        <v>0.22080431396088673</v>
      </c>
      <c r="Q300" s="33">
        <v>12267.7</v>
      </c>
      <c r="R300" s="157">
        <f t="shared" si="72"/>
        <v>4.5333666911750753E-2</v>
      </c>
      <c r="S300" s="85">
        <f t="shared" si="70"/>
        <v>-379.65999999999985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7"/>
        <v>#DIV/0!</v>
      </c>
      <c r="N301" s="59">
        <f t="shared" si="68"/>
        <v>0</v>
      </c>
      <c r="O301" s="30">
        <v>0</v>
      </c>
      <c r="P301" s="148">
        <f t="shared" si="69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51" si="73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9" si="74">IF(D302=0,0,F302/D302)</f>
        <v>0</v>
      </c>
      <c r="F302" s="85">
        <v>5987.1463611338477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3795.3</v>
      </c>
      <c r="M302" s="157"/>
      <c r="N302" s="59">
        <f t="shared" si="68"/>
        <v>-2191.8463611338475</v>
      </c>
      <c r="O302" s="30">
        <v>0</v>
      </c>
      <c r="P302" s="148">
        <f t="shared" si="69"/>
        <v>0</v>
      </c>
      <c r="Q302" s="33">
        <v>6506.23</v>
      </c>
      <c r="R302" s="157">
        <f t="shared" ref="R302:R309" si="75">IF(O302=0,0,(J302-O302)/O302)</f>
        <v>0</v>
      </c>
      <c r="S302" s="85">
        <f>L302-Q302</f>
        <v>-2710.9299999999994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3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4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8"/>
        <v>0</v>
      </c>
      <c r="O303" s="30">
        <v>0</v>
      </c>
      <c r="P303" s="148">
        <f t="shared" si="69"/>
        <v>0</v>
      </c>
      <c r="Q303" s="33">
        <v>0</v>
      </c>
      <c r="R303" s="157">
        <f t="shared" si="75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3"/>
        <v>PiècesSous-total Pièces</v>
      </c>
      <c r="B304" s="11" t="s">
        <v>98</v>
      </c>
      <c r="C304" s="53" t="s">
        <v>108</v>
      </c>
      <c r="D304" s="195">
        <f>SUM(D295:D303)</f>
        <v>240806.54849560402</v>
      </c>
      <c r="E304" s="213">
        <f>IF(D304&lt;=0,0,F304/D304)</f>
        <v>0.33859654971213832</v>
      </c>
      <c r="F304" s="199">
        <f>SUM(F295:F303)</f>
        <v>81536.266468700225</v>
      </c>
      <c r="G304" s="195"/>
      <c r="H304" s="213"/>
      <c r="I304" s="199"/>
      <c r="J304" s="195">
        <f>SUM(J295:J303)</f>
        <v>208496.86000000002</v>
      </c>
      <c r="K304" s="213">
        <f>IF(J304&lt;=0,0,L304/J304)</f>
        <v>0.31657555897964124</v>
      </c>
      <c r="L304" s="197">
        <f>SUM(L295:L303)</f>
        <v>66005.010000000009</v>
      </c>
      <c r="M304" s="214">
        <f>(+J304-D304)/D304</f>
        <v>-0.13417279844527907</v>
      </c>
      <c r="N304" s="197">
        <f t="shared" si="68"/>
        <v>-15531.256468700216</v>
      </c>
      <c r="O304" s="195">
        <f>SUM(O295:O303)</f>
        <v>209341.38</v>
      </c>
      <c r="P304" s="213">
        <f>IF(O304&lt;=0,0,Q304/O304)</f>
        <v>0.34736992753176649</v>
      </c>
      <c r="Q304" s="197">
        <f t="shared" ref="Q304" si="76">SUM(Q295:Q303)</f>
        <v>72718.899999999994</v>
      </c>
      <c r="R304" s="214">
        <f>IF(O304=0,0,(J304-O304)/O304)</f>
        <v>-4.0341761385158988E-3</v>
      </c>
      <c r="S304" s="199">
        <f>L304-Q304</f>
        <v>-6713.8899999999849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3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-0.19048280159678743</v>
      </c>
      <c r="O305" s="41"/>
      <c r="P305" s="13"/>
      <c r="Q305" s="40"/>
      <c r="R305" s="41"/>
      <c r="S305" s="44">
        <f>IF(Q304=0,0,S304/Q304)</f>
        <v>-9.2326616601736078E-2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3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3"/>
        <v>PiècesVentes Pneus</v>
      </c>
      <c r="B307" s="11" t="s">
        <v>98</v>
      </c>
      <c r="C307" s="29" t="s">
        <v>109</v>
      </c>
      <c r="D307" s="82">
        <v>50772.025113637625</v>
      </c>
      <c r="E307" s="148">
        <f>IF(D307=0,0,F307/D307)</f>
        <v>0.25</v>
      </c>
      <c r="F307" s="110">
        <v>12693.006278409406</v>
      </c>
      <c r="G307" s="82"/>
      <c r="H307" s="148"/>
      <c r="I307" s="110"/>
      <c r="J307" s="30">
        <v>46274.18</v>
      </c>
      <c r="K307" s="148">
        <f>IF(J307&lt;=0,0,L307/J307)</f>
        <v>0.24318291539688017</v>
      </c>
      <c r="L307" s="33">
        <v>11253.090000000004</v>
      </c>
      <c r="M307" s="157">
        <f>(+J307-D307)/D307</f>
        <v>-8.8589042953685138E-2</v>
      </c>
      <c r="N307" s="59">
        <f>L307-F307</f>
        <v>-1439.9162784094024</v>
      </c>
      <c r="O307" s="30">
        <v>31575.05</v>
      </c>
      <c r="P307" s="148">
        <f t="shared" ref="P307:P308" si="77">IF(O307=0,0,Q307/O307)</f>
        <v>0.23917048429060286</v>
      </c>
      <c r="Q307" s="33">
        <v>7551.82</v>
      </c>
      <c r="R307" s="157">
        <f>IF(O307=0,0,(J307-O307)/O307)</f>
        <v>0.46552990414900375</v>
      </c>
      <c r="S307" s="85">
        <f>L307-Q307</f>
        <v>3701.2700000000041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3"/>
        <v>PiècesHuiles et Graisse</v>
      </c>
      <c r="B308" s="11" t="s">
        <v>98</v>
      </c>
      <c r="C308" s="86" t="s">
        <v>110</v>
      </c>
      <c r="D308" s="82">
        <v>13922.298182171084</v>
      </c>
      <c r="E308" s="148">
        <f>IF(D308=0,0,F308/D308)</f>
        <v>0.35000000000000003</v>
      </c>
      <c r="F308" s="92">
        <v>4872.8043637598794</v>
      </c>
      <c r="G308" s="82"/>
      <c r="H308" s="148"/>
      <c r="I308" s="92"/>
      <c r="J308" s="30">
        <v>10745.01</v>
      </c>
      <c r="K308" s="148">
        <f>IF(J308&lt;=0,0,L308/J308)</f>
        <v>0.35992241980230832</v>
      </c>
      <c r="L308" s="33">
        <v>3867.3700000000008</v>
      </c>
      <c r="M308" s="157">
        <f>(+J308-D308)/D308</f>
        <v>-0.22821578309821891</v>
      </c>
      <c r="N308" s="59">
        <f>L308-F308</f>
        <v>-1005.4343637598786</v>
      </c>
      <c r="O308" s="30">
        <v>12250.72</v>
      </c>
      <c r="P308" s="148">
        <f t="shared" si="77"/>
        <v>0.34787016599840664</v>
      </c>
      <c r="Q308" s="33">
        <v>4261.66</v>
      </c>
      <c r="R308" s="157">
        <f>IF(O308=0,0,(J308-O308)/O308)</f>
        <v>-0.12290787806757474</v>
      </c>
      <c r="S308" s="85">
        <f>L308-Q308</f>
        <v>-394.28999999999905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3"/>
        <v>PiècesSous-total Pièces et Acc.</v>
      </c>
      <c r="B309" s="11" t="s">
        <v>98</v>
      </c>
      <c r="C309" s="53" t="s">
        <v>111</v>
      </c>
      <c r="D309" s="195">
        <f>D304+D307+D308</f>
        <v>305500.8717914127</v>
      </c>
      <c r="E309" s="213">
        <f>IF(D309&lt;=0,0,F309/D309)</f>
        <v>0.32439212539640011</v>
      </c>
      <c r="F309" s="197">
        <f>F304+F307+F308</f>
        <v>99102.077110869504</v>
      </c>
      <c r="G309" s="198"/>
      <c r="H309" s="213"/>
      <c r="I309" s="197"/>
      <c r="J309" s="198">
        <f>J304+J307+J308</f>
        <v>265516.05</v>
      </c>
      <c r="K309" s="213">
        <f>IF(J309&lt;=0,0,L309/J309)</f>
        <v>0.3055388553723965</v>
      </c>
      <c r="L309" s="197">
        <f>L304+L307+L308</f>
        <v>81125.47</v>
      </c>
      <c r="M309" s="214">
        <f>(+J309-D309)/D309</f>
        <v>-0.13088284022545513</v>
      </c>
      <c r="N309" s="197">
        <f>L309-F309</f>
        <v>-17976.607110869503</v>
      </c>
      <c r="O309" s="198">
        <f>O304+O307+O308</f>
        <v>253167.15</v>
      </c>
      <c r="P309" s="213">
        <f>IF(O309&lt;=0,0,Q309/O309)</f>
        <v>0.33389948103456552</v>
      </c>
      <c r="Q309" s="197">
        <f t="shared" ref="Q309" si="78">Q304+Q307+Q308</f>
        <v>84532.38</v>
      </c>
      <c r="R309" s="214">
        <f>IF(O309=0,0,(J309-O309)/O309)</f>
        <v>4.8777655394864596E-2</v>
      </c>
      <c r="S309" s="199">
        <f>L309-Q309</f>
        <v>-3406.9100000000035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3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-0.1813948570498512</v>
      </c>
      <c r="O310" s="41"/>
      <c r="P310" s="13"/>
      <c r="Q310" s="40"/>
      <c r="R310" s="41"/>
      <c r="S310" s="44">
        <f>IF(Q309=0,0,S309/Q309)</f>
        <v>-4.0303017612895828E-2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3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3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3"/>
        <v>PiècesTotal Dépt. Pièces</v>
      </c>
      <c r="B314" s="11" t="s">
        <v>98</v>
      </c>
      <c r="C314" s="62" t="s">
        <v>113</v>
      </c>
      <c r="D314" s="63">
        <f>D309+D312</f>
        <v>305500.8717914127</v>
      </c>
      <c r="E314" s="219">
        <f>IF(D314&lt;=0,0,F314/D314)</f>
        <v>0.32439212539640011</v>
      </c>
      <c r="F314" s="65">
        <f>F309+F312</f>
        <v>99102.077110869504</v>
      </c>
      <c r="G314" s="66"/>
      <c r="H314" s="219"/>
      <c r="I314" s="65"/>
      <c r="J314" s="66">
        <f>J309+J312</f>
        <v>265516.05</v>
      </c>
      <c r="K314" s="219">
        <f>IF(J314&lt;=0,0,L314/J314)</f>
        <v>0.3055388553723965</v>
      </c>
      <c r="L314" s="65">
        <f>L309+L312</f>
        <v>81125.47</v>
      </c>
      <c r="M314" s="220">
        <f>(+J314-D314)/D314</f>
        <v>-0.13088284022545513</v>
      </c>
      <c r="N314" s="221">
        <f>L314-F314</f>
        <v>-17976.607110869503</v>
      </c>
      <c r="O314" s="66">
        <f>O309+O312</f>
        <v>253167.15</v>
      </c>
      <c r="P314" s="219">
        <f>IF(O314&lt;=0,0,Q314/O314)</f>
        <v>0.33389948103456552</v>
      </c>
      <c r="Q314" s="65">
        <f t="shared" ref="Q314" si="79">Q309+Q312</f>
        <v>84532.38</v>
      </c>
      <c r="R314" s="220">
        <f>IF(O314=0,0,(J314-O314)/O314)</f>
        <v>4.8777655394864596E-2</v>
      </c>
      <c r="S314" s="222">
        <f>L314-Q314</f>
        <v>-3406.9100000000035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3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-0.1813948570498512</v>
      </c>
      <c r="O315" s="227"/>
      <c r="P315" s="225"/>
      <c r="Q315" s="226"/>
      <c r="R315" s="228"/>
      <c r="S315" s="75">
        <f>IF(Q314=0,0,S314/Q314)</f>
        <v>-4.0303017612895828E-2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3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3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3"/>
        <v>PiècesSalaires cadres</v>
      </c>
      <c r="B318" s="11" t="s">
        <v>98</v>
      </c>
      <c r="C318" s="102" t="s">
        <v>40</v>
      </c>
      <c r="D318" s="13"/>
      <c r="E318" s="13"/>
      <c r="F318" s="30">
        <v>4080.2050890585242</v>
      </c>
      <c r="G318" s="41"/>
      <c r="H318" s="13"/>
      <c r="I318" s="30"/>
      <c r="J318" s="41"/>
      <c r="K318" s="13"/>
      <c r="L318" s="33">
        <v>3141.4</v>
      </c>
      <c r="M318" s="41"/>
      <c r="N318" s="59">
        <f t="shared" ref="N318:N348" si="80">L318-F318</f>
        <v>-938.80508905852412</v>
      </c>
      <c r="O318" s="41"/>
      <c r="P318" s="13"/>
      <c r="Q318" s="33">
        <v>2526.5100000000002</v>
      </c>
      <c r="R318" s="41"/>
      <c r="S318" s="85">
        <f t="shared" ref="S318:S343" si="81">L318-Q318</f>
        <v>614.88999999999987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3"/>
        <v>PiècesSalaires commis</v>
      </c>
      <c r="B319" s="11" t="s">
        <v>98</v>
      </c>
      <c r="C319" s="103" t="s">
        <v>41</v>
      </c>
      <c r="D319" s="81"/>
      <c r="E319" s="13"/>
      <c r="F319" s="22">
        <v>2616.6931297709925</v>
      </c>
      <c r="G319" s="83"/>
      <c r="H319" s="13"/>
      <c r="I319" s="22"/>
      <c r="J319" s="41"/>
      <c r="K319" s="13"/>
      <c r="L319" s="33">
        <v>2723.56</v>
      </c>
      <c r="M319" s="41"/>
      <c r="N319" s="59">
        <f t="shared" si="80"/>
        <v>106.86687022900742</v>
      </c>
      <c r="O319" s="41"/>
      <c r="P319" s="13"/>
      <c r="Q319" s="33">
        <v>2900.5</v>
      </c>
      <c r="R319" s="41"/>
      <c r="S319" s="85">
        <f t="shared" si="81"/>
        <v>-176.94000000000005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3"/>
        <v>PiècesSalaires autres</v>
      </c>
      <c r="B320" s="11" t="s">
        <v>98</v>
      </c>
      <c r="C320" s="102" t="s">
        <v>42</v>
      </c>
      <c r="D320" s="104"/>
      <c r="E320" s="105"/>
      <c r="F320" s="30">
        <v>12599.213740458015</v>
      </c>
      <c r="G320" s="106"/>
      <c r="H320" s="105"/>
      <c r="I320" s="30"/>
      <c r="J320" s="107"/>
      <c r="K320" s="105"/>
      <c r="L320" s="108">
        <v>10283.9</v>
      </c>
      <c r="M320" s="107"/>
      <c r="N320" s="109">
        <f t="shared" si="80"/>
        <v>-2315.3137404580157</v>
      </c>
      <c r="O320" s="107"/>
      <c r="P320" s="105"/>
      <c r="Q320" s="108">
        <v>13262.32</v>
      </c>
      <c r="R320" s="107"/>
      <c r="S320" s="110">
        <f t="shared" si="81"/>
        <v>-2978.42</v>
      </c>
      <c r="T320" s="13"/>
      <c r="U320" s="13"/>
      <c r="V320" s="478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73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80"/>
        <v>0</v>
      </c>
      <c r="O321" s="41"/>
      <c r="P321" s="13"/>
      <c r="Q321" s="33">
        <v>0</v>
      </c>
      <c r="R321" s="41"/>
      <c r="S321" s="85">
        <f t="shared" si="8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74" si="82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2280.610242586612</v>
      </c>
      <c r="G325" s="83"/>
      <c r="H325" s="13"/>
      <c r="I325" s="22"/>
      <c r="J325" s="41"/>
      <c r="K325" s="13"/>
      <c r="L325" s="33">
        <v>1995.77</v>
      </c>
      <c r="M325" s="41"/>
      <c r="N325" s="59">
        <f t="shared" si="80"/>
        <v>-284.84024258661202</v>
      </c>
      <c r="O325" s="41"/>
      <c r="P325" s="13"/>
      <c r="Q325" s="33">
        <v>1623.67</v>
      </c>
      <c r="R325" s="41"/>
      <c r="S325" s="85">
        <f t="shared" ref="S325:S350" si="83">L325-Q325</f>
        <v>372.09999999999991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2"/>
        <v>PiècesDéduction à la source</v>
      </c>
      <c r="B326" s="11" t="s">
        <v>98</v>
      </c>
      <c r="C326" s="102" t="s">
        <v>45</v>
      </c>
      <c r="D326" s="104"/>
      <c r="E326" s="105"/>
      <c r="F326" s="30">
        <v>2985.8045324427485</v>
      </c>
      <c r="G326" s="106"/>
      <c r="H326" s="105"/>
      <c r="I326" s="30"/>
      <c r="J326" s="107"/>
      <c r="K326" s="105"/>
      <c r="L326" s="108">
        <v>3366.27</v>
      </c>
      <c r="M326" s="107"/>
      <c r="N326" s="109">
        <f t="shared" si="80"/>
        <v>380.46546755725149</v>
      </c>
      <c r="O326" s="107"/>
      <c r="P326" s="105"/>
      <c r="Q326" s="108">
        <v>3326.84</v>
      </c>
      <c r="R326" s="107"/>
      <c r="S326" s="110">
        <f t="shared" si="83"/>
        <v>39.429999999999836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2"/>
        <v>PiècesBénéfices marginaux</v>
      </c>
      <c r="B327" s="11" t="s">
        <v>98</v>
      </c>
      <c r="C327" s="102" t="s">
        <v>46</v>
      </c>
      <c r="D327" s="81"/>
      <c r="E327" s="13"/>
      <c r="F327" s="30">
        <v>1371.2583778625956</v>
      </c>
      <c r="G327" s="83"/>
      <c r="H327" s="13"/>
      <c r="I327" s="30"/>
      <c r="J327" s="41"/>
      <c r="K327" s="13"/>
      <c r="L327" s="33">
        <v>1348.9</v>
      </c>
      <c r="M327" s="41"/>
      <c r="N327" s="59">
        <f t="shared" si="80"/>
        <v>-22.358377862595489</v>
      </c>
      <c r="O327" s="41"/>
      <c r="P327" s="13"/>
      <c r="Q327" s="33">
        <v>1731.01</v>
      </c>
      <c r="R327" s="41"/>
      <c r="S327" s="85">
        <f t="shared" si="83"/>
        <v>-382.1099999999999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2"/>
        <v>PiècesCsst</v>
      </c>
      <c r="B328" s="11" t="s">
        <v>98</v>
      </c>
      <c r="C328" s="102" t="s">
        <v>47</v>
      </c>
      <c r="D328" s="81"/>
      <c r="E328" s="13"/>
      <c r="F328" s="30">
        <v>309.63898854961832</v>
      </c>
      <c r="G328" s="83"/>
      <c r="H328" s="13"/>
      <c r="I328" s="30"/>
      <c r="J328" s="41"/>
      <c r="K328" s="13"/>
      <c r="L328" s="33">
        <v>272.83</v>
      </c>
      <c r="M328" s="483"/>
      <c r="N328" s="146">
        <f t="shared" si="80"/>
        <v>-36.808988549618334</v>
      </c>
      <c r="O328" s="41"/>
      <c r="P328" s="13"/>
      <c r="Q328" s="33">
        <v>238.69</v>
      </c>
      <c r="R328" s="41"/>
      <c r="S328" s="85">
        <f t="shared" si="83"/>
        <v>34.139999999999986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80"/>
        <v>0</v>
      </c>
      <c r="O329" s="23"/>
      <c r="P329" s="111"/>
      <c r="Q329" s="33">
        <v>0</v>
      </c>
      <c r="R329" s="23"/>
      <c r="S329" s="92">
        <f t="shared" si="83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0.26481204900851396</v>
      </c>
      <c r="F330" s="96">
        <f>+SUM(F318:F329)</f>
        <v>26243.424100729106</v>
      </c>
      <c r="G330" s="97"/>
      <c r="H330" s="95"/>
      <c r="I330" s="96"/>
      <c r="J330" s="97" t="s">
        <v>38</v>
      </c>
      <c r="K330" s="95">
        <f>L330/L$314</f>
        <v>0.28514632950662727</v>
      </c>
      <c r="L330" s="96">
        <f>+SUM(L318:L329)</f>
        <v>23132.630000000005</v>
      </c>
      <c r="M330" s="147"/>
      <c r="N330" s="113">
        <f t="shared" si="80"/>
        <v>-3110.794100729101</v>
      </c>
      <c r="O330" s="97" t="s">
        <v>38</v>
      </c>
      <c r="P330" s="95">
        <f>Q330/Q$314</f>
        <v>0.30295538821928347</v>
      </c>
      <c r="Q330" s="96">
        <f>+SUM(Q318:Q329)</f>
        <v>25609.539999999997</v>
      </c>
      <c r="R330" s="147"/>
      <c r="S330" s="114">
        <f t="shared" si="83"/>
        <v>-2476.9099999999926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2"/>
        <v>PiècesPublicité 2</v>
      </c>
      <c r="B331" s="11" t="s">
        <v>98</v>
      </c>
      <c r="C331" s="211" t="s">
        <v>49</v>
      </c>
      <c r="D331" s="81"/>
      <c r="E331" s="13"/>
      <c r="F331" s="30">
        <v>2273.8827280763635</v>
      </c>
      <c r="G331" s="83"/>
      <c r="H331" s="13"/>
      <c r="I331" s="30"/>
      <c r="J331" s="41"/>
      <c r="K331" s="13"/>
      <c r="L331" s="33">
        <v>2182.64</v>
      </c>
      <c r="M331" s="41"/>
      <c r="N331" s="59">
        <f t="shared" si="80"/>
        <v>-91.242728076363619</v>
      </c>
      <c r="O331" s="41"/>
      <c r="P331" s="13"/>
      <c r="Q331" s="33">
        <v>2056.84</v>
      </c>
      <c r="R331" s="41"/>
      <c r="S331" s="85">
        <f t="shared" si="83"/>
        <v>125.79999999999973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2"/>
        <v>PiècesService gratuit 2</v>
      </c>
      <c r="B332" s="11" t="s">
        <v>98</v>
      </c>
      <c r="C332" s="102" t="s">
        <v>50</v>
      </c>
      <c r="D332" s="81"/>
      <c r="E332" s="13"/>
      <c r="F332" s="30">
        <v>265</v>
      </c>
      <c r="G332" s="83"/>
      <c r="H332" s="13"/>
      <c r="I332" s="30"/>
      <c r="J332" s="41"/>
      <c r="K332" s="13"/>
      <c r="L332" s="59">
        <v>118.54</v>
      </c>
      <c r="M332" s="41"/>
      <c r="N332" s="59">
        <f t="shared" si="80"/>
        <v>-146.45999999999998</v>
      </c>
      <c r="O332" s="41"/>
      <c r="P332" s="13"/>
      <c r="Q332" s="33">
        <v>12.99</v>
      </c>
      <c r="R332" s="41"/>
      <c r="S332" s="85">
        <f t="shared" si="83"/>
        <v>105.55000000000001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2"/>
        <v>PiècesFrais véhicules de cie</v>
      </c>
      <c r="B333" s="11" t="s">
        <v>98</v>
      </c>
      <c r="C333" s="103" t="s">
        <v>51</v>
      </c>
      <c r="D333" s="87"/>
      <c r="E333" s="111"/>
      <c r="F333" s="22">
        <v>4423.3333333333339</v>
      </c>
      <c r="G333" s="89"/>
      <c r="H333" s="111"/>
      <c r="I333" s="22"/>
      <c r="J333" s="23"/>
      <c r="K333" s="111"/>
      <c r="L333" s="91">
        <v>4832.04</v>
      </c>
      <c r="M333" s="23"/>
      <c r="N333" s="91">
        <f t="shared" si="80"/>
        <v>408.70666666666602</v>
      </c>
      <c r="O333" s="23"/>
      <c r="P333" s="111"/>
      <c r="Q333" s="33">
        <v>4673.08</v>
      </c>
      <c r="R333" s="23"/>
      <c r="S333" s="92">
        <f t="shared" si="83"/>
        <v>158.96000000000004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2"/>
        <v>PiècesInformatique</v>
      </c>
      <c r="B334" s="11" t="s">
        <v>98</v>
      </c>
      <c r="C334" s="102" t="s">
        <v>52</v>
      </c>
      <c r="D334" s="81"/>
      <c r="E334" s="13"/>
      <c r="F334" s="30">
        <v>1913.8000000000002</v>
      </c>
      <c r="G334" s="83"/>
      <c r="H334" s="13"/>
      <c r="I334" s="30"/>
      <c r="J334" s="41"/>
      <c r="K334" s="13"/>
      <c r="L334" s="108">
        <v>1709.27</v>
      </c>
      <c r="M334" s="41"/>
      <c r="N334" s="59">
        <f t="shared" si="80"/>
        <v>-204.5300000000002</v>
      </c>
      <c r="O334" s="41"/>
      <c r="P334" s="13"/>
      <c r="Q334" s="108">
        <v>1732.58</v>
      </c>
      <c r="R334" s="41"/>
      <c r="S334" s="85">
        <f t="shared" si="83"/>
        <v>-23.309999999999945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2"/>
        <v>PiècesFrais de déplacement</v>
      </c>
      <c r="B335" s="11" t="s">
        <v>98</v>
      </c>
      <c r="C335" s="102" t="s">
        <v>53</v>
      </c>
      <c r="D335" s="81"/>
      <c r="E335" s="13"/>
      <c r="F335" s="30">
        <v>365.6</v>
      </c>
      <c r="G335" s="83"/>
      <c r="H335" s="13"/>
      <c r="I335" s="30"/>
      <c r="J335" s="41"/>
      <c r="K335" s="13"/>
      <c r="L335" s="33">
        <v>146.58000000000001</v>
      </c>
      <c r="M335" s="41"/>
      <c r="N335" s="59">
        <f t="shared" si="80"/>
        <v>-219.02</v>
      </c>
      <c r="O335" s="41"/>
      <c r="P335" s="13"/>
      <c r="Q335" s="33">
        <v>270.32</v>
      </c>
      <c r="R335" s="41"/>
      <c r="S335" s="85">
        <f t="shared" si="83"/>
        <v>-123.73999999999998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2"/>
        <v>PiècesServices extérieurs</v>
      </c>
      <c r="B336" s="11" t="s">
        <v>98</v>
      </c>
      <c r="C336" s="230" t="s">
        <v>54</v>
      </c>
      <c r="D336" s="87"/>
      <c r="E336" s="111"/>
      <c r="F336" s="22">
        <v>1994.2000000000003</v>
      </c>
      <c r="G336" s="89"/>
      <c r="H336" s="111"/>
      <c r="I336" s="22"/>
      <c r="J336" s="23"/>
      <c r="K336" s="111"/>
      <c r="L336" s="48">
        <v>1830.59</v>
      </c>
      <c r="M336" s="23"/>
      <c r="N336" s="91">
        <f t="shared" si="80"/>
        <v>-163.61000000000035</v>
      </c>
      <c r="O336" s="23"/>
      <c r="P336" s="111"/>
      <c r="Q336" s="48">
        <v>1965.11</v>
      </c>
      <c r="R336" s="23"/>
      <c r="S336" s="92">
        <f t="shared" si="83"/>
        <v>-134.51999999999998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80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87" si="84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29.518072289156624</v>
      </c>
      <c r="G338" s="83"/>
      <c r="H338" s="13"/>
      <c r="I338" s="30"/>
      <c r="J338" s="41"/>
      <c r="K338" s="13"/>
      <c r="L338" s="33">
        <v>0</v>
      </c>
      <c r="M338" s="41"/>
      <c r="N338" s="59">
        <f t="shared" si="80"/>
        <v>-29.518072289156624</v>
      </c>
      <c r="O338" s="41"/>
      <c r="P338" s="13"/>
      <c r="Q338" s="33">
        <v>0</v>
      </c>
      <c r="R338" s="41"/>
      <c r="S338" s="85">
        <f t="shared" ref="S338:S363" si="85">L338-Q338</f>
        <v>0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4"/>
        <v>PiècesUniformes</v>
      </c>
      <c r="B339" s="11" t="s">
        <v>98</v>
      </c>
      <c r="C339" s="102" t="s">
        <v>56</v>
      </c>
      <c r="D339" s="81"/>
      <c r="E339" s="13"/>
      <c r="F339" s="30">
        <v>33</v>
      </c>
      <c r="G339" s="83"/>
      <c r="H339" s="13"/>
      <c r="I339" s="30"/>
      <c r="J339" s="41"/>
      <c r="K339" s="13"/>
      <c r="L339" s="33">
        <v>34.700000000000003</v>
      </c>
      <c r="M339" s="41"/>
      <c r="N339" s="59">
        <f t="shared" si="80"/>
        <v>1.7000000000000028</v>
      </c>
      <c r="O339" s="41"/>
      <c r="P339" s="13"/>
      <c r="Q339" s="33">
        <v>0</v>
      </c>
      <c r="R339" s="41"/>
      <c r="S339" s="85">
        <f t="shared" si="85"/>
        <v>34.700000000000003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PiècesPapeterie</v>
      </c>
      <c r="B340" s="11" t="s">
        <v>98</v>
      </c>
      <c r="C340" s="102" t="s">
        <v>57</v>
      </c>
      <c r="D340" s="81"/>
      <c r="E340" s="13"/>
      <c r="F340" s="30">
        <v>350</v>
      </c>
      <c r="G340" s="83"/>
      <c r="H340" s="13"/>
      <c r="I340" s="30"/>
      <c r="J340" s="41"/>
      <c r="K340" s="13"/>
      <c r="L340" s="32">
        <v>223.46</v>
      </c>
      <c r="M340" s="41"/>
      <c r="N340" s="59">
        <f t="shared" si="80"/>
        <v>-126.53999999999999</v>
      </c>
      <c r="O340" s="41"/>
      <c r="P340" s="13"/>
      <c r="Q340" s="32">
        <v>399.13</v>
      </c>
      <c r="R340" s="41"/>
      <c r="S340" s="85">
        <f t="shared" si="85"/>
        <v>-175.67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165.65</v>
      </c>
      <c r="M341" s="41"/>
      <c r="N341" s="59">
        <f t="shared" si="80"/>
        <v>47.25</v>
      </c>
      <c r="O341" s="41"/>
      <c r="P341" s="13"/>
      <c r="Q341" s="33">
        <v>63.02</v>
      </c>
      <c r="R341" s="41"/>
      <c r="S341" s="85">
        <f t="shared" si="85"/>
        <v>102.63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PiècesFrais postaux</v>
      </c>
      <c r="B342" s="11" t="s">
        <v>98</v>
      </c>
      <c r="C342" s="102" t="s">
        <v>59</v>
      </c>
      <c r="D342" s="81"/>
      <c r="E342" s="13"/>
      <c r="F342" s="30">
        <v>475</v>
      </c>
      <c r="G342" s="83"/>
      <c r="H342" s="13"/>
      <c r="I342" s="30"/>
      <c r="J342" s="41"/>
      <c r="K342" s="13"/>
      <c r="L342" s="33">
        <v>375.15</v>
      </c>
      <c r="M342" s="41"/>
      <c r="N342" s="59">
        <f t="shared" si="80"/>
        <v>-99.850000000000023</v>
      </c>
      <c r="O342" s="41"/>
      <c r="P342" s="13"/>
      <c r="Q342" s="33">
        <v>-838.54</v>
      </c>
      <c r="R342" s="41"/>
      <c r="S342" s="85">
        <f t="shared" si="85"/>
        <v>1213.69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PiècesDivers</v>
      </c>
      <c r="B343" s="11" t="s">
        <v>98</v>
      </c>
      <c r="C343" s="102" t="s">
        <v>60</v>
      </c>
      <c r="D343" s="81"/>
      <c r="E343" s="13"/>
      <c r="F343" s="30">
        <v>371.6</v>
      </c>
      <c r="G343" s="83"/>
      <c r="H343" s="13"/>
      <c r="I343" s="30"/>
      <c r="J343" s="41"/>
      <c r="K343" s="13"/>
      <c r="L343" s="33">
        <v>289.2</v>
      </c>
      <c r="M343" s="41"/>
      <c r="N343" s="59">
        <f t="shared" si="80"/>
        <v>-82.400000000000034</v>
      </c>
      <c r="O343" s="41"/>
      <c r="P343" s="13"/>
      <c r="Q343" s="33">
        <v>292.8</v>
      </c>
      <c r="R343" s="41"/>
      <c r="S343" s="85">
        <f t="shared" si="85"/>
        <v>-3.6000000000000227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241.14687999999995</v>
      </c>
      <c r="G344" s="83"/>
      <c r="H344" s="13"/>
      <c r="I344" s="30"/>
      <c r="J344" s="41"/>
      <c r="K344" s="13"/>
      <c r="L344" s="59">
        <v>-21.47</v>
      </c>
      <c r="M344" s="41"/>
      <c r="N344" s="59">
        <f t="shared" si="80"/>
        <v>-262.61687999999992</v>
      </c>
      <c r="O344" s="41"/>
      <c r="P344" s="13"/>
      <c r="Q344" s="33">
        <v>244.97</v>
      </c>
      <c r="R344" s="41"/>
      <c r="S344" s="85">
        <f>L344-Q344</f>
        <v>-266.44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1236.4804527719782</v>
      </c>
      <c r="G345" s="83"/>
      <c r="H345" s="13"/>
      <c r="I345" s="30"/>
      <c r="J345" s="41"/>
      <c r="K345" s="13"/>
      <c r="L345" s="32">
        <v>1094.07</v>
      </c>
      <c r="M345" s="41"/>
      <c r="N345" s="59">
        <f t="shared" si="80"/>
        <v>-142.41045277197827</v>
      </c>
      <c r="O345" s="41"/>
      <c r="P345" s="13"/>
      <c r="Q345" s="33">
        <v>1387.53</v>
      </c>
      <c r="R345" s="41"/>
      <c r="S345" s="85">
        <f>L345-Q345</f>
        <v>-293.46000000000004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80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0.14218633834189676</v>
      </c>
      <c r="F349" s="96">
        <f>+SUM(F331:F348)</f>
        <v>14090.961466470833</v>
      </c>
      <c r="G349" s="97"/>
      <c r="H349" s="95"/>
      <c r="I349" s="96"/>
      <c r="J349" s="97" t="s">
        <v>38</v>
      </c>
      <c r="K349" s="95">
        <f>L349/L$314</f>
        <v>0.16000425020650111</v>
      </c>
      <c r="L349" s="96">
        <f>+SUM(L331:L348)</f>
        <v>12980.42</v>
      </c>
      <c r="M349" s="100"/>
      <c r="N349" s="96">
        <f>+SUM(N331:N348)</f>
        <v>-1110.5414664708333</v>
      </c>
      <c r="O349" s="97" t="s">
        <v>38</v>
      </c>
      <c r="P349" s="95">
        <f>Q349/Q$314</f>
        <v>0.14503117030420765</v>
      </c>
      <c r="Q349" s="96">
        <f>+SUM(Q331:Q348)</f>
        <v>12259.829999999998</v>
      </c>
      <c r="R349" s="100"/>
      <c r="S349" s="101">
        <f>+SUM(S331:S348)</f>
        <v>720.58999999999969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0.40699838735041072</v>
      </c>
      <c r="F351" s="96">
        <f>F330+F349</f>
        <v>40334.385567199941</v>
      </c>
      <c r="G351" s="97"/>
      <c r="H351" s="95"/>
      <c r="I351" s="96"/>
      <c r="J351" s="97" t="s">
        <v>38</v>
      </c>
      <c r="K351" s="95">
        <f>L351/L$314</f>
        <v>0.44515057971312832</v>
      </c>
      <c r="L351" s="96">
        <f>L330+L349</f>
        <v>36113.050000000003</v>
      </c>
      <c r="M351" s="100"/>
      <c r="N351" s="113">
        <f>L351-F351</f>
        <v>-4221.3355671999379</v>
      </c>
      <c r="O351" s="97" t="s">
        <v>38</v>
      </c>
      <c r="P351" s="95">
        <f>Q351/Q$314</f>
        <v>0.44798655852349117</v>
      </c>
      <c r="Q351" s="96">
        <f>Q330+Q349</f>
        <v>37869.369999999995</v>
      </c>
      <c r="R351" s="100"/>
      <c r="S351" s="114">
        <f>L351-Q351</f>
        <v>-1756.3199999999924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58767.691543669564</v>
      </c>
      <c r="G353" s="153"/>
      <c r="H353" s="125"/>
      <c r="I353" s="127"/>
      <c r="J353" s="154"/>
      <c r="K353" s="126"/>
      <c r="L353" s="127">
        <f>L314-L351</f>
        <v>45012.42</v>
      </c>
      <c r="M353" s="154"/>
      <c r="N353" s="127">
        <f>L353-F353</f>
        <v>-13755.271543669565</v>
      </c>
      <c r="O353" s="154"/>
      <c r="P353" s="126">
        <f>+Q353/O314</f>
        <v>0.18431700163311082</v>
      </c>
      <c r="Q353" s="127">
        <f>Q314-Q351</f>
        <v>46663.010000000009</v>
      </c>
      <c r="R353" s="154"/>
      <c r="S353" s="129">
        <f>L353-Q353</f>
        <v>-1650.5900000000111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Juin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63" t="s">
        <v>5</v>
      </c>
      <c r="E358" s="464"/>
      <c r="F358" s="465"/>
      <c r="G358" s="466"/>
      <c r="H358" s="464"/>
      <c r="I358" s="465"/>
      <c r="J358" s="466" t="s">
        <v>7</v>
      </c>
      <c r="K358" s="464"/>
      <c r="L358" s="465"/>
      <c r="M358" s="466"/>
      <c r="N358" s="465"/>
      <c r="O358" s="463" t="s">
        <v>8</v>
      </c>
      <c r="P358" s="464"/>
      <c r="Q358" s="465"/>
      <c r="R358" s="466" t="s">
        <v>9</v>
      </c>
      <c r="S358" s="467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6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6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6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6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7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6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6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6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6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6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6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6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6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6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6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6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6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6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6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6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6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6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6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6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6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6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6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6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6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6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6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6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6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6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77933.828322447313</v>
      </c>
      <c r="G401" s="13"/>
      <c r="H401" s="13"/>
      <c r="I401" s="13"/>
      <c r="J401" s="13"/>
      <c r="K401" s="13"/>
      <c r="L401" s="82">
        <f>L353+L289+L233</f>
        <v>44631.770000000019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88"/>
      <c r="AU401" s="488"/>
      <c r="AV401" s="489"/>
    </row>
    <row r="402" spans="1:61" ht="35.25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Juin 2024</v>
      </c>
      <c r="AP402" s="246"/>
      <c r="AQ402" s="488"/>
      <c r="AS402" s="489"/>
      <c r="AT402" s="490"/>
      <c r="AU402" s="488"/>
      <c r="AV402" s="489"/>
      <c r="AW402" s="489"/>
      <c r="AX402" s="489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91"/>
      <c r="AR403" s="246"/>
      <c r="AS403" s="489"/>
      <c r="AT403" s="492"/>
      <c r="AU403" s="491"/>
      <c r="AV403" s="493"/>
      <c r="AW403" s="493"/>
      <c r="AX403" s="493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468" t="s">
        <v>117</v>
      </c>
      <c r="Y404" s="461"/>
      <c r="Z404" s="469"/>
      <c r="AA404" s="460"/>
      <c r="AB404" s="461"/>
      <c r="AC404" s="469"/>
      <c r="AD404" s="460" t="s">
        <v>7</v>
      </c>
      <c r="AE404" s="461"/>
      <c r="AF404" s="469"/>
      <c r="AG404" s="460" t="s">
        <v>213</v>
      </c>
      <c r="AH404" s="461"/>
      <c r="AI404" s="469"/>
      <c r="AJ404" s="460" t="s">
        <v>118</v>
      </c>
      <c r="AK404" s="461"/>
      <c r="AL404" s="461"/>
      <c r="AM404" s="460" t="s">
        <v>119</v>
      </c>
      <c r="AN404" s="461"/>
      <c r="AO404" s="462"/>
      <c r="AP404" s="246"/>
      <c r="AQ404" s="491"/>
      <c r="AR404" s="246"/>
      <c r="AS404" s="493"/>
      <c r="AT404" s="492"/>
      <c r="AU404" s="491"/>
      <c r="AV404" s="493"/>
      <c r="AW404" s="493"/>
      <c r="AX404" s="493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94"/>
      <c r="AR405" s="395"/>
      <c r="AS405" s="395"/>
      <c r="AT405" s="495"/>
      <c r="AU405" s="494"/>
      <c r="AV405" s="496"/>
      <c r="AW405" s="496"/>
      <c r="AX405" s="496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4094306.1350065502</v>
      </c>
      <c r="AA406" s="263"/>
      <c r="AB406" s="263"/>
      <c r="AC406" s="264"/>
      <c r="AD406" s="265"/>
      <c r="AE406" s="266"/>
      <c r="AF406" s="266">
        <f>L5+L93+K194+K250+J314+J362</f>
        <v>3580042.6199999992</v>
      </c>
      <c r="AG406" s="265"/>
      <c r="AH406" s="266"/>
      <c r="AI406" s="267"/>
      <c r="AJ406" s="265"/>
      <c r="AK406" s="266"/>
      <c r="AL406" s="266">
        <f>Q5+Q93+P194+P250+O314+O362</f>
        <v>3825747.9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93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444712.69785719574</v>
      </c>
      <c r="AA407" s="271"/>
      <c r="AB407" s="271"/>
      <c r="AC407" s="272"/>
      <c r="AD407" s="273"/>
      <c r="AE407" s="274"/>
      <c r="AF407" s="274">
        <f>L27+L108+L194+L250+L314+L362</f>
        <v>328686.44</v>
      </c>
      <c r="AG407" s="273"/>
      <c r="AH407" s="274">
        <f>AF407-Z407</f>
        <v>-116026.25785719574</v>
      </c>
      <c r="AI407" s="275">
        <f>AH407/Z407</f>
        <v>-0.26090160774868093</v>
      </c>
      <c r="AJ407" s="273">
        <f>+AL407/AL406</f>
        <v>0.11816170898244488</v>
      </c>
      <c r="AK407" s="274"/>
      <c r="AL407" s="274">
        <f>Q27+Q108+Q194+Q250+Q314+Q362</f>
        <v>452056.90999999963</v>
      </c>
      <c r="AM407" s="276"/>
      <c r="AN407" s="274">
        <f>AF407-AL407</f>
        <v>-123370.46999999962</v>
      </c>
      <c r="AO407" s="277">
        <f>IF(AL407=0,0,AN407/AL407)</f>
        <v>-0.27290915650421033</v>
      </c>
      <c r="AP407" s="246"/>
      <c r="AQ407" s="246" t="s">
        <v>226</v>
      </c>
      <c r="AR407" s="310">
        <v>335911</v>
      </c>
      <c r="AS407" s="310">
        <f>AF407-AR407</f>
        <v>-7224.5599999999977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91"/>
      <c r="AV408" s="491"/>
      <c r="AW408" s="491"/>
      <c r="AX408" s="491"/>
      <c r="AY408" s="491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90">Z409/(D$13+D$97)</f>
        <v>1175.1553171443318</v>
      </c>
      <c r="Z409" s="280">
        <f t="shared" ref="Z409:Z415" si="91">+SUMIF($C:$C,$V409,F:F)</f>
        <v>48181.368002917603</v>
      </c>
      <c r="AA409" s="279"/>
      <c r="AB409" s="287"/>
      <c r="AC409" s="280"/>
      <c r="AD409" s="288"/>
      <c r="AE409" s="287">
        <f t="shared" ref="AE409:AE414" si="92">IF(AF409=0,0,AF409/(J$13+J$97))</f>
        <v>860.87250000000006</v>
      </c>
      <c r="AF409" s="280">
        <f t="shared" ref="AF409:AF415" si="93">+SUMIF($C:$C,$V409,L:L)</f>
        <v>30991.410000000003</v>
      </c>
      <c r="AG409" s="281">
        <f t="shared" ref="AG409:AH424" si="94">AE409-Y409</f>
        <v>-314.28281714433172</v>
      </c>
      <c r="AH409" s="282">
        <f t="shared" si="94"/>
        <v>-17189.9580029176</v>
      </c>
      <c r="AI409" s="283">
        <f t="shared" ref="AI409:AI418" si="95">IF(Z409=0,0,AH409/Z409)</f>
        <v>-0.35677604674646574</v>
      </c>
      <c r="AJ409" s="288">
        <f t="shared" ref="AJ409:AJ415" si="96">AL409/AL$407</f>
        <v>0.11252910612515588</v>
      </c>
      <c r="AK409" s="282">
        <f t="shared" ref="AK409:AK418" si="97">AL409/(O$13+O$97)</f>
        <v>1271.739</v>
      </c>
      <c r="AL409" s="280">
        <f t="shared" ref="AL409:AL414" si="98">+SUMIF($C:$C,$V409,Q:Q)</f>
        <v>50869.56</v>
      </c>
      <c r="AM409" s="284">
        <f t="shared" ref="AM409:AM414" si="99">AE409-Y409</f>
        <v>-314.28281714433172</v>
      </c>
      <c r="AN409" s="282">
        <f t="shared" ref="AN409:AN414" si="100">AF409-AL409</f>
        <v>-19878.149999999994</v>
      </c>
      <c r="AO409" s="289">
        <f t="shared" ref="AO409:AO431" si="101">IF(AL409=0,0,AN409/AL409)</f>
        <v>-0.39076709136072724</v>
      </c>
      <c r="AP409" s="246"/>
      <c r="AQ409" s="246"/>
      <c r="AS409" s="497"/>
      <c r="AT409" s="490"/>
      <c r="AU409" s="491"/>
      <c r="AV409" s="491"/>
      <c r="AW409" s="491"/>
      <c r="AX409" s="491"/>
      <c r="AY409" s="491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90"/>
        <v>425.91463414634148</v>
      </c>
      <c r="Z410" s="264">
        <f t="shared" si="91"/>
        <v>17462.5</v>
      </c>
      <c r="AA410" s="263"/>
      <c r="AB410" s="291"/>
      <c r="AC410" s="264"/>
      <c r="AD410" s="292"/>
      <c r="AE410" s="291">
        <f t="shared" si="92"/>
        <v>455.85944444444453</v>
      </c>
      <c r="AF410" s="264">
        <f t="shared" si="93"/>
        <v>16410.940000000002</v>
      </c>
      <c r="AG410" s="265">
        <f t="shared" si="94"/>
        <v>29.94481029810305</v>
      </c>
      <c r="AH410" s="266">
        <f t="shared" si="94"/>
        <v>-1051.5599999999977</v>
      </c>
      <c r="AI410" s="293">
        <f t="shared" si="95"/>
        <v>-6.0218181818181685E-2</v>
      </c>
      <c r="AJ410" s="292">
        <f t="shared" si="96"/>
        <v>3.1180919234261924E-2</v>
      </c>
      <c r="AK410" s="266">
        <f t="shared" si="97"/>
        <v>352.38874999999996</v>
      </c>
      <c r="AL410" s="264">
        <f t="shared" si="98"/>
        <v>14095.55</v>
      </c>
      <c r="AM410" s="268">
        <f t="shared" si="99"/>
        <v>29.94481029810305</v>
      </c>
      <c r="AN410" s="266">
        <f t="shared" si="100"/>
        <v>2315.3900000000031</v>
      </c>
      <c r="AO410" s="294">
        <f t="shared" si="101"/>
        <v>0.16426389889007545</v>
      </c>
      <c r="AP410" s="246"/>
      <c r="AQ410" s="246"/>
      <c r="AS410" s="439"/>
      <c r="AT410" s="490"/>
      <c r="AU410" s="491"/>
      <c r="AV410" s="491"/>
      <c r="AW410" s="491"/>
      <c r="AX410" s="491"/>
      <c r="AY410" s="491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90"/>
        <v>110</v>
      </c>
      <c r="Z411" s="280">
        <f t="shared" si="91"/>
        <v>4510</v>
      </c>
      <c r="AA411" s="279"/>
      <c r="AB411" s="287"/>
      <c r="AC411" s="280"/>
      <c r="AD411" s="288"/>
      <c r="AE411" s="287">
        <f t="shared" si="92"/>
        <v>118.62138888888889</v>
      </c>
      <c r="AF411" s="280">
        <f t="shared" si="93"/>
        <v>4270.37</v>
      </c>
      <c r="AG411" s="281">
        <f t="shared" si="94"/>
        <v>8.6213888888888874</v>
      </c>
      <c r="AH411" s="282">
        <f t="shared" si="94"/>
        <v>-239.63000000000011</v>
      </c>
      <c r="AI411" s="283">
        <f t="shared" si="95"/>
        <v>-5.3133037694013327E-2</v>
      </c>
      <c r="AJ411" s="288">
        <f t="shared" si="96"/>
        <v>1.004134634287529E-2</v>
      </c>
      <c r="AK411" s="282">
        <f t="shared" si="97"/>
        <v>113.48150000000001</v>
      </c>
      <c r="AL411" s="280">
        <f t="shared" si="98"/>
        <v>4539.26</v>
      </c>
      <c r="AM411" s="284">
        <f t="shared" si="99"/>
        <v>8.6213888888888874</v>
      </c>
      <c r="AN411" s="282">
        <f t="shared" si="100"/>
        <v>-268.89000000000033</v>
      </c>
      <c r="AO411" s="289">
        <f t="shared" si="101"/>
        <v>-5.9236527539731215E-2</v>
      </c>
      <c r="AP411" s="246"/>
      <c r="AQ411" s="246"/>
      <c r="AS411" s="439"/>
      <c r="AT411" s="490"/>
      <c r="AU411" s="491"/>
      <c r="AV411" s="491"/>
      <c r="AW411" s="491"/>
      <c r="AX411" s="491"/>
      <c r="AY411" s="491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90"/>
        <v>70.243902439024396</v>
      </c>
      <c r="Z412" s="280">
        <f t="shared" si="91"/>
        <v>2880</v>
      </c>
      <c r="AA412" s="279"/>
      <c r="AB412" s="287"/>
      <c r="AC412" s="280"/>
      <c r="AD412" s="288"/>
      <c r="AE412" s="287">
        <f t="shared" si="92"/>
        <v>75.645833333333329</v>
      </c>
      <c r="AF412" s="280">
        <f t="shared" si="93"/>
        <v>2723.25</v>
      </c>
      <c r="AG412" s="281">
        <f t="shared" si="94"/>
        <v>5.4019308943089328</v>
      </c>
      <c r="AH412" s="282">
        <f t="shared" si="94"/>
        <v>-156.75</v>
      </c>
      <c r="AI412" s="283">
        <f t="shared" si="95"/>
        <v>-5.4427083333333334E-2</v>
      </c>
      <c r="AJ412" s="288">
        <f t="shared" si="96"/>
        <v>1.2486259749906279E-3</v>
      </c>
      <c r="AK412" s="282">
        <f t="shared" si="97"/>
        <v>14.111250000000002</v>
      </c>
      <c r="AL412" s="280">
        <f t="shared" si="98"/>
        <v>564.45000000000005</v>
      </c>
      <c r="AM412" s="284">
        <f t="shared" si="99"/>
        <v>5.4019308943089328</v>
      </c>
      <c r="AN412" s="282">
        <f t="shared" si="100"/>
        <v>2158.8000000000002</v>
      </c>
      <c r="AO412" s="295">
        <f t="shared" si="101"/>
        <v>3.82460802551156</v>
      </c>
      <c r="AP412" s="246"/>
      <c r="AQ412" s="246"/>
      <c r="AS412" s="439"/>
      <c r="AT412" s="490"/>
      <c r="AU412" s="491"/>
      <c r="AV412" s="491"/>
      <c r="AW412" s="491"/>
      <c r="AX412" s="491"/>
      <c r="AY412" s="491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227</v>
      </c>
      <c r="X413" s="263"/>
      <c r="Y413" s="291">
        <f t="shared" si="90"/>
        <v>76.951219512195124</v>
      </c>
      <c r="Z413" s="264">
        <f t="shared" si="91"/>
        <v>3155</v>
      </c>
      <c r="AA413" s="263"/>
      <c r="AB413" s="291"/>
      <c r="AC413" s="264"/>
      <c r="AD413" s="292"/>
      <c r="AE413" s="291">
        <f t="shared" si="92"/>
        <v>69.806944444444454</v>
      </c>
      <c r="AF413" s="264">
        <f t="shared" si="93"/>
        <v>2513.0500000000002</v>
      </c>
      <c r="AG413" s="265">
        <f t="shared" si="94"/>
        <v>-7.1442750677506695</v>
      </c>
      <c r="AH413" s="266">
        <f t="shared" si="94"/>
        <v>-641.94999999999982</v>
      </c>
      <c r="AI413" s="293">
        <f t="shared" si="95"/>
        <v>-0.20347068145800312</v>
      </c>
      <c r="AJ413" s="292">
        <f t="shared" si="96"/>
        <v>5.0406927747216656E-3</v>
      </c>
      <c r="AK413" s="266">
        <f t="shared" si="97"/>
        <v>56.967000000000006</v>
      </c>
      <c r="AL413" s="264">
        <f t="shared" si="98"/>
        <v>2278.6800000000003</v>
      </c>
      <c r="AM413" s="268">
        <f t="shared" si="99"/>
        <v>-7.1442750677506695</v>
      </c>
      <c r="AN413" s="266">
        <f t="shared" si="100"/>
        <v>234.36999999999989</v>
      </c>
      <c r="AO413" s="294">
        <f t="shared" si="101"/>
        <v>0.10285340635806689</v>
      </c>
      <c r="AP413" s="246"/>
      <c r="AQ413" s="246"/>
      <c r="AS413" s="439"/>
      <c r="AT413" s="490"/>
      <c r="AU413" s="491"/>
      <c r="AV413" s="491"/>
      <c r="AW413" s="491"/>
      <c r="AX413" s="491"/>
      <c r="AY413" s="491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228</v>
      </c>
      <c r="X414" s="283"/>
      <c r="Y414" s="287">
        <f t="shared" si="90"/>
        <v>421.01194105691064</v>
      </c>
      <c r="Z414" s="280">
        <f t="shared" si="91"/>
        <v>17261.489583333336</v>
      </c>
      <c r="AA414" s="283"/>
      <c r="AB414" s="287"/>
      <c r="AC414" s="280"/>
      <c r="AD414" s="288"/>
      <c r="AE414" s="287">
        <f t="shared" si="92"/>
        <v>439.70555555555552</v>
      </c>
      <c r="AF414" s="280">
        <f t="shared" si="93"/>
        <v>15829.4</v>
      </c>
      <c r="AG414" s="281">
        <f t="shared" si="94"/>
        <v>18.693614498644877</v>
      </c>
      <c r="AH414" s="282">
        <f t="shared" si="94"/>
        <v>-1432.0895833333361</v>
      </c>
      <c r="AI414" s="283">
        <f t="shared" si="95"/>
        <v>-8.296442647198167E-2</v>
      </c>
      <c r="AJ414" s="288">
        <f t="shared" si="96"/>
        <v>3.7494327871240844E-2</v>
      </c>
      <c r="AK414" s="282">
        <f t="shared" si="97"/>
        <v>423.73924999999997</v>
      </c>
      <c r="AL414" s="280">
        <f t="shared" si="98"/>
        <v>16949.57</v>
      </c>
      <c r="AM414" s="284">
        <f t="shared" si="99"/>
        <v>18.693614498644877</v>
      </c>
      <c r="AN414" s="282">
        <f t="shared" si="100"/>
        <v>-1120.17</v>
      </c>
      <c r="AO414" s="289">
        <f t="shared" si="101"/>
        <v>-6.6088402242652763E-2</v>
      </c>
      <c r="AP414" s="246"/>
      <c r="AQ414" s="246"/>
      <c r="AR414" s="440"/>
      <c r="AS414" s="439"/>
      <c r="AT414" s="490"/>
      <c r="AU414" s="491"/>
      <c r="AV414" s="491"/>
      <c r="AW414" s="491"/>
      <c r="AX414" s="491"/>
      <c r="AY414" s="491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229</v>
      </c>
      <c r="X415" s="279"/>
      <c r="Y415" s="287">
        <f t="shared" si="90"/>
        <v>828.46197774133202</v>
      </c>
      <c r="Z415" s="280">
        <f t="shared" si="91"/>
        <v>33966.941087394611</v>
      </c>
      <c r="AA415" s="279"/>
      <c r="AB415" s="287"/>
      <c r="AC415" s="280"/>
      <c r="AD415" s="288"/>
      <c r="AE415" s="287">
        <f>IF(AF415=0,0,AF415/(J$13+J$13))</f>
        <v>1190.8279411764706</v>
      </c>
      <c r="AF415" s="280">
        <f t="shared" si="93"/>
        <v>40488.15</v>
      </c>
      <c r="AG415" s="281">
        <f t="shared" si="94"/>
        <v>362.36596343513861</v>
      </c>
      <c r="AH415" s="282">
        <f t="shared" si="94"/>
        <v>6521.2089126053907</v>
      </c>
      <c r="AI415" s="283">
        <f t="shared" si="95"/>
        <v>0.19198693505625858</v>
      </c>
      <c r="AJ415" s="288">
        <f t="shared" si="96"/>
        <v>2.4448271347074443E-2</v>
      </c>
      <c r="AK415" s="282">
        <f t="shared" si="97"/>
        <v>276.30025000000001</v>
      </c>
      <c r="AL415" s="280">
        <f>IFERROR(SUMIF($C:$C,$V415,Q:Q),0)</f>
        <v>11052.01</v>
      </c>
      <c r="AM415" s="284">
        <f>AE415-Y415</f>
        <v>362.36596343513861</v>
      </c>
      <c r="AN415" s="282">
        <f>AF415-AL415</f>
        <v>29436.14</v>
      </c>
      <c r="AO415" s="289">
        <f t="shared" si="101"/>
        <v>2.6634195951686617</v>
      </c>
      <c r="AP415" s="246"/>
      <c r="AQ415" s="246">
        <v>40488</v>
      </c>
      <c r="AR415" s="13"/>
      <c r="AS415" s="498"/>
      <c r="AT415" s="246"/>
      <c r="AU415" s="491"/>
      <c r="AV415" s="491"/>
      <c r="AW415" s="491"/>
      <c r="AX415" s="491"/>
      <c r="AY415" s="491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90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4"/>
        <v>0</v>
      </c>
      <c r="AH416" s="282">
        <f t="shared" si="94"/>
        <v>0</v>
      </c>
      <c r="AI416" s="283">
        <f t="shared" si="95"/>
        <v>0</v>
      </c>
      <c r="AJ416" s="288"/>
      <c r="AK416" s="282">
        <f t="shared" si="97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101"/>
        <v>0</v>
      </c>
      <c r="AP416" s="246"/>
      <c r="AQ416" s="246"/>
      <c r="AR416" s="13"/>
      <c r="AS416" s="246"/>
      <c r="AT416" s="246"/>
      <c r="AU416" s="491"/>
      <c r="AV416" s="491"/>
      <c r="AW416" s="491"/>
      <c r="AX416" s="491"/>
      <c r="AY416" s="491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90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4"/>
        <v>0</v>
      </c>
      <c r="AH417" s="282">
        <f t="shared" si="94"/>
        <v>0</v>
      </c>
      <c r="AI417" s="283">
        <f t="shared" si="95"/>
        <v>0</v>
      </c>
      <c r="AJ417" s="288"/>
      <c r="AK417" s="282">
        <f t="shared" si="97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101"/>
        <v>0</v>
      </c>
      <c r="AP417" s="246"/>
      <c r="AQ417" s="246"/>
      <c r="AR417" s="13"/>
      <c r="AS417" s="246"/>
      <c r="AT417" s="246"/>
      <c r="AU417" s="491"/>
      <c r="AV417" s="491"/>
      <c r="AW417" s="491"/>
      <c r="AX417" s="491"/>
      <c r="AY417" s="491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90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4"/>
        <v>0</v>
      </c>
      <c r="AH418" s="282">
        <f t="shared" si="94"/>
        <v>0</v>
      </c>
      <c r="AI418" s="283">
        <f t="shared" si="95"/>
        <v>0</v>
      </c>
      <c r="AJ418" s="288"/>
      <c r="AK418" s="282">
        <f t="shared" si="97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101"/>
        <v>0</v>
      </c>
      <c r="AP418" s="246"/>
      <c r="AQ418" s="246"/>
      <c r="AR418" s="13"/>
      <c r="AS418" s="246"/>
      <c r="AT418" s="246"/>
      <c r="AU418" s="491"/>
      <c r="AV418" s="491"/>
      <c r="AW418" s="491"/>
      <c r="AX418" s="491"/>
      <c r="AY418" s="491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0.28651598950871704</v>
      </c>
      <c r="Y419" s="297"/>
      <c r="Z419" s="299">
        <f>SUM(Z409:Z418)</f>
        <v>127417.29867364554</v>
      </c>
      <c r="AA419" s="298"/>
      <c r="AB419" s="297"/>
      <c r="AC419" s="299"/>
      <c r="AD419" s="300">
        <f>AF419/AF407</f>
        <v>0.34448202365756253</v>
      </c>
      <c r="AE419" s="297"/>
      <c r="AF419" s="299">
        <f>SUM(AF409:AF418)</f>
        <v>113226.57</v>
      </c>
      <c r="AG419" s="301"/>
      <c r="AH419" s="302">
        <f t="shared" si="94"/>
        <v>-14190.728673645528</v>
      </c>
      <c r="AI419" s="298">
        <f>AH419/Z419</f>
        <v>-0.11137207287679439</v>
      </c>
      <c r="AJ419" s="300">
        <f>IF($AL$407=0,0,AL419/$AL$407)</f>
        <v>0.22198328967032069</v>
      </c>
      <c r="AK419" s="297"/>
      <c r="AL419" s="299">
        <f>SUM(AL409:AL418)</f>
        <v>100349.08</v>
      </c>
      <c r="AM419" s="303"/>
      <c r="AN419" s="302">
        <f t="shared" ref="AN419:AN431" si="102">AF419-AL419</f>
        <v>12877.490000000005</v>
      </c>
      <c r="AO419" s="277">
        <f t="shared" si="101"/>
        <v>0.128326936330657</v>
      </c>
      <c r="AP419" s="246"/>
      <c r="AQ419" s="246"/>
      <c r="AR419" s="13"/>
      <c r="AS419" s="246"/>
      <c r="AT419" s="246"/>
      <c r="AU419" s="491"/>
      <c r="AV419" s="491"/>
      <c r="AW419" s="491"/>
      <c r="AX419" s="491"/>
      <c r="AY419" s="491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14104.793256997455</v>
      </c>
      <c r="AA420" s="279"/>
      <c r="AB420" s="279"/>
      <c r="AC420" s="280"/>
      <c r="AD420" s="288"/>
      <c r="AE420" s="287"/>
      <c r="AF420" s="280">
        <v>12851.169999999998</v>
      </c>
      <c r="AG420" s="281"/>
      <c r="AH420" s="282">
        <f t="shared" si="94"/>
        <v>-1253.6232569974563</v>
      </c>
      <c r="AI420" s="283">
        <f t="shared" ref="AI420:AI432" si="103">IF(Z420=0,0,AH420/Z420)</f>
        <v>-8.8879236593952055E-2</v>
      </c>
      <c r="AJ420" s="288"/>
      <c r="AK420" s="279"/>
      <c r="AL420" s="280">
        <v>14713.99</v>
      </c>
      <c r="AM420" s="284"/>
      <c r="AN420" s="282">
        <f t="shared" si="102"/>
        <v>-1862.8200000000015</v>
      </c>
      <c r="AO420" s="289">
        <f t="shared" si="101"/>
        <v>-0.126601961806417</v>
      </c>
      <c r="AP420" s="246"/>
      <c r="AQ420" s="246"/>
      <c r="AS420" s="246"/>
      <c r="AT420" s="246"/>
      <c r="AU420" s="491"/>
      <c r="AV420" s="491"/>
      <c r="AW420" s="491"/>
      <c r="AX420" s="491"/>
      <c r="AY420" s="491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4">+SUMIF($C:$C,$V421,F:F)</f>
        <v>30674.562340966921</v>
      </c>
      <c r="AA421" s="279"/>
      <c r="AB421" s="279"/>
      <c r="AC421" s="280"/>
      <c r="AD421" s="288"/>
      <c r="AE421" s="287"/>
      <c r="AF421" s="280">
        <f t="shared" ref="AF421:AF432" si="105">+SUMIF($C:$C,$V421,L:L)</f>
        <v>22412.000000000004</v>
      </c>
      <c r="AG421" s="281"/>
      <c r="AH421" s="282">
        <f t="shared" si="94"/>
        <v>-8262.562340966917</v>
      </c>
      <c r="AI421" s="283">
        <f t="shared" si="103"/>
        <v>-0.26936202867781373</v>
      </c>
      <c r="AJ421" s="288"/>
      <c r="AK421" s="279"/>
      <c r="AL421" s="280">
        <f t="shared" ref="AL421:AL429" si="106">+SUMIF($C:$C,$V421,Q:Q)</f>
        <v>22809.809999999998</v>
      </c>
      <c r="AM421" s="284"/>
      <c r="AN421" s="282">
        <f t="shared" si="102"/>
        <v>-397.80999999999403</v>
      </c>
      <c r="AO421" s="289">
        <f t="shared" si="101"/>
        <v>-1.744030309765816E-2</v>
      </c>
      <c r="AP421" s="246"/>
      <c r="AQ421" s="246"/>
      <c r="AS421" s="246"/>
      <c r="AT421" s="246"/>
      <c r="AU421" s="491"/>
      <c r="AV421" s="491"/>
      <c r="AW421" s="491"/>
      <c r="AX421" s="491"/>
      <c r="AY421" s="491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4"/>
        <v>18510.190203562343</v>
      </c>
      <c r="AA422" s="263"/>
      <c r="AB422" s="263"/>
      <c r="AC422" s="264"/>
      <c r="AD422" s="292"/>
      <c r="AE422" s="291"/>
      <c r="AF422" s="264">
        <f t="shared" si="105"/>
        <v>19079.100000000002</v>
      </c>
      <c r="AG422" s="265"/>
      <c r="AH422" s="266">
        <f t="shared" si="94"/>
        <v>568.90979643765968</v>
      </c>
      <c r="AI422" s="293">
        <f t="shared" si="103"/>
        <v>3.073495140682948E-2</v>
      </c>
      <c r="AJ422" s="292"/>
      <c r="AK422" s="263"/>
      <c r="AL422" s="264">
        <f t="shared" si="106"/>
        <v>18562.300000000003</v>
      </c>
      <c r="AM422" s="268"/>
      <c r="AN422" s="266">
        <f t="shared" si="102"/>
        <v>516.79999999999927</v>
      </c>
      <c r="AO422" s="269">
        <f t="shared" si="101"/>
        <v>2.7841377415514196E-2</v>
      </c>
      <c r="AP422" s="246"/>
      <c r="AQ422" s="246"/>
      <c r="AS422" s="246"/>
      <c r="AT422" s="246"/>
      <c r="AU422" s="491"/>
      <c r="AV422" s="491"/>
      <c r="AW422" s="491"/>
      <c r="AX422" s="491"/>
      <c r="AY422" s="491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4"/>
        <v>19941.282442748092</v>
      </c>
      <c r="AA423" s="279"/>
      <c r="AB423" s="279"/>
      <c r="AC423" s="280"/>
      <c r="AD423" s="288"/>
      <c r="AE423" s="287"/>
      <c r="AF423" s="280">
        <f t="shared" si="105"/>
        <v>17673.84</v>
      </c>
      <c r="AG423" s="281"/>
      <c r="AH423" s="282">
        <f t="shared" si="94"/>
        <v>-2267.4424427480917</v>
      </c>
      <c r="AI423" s="283">
        <f t="shared" si="103"/>
        <v>-0.11370594891567151</v>
      </c>
      <c r="AJ423" s="288"/>
      <c r="AK423" s="279"/>
      <c r="AL423" s="280">
        <f t="shared" si="106"/>
        <v>20946.169999999998</v>
      </c>
      <c r="AM423" s="284"/>
      <c r="AN423" s="282">
        <f t="shared" si="102"/>
        <v>-3272.3299999999981</v>
      </c>
      <c r="AO423" s="289">
        <f t="shared" si="101"/>
        <v>-0.15622569663093533</v>
      </c>
      <c r="AP423" s="246"/>
      <c r="AQ423" s="246"/>
      <c r="AS423" s="246"/>
      <c r="AT423" s="246"/>
      <c r="AU423" s="491"/>
      <c r="AV423" s="491"/>
      <c r="AW423" s="491"/>
      <c r="AX423" s="491"/>
      <c r="AY423" s="491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230</v>
      </c>
      <c r="X424" s="279"/>
      <c r="Y424" s="279"/>
      <c r="Z424" s="280">
        <f t="shared" si="104"/>
        <v>13003.850331481193</v>
      </c>
      <c r="AA424" s="279"/>
      <c r="AB424" s="279"/>
      <c r="AC424" s="280"/>
      <c r="AD424" s="288"/>
      <c r="AE424" s="287"/>
      <c r="AF424" s="280">
        <f t="shared" si="105"/>
        <v>14791.16</v>
      </c>
      <c r="AG424" s="281"/>
      <c r="AH424" s="282">
        <f t="shared" si="94"/>
        <v>1787.3096685188066</v>
      </c>
      <c r="AI424" s="283">
        <f t="shared" si="103"/>
        <v>0.13744465085020896</v>
      </c>
      <c r="AJ424" s="288"/>
      <c r="AK424" s="279"/>
      <c r="AL424" s="280">
        <f t="shared" si="106"/>
        <v>13109.7</v>
      </c>
      <c r="AM424" s="284"/>
      <c r="AN424" s="282">
        <f t="shared" si="102"/>
        <v>1681.4599999999991</v>
      </c>
      <c r="AO424" s="289">
        <f t="shared" si="101"/>
        <v>0.12826075348787533</v>
      </c>
      <c r="AP424" s="246"/>
      <c r="AQ424" s="246"/>
      <c r="AS424" s="491"/>
      <c r="AT424" s="491"/>
      <c r="AU424" s="491"/>
      <c r="AV424" s="491"/>
      <c r="AW424" s="491"/>
      <c r="AX424" s="491"/>
      <c r="AY424" s="491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4"/>
        <v>0</v>
      </c>
      <c r="AA425" s="279"/>
      <c r="AB425" s="279"/>
      <c r="AC425" s="282"/>
      <c r="AD425" s="288"/>
      <c r="AE425" s="287"/>
      <c r="AF425" s="280">
        <f t="shared" si="105"/>
        <v>0</v>
      </c>
      <c r="AG425" s="281"/>
      <c r="AH425" s="282">
        <f t="shared" ref="AH425:AH457" si="107">AF425-Z425</f>
        <v>0</v>
      </c>
      <c r="AI425" s="283">
        <f t="shared" si="103"/>
        <v>0</v>
      </c>
      <c r="AJ425" s="288"/>
      <c r="AK425" s="279"/>
      <c r="AL425" s="280">
        <f t="shared" si="106"/>
        <v>0</v>
      </c>
      <c r="AM425" s="284"/>
      <c r="AN425" s="282">
        <f t="shared" si="102"/>
        <v>0</v>
      </c>
      <c r="AO425" s="289">
        <f t="shared" si="101"/>
        <v>0</v>
      </c>
      <c r="AP425" s="246"/>
      <c r="AQ425" s="246"/>
      <c r="AR425" s="440"/>
      <c r="AS425" s="491"/>
      <c r="AT425" s="491"/>
      <c r="AU425" s="491"/>
      <c r="AV425" s="491"/>
      <c r="AW425" s="491"/>
      <c r="AX425" s="491"/>
      <c r="AY425" s="491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4"/>
        <v>0</v>
      </c>
      <c r="AA426" s="279"/>
      <c r="AB426" s="279"/>
      <c r="AC426" s="282"/>
      <c r="AD426" s="288"/>
      <c r="AE426" s="287"/>
      <c r="AF426" s="280">
        <f t="shared" si="105"/>
        <v>0</v>
      </c>
      <c r="AG426" s="281"/>
      <c r="AH426" s="282">
        <f t="shared" si="107"/>
        <v>0</v>
      </c>
      <c r="AI426" s="283">
        <f t="shared" si="103"/>
        <v>0</v>
      </c>
      <c r="AJ426" s="288"/>
      <c r="AK426" s="279"/>
      <c r="AL426" s="280">
        <f t="shared" si="106"/>
        <v>0</v>
      </c>
      <c r="AM426" s="284"/>
      <c r="AN426" s="282">
        <f t="shared" si="102"/>
        <v>0</v>
      </c>
      <c r="AO426" s="289">
        <f t="shared" si="101"/>
        <v>0</v>
      </c>
      <c r="AP426" s="246"/>
      <c r="AQ426" s="246"/>
      <c r="AS426" s="491"/>
      <c r="AT426" s="491"/>
      <c r="AU426" s="491"/>
      <c r="AV426" s="491"/>
      <c r="AW426" s="491"/>
      <c r="AX426" s="491"/>
      <c r="AY426" s="491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4"/>
        <v>0</v>
      </c>
      <c r="AA427" s="279"/>
      <c r="AB427" s="279"/>
      <c r="AC427" s="282"/>
      <c r="AD427" s="288"/>
      <c r="AE427" s="287"/>
      <c r="AF427" s="280">
        <f t="shared" si="105"/>
        <v>0</v>
      </c>
      <c r="AG427" s="281"/>
      <c r="AH427" s="282">
        <f t="shared" si="107"/>
        <v>0</v>
      </c>
      <c r="AI427" s="283">
        <f t="shared" si="103"/>
        <v>0</v>
      </c>
      <c r="AJ427" s="288"/>
      <c r="AK427" s="279"/>
      <c r="AL427" s="280">
        <f t="shared" si="106"/>
        <v>0</v>
      </c>
      <c r="AM427" s="284"/>
      <c r="AN427" s="282">
        <f t="shared" si="102"/>
        <v>0</v>
      </c>
      <c r="AO427" s="289">
        <f t="shared" si="101"/>
        <v>0</v>
      </c>
      <c r="AP427" s="246"/>
      <c r="AQ427" s="246"/>
      <c r="AS427" s="491"/>
      <c r="AT427" s="491"/>
      <c r="AU427" s="491"/>
      <c r="AV427" s="491"/>
      <c r="AW427" s="491"/>
      <c r="AX427" s="491"/>
      <c r="AY427" s="491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4"/>
        <v>20347.062217039384</v>
      </c>
      <c r="AA428" s="263"/>
      <c r="AB428" s="263"/>
      <c r="AC428" s="264"/>
      <c r="AD428" s="292"/>
      <c r="AE428" s="291"/>
      <c r="AF428" s="264">
        <f t="shared" si="105"/>
        <v>24395.11</v>
      </c>
      <c r="AG428" s="265"/>
      <c r="AH428" s="266">
        <f t="shared" si="107"/>
        <v>4048.047782960617</v>
      </c>
      <c r="AI428" s="293">
        <f t="shared" si="103"/>
        <v>0.19894998795308308</v>
      </c>
      <c r="AJ428" s="292"/>
      <c r="AK428" s="263"/>
      <c r="AL428" s="264">
        <f t="shared" si="106"/>
        <v>25019</v>
      </c>
      <c r="AM428" s="268"/>
      <c r="AN428" s="266">
        <f t="shared" si="102"/>
        <v>-623.88999999999942</v>
      </c>
      <c r="AO428" s="294">
        <f t="shared" si="101"/>
        <v>-2.4936648147407946E-2</v>
      </c>
      <c r="AP428" s="491"/>
      <c r="AQ428" s="499"/>
      <c r="AS428" s="491"/>
      <c r="AT428" s="491"/>
      <c r="AU428" s="491"/>
      <c r="AV428" s="491"/>
      <c r="AW428" s="491"/>
      <c r="AX428" s="491"/>
      <c r="AY428" s="491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4"/>
        <v>26638.637964120935</v>
      </c>
      <c r="AA429" s="279"/>
      <c r="AB429" s="279"/>
      <c r="AC429" s="280"/>
      <c r="AD429" s="288"/>
      <c r="AE429" s="287"/>
      <c r="AF429" s="280">
        <f t="shared" si="105"/>
        <v>25022.799999999999</v>
      </c>
      <c r="AG429" s="281"/>
      <c r="AH429" s="282">
        <f t="shared" si="107"/>
        <v>-1615.8379641209358</v>
      </c>
      <c r="AI429" s="283">
        <f t="shared" si="103"/>
        <v>-6.0657679506635309E-2</v>
      </c>
      <c r="AJ429" s="288"/>
      <c r="AK429" s="279"/>
      <c r="AL429" s="280">
        <f t="shared" si="106"/>
        <v>24560.780000000002</v>
      </c>
      <c r="AM429" s="284"/>
      <c r="AN429" s="282">
        <f t="shared" si="102"/>
        <v>462.0199999999968</v>
      </c>
      <c r="AO429" s="289">
        <f t="shared" si="101"/>
        <v>1.8811291823793739E-2</v>
      </c>
      <c r="AP429" s="491"/>
      <c r="AQ429" s="490"/>
      <c r="AR429" s="490"/>
      <c r="AS429" s="491"/>
      <c r="AT429" s="491"/>
      <c r="AU429" s="491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231</v>
      </c>
      <c r="X430" s="279"/>
      <c r="Y430" s="279"/>
      <c r="Z430" s="280">
        <f t="shared" si="104"/>
        <v>12234.041139077763</v>
      </c>
      <c r="AA430" s="279"/>
      <c r="AB430" s="279"/>
      <c r="AC430" s="280"/>
      <c r="AD430" s="288"/>
      <c r="AE430" s="287"/>
      <c r="AF430" s="280">
        <f t="shared" si="105"/>
        <v>11129.17</v>
      </c>
      <c r="AG430" s="281"/>
      <c r="AH430" s="282">
        <f t="shared" si="107"/>
        <v>-1104.8711390777626</v>
      </c>
      <c r="AI430" s="283">
        <f t="shared" si="103"/>
        <v>-9.0311216589635479E-2</v>
      </c>
      <c r="AJ430" s="288"/>
      <c r="AK430" s="279"/>
      <c r="AL430" s="280">
        <f>IFERROR(SUMIF($C:$C,$V430,Q:Q),0)</f>
        <v>12602.17</v>
      </c>
      <c r="AM430" s="284"/>
      <c r="AN430" s="282">
        <f t="shared" si="102"/>
        <v>-1473</v>
      </c>
      <c r="AO430" s="289">
        <f t="shared" si="101"/>
        <v>-0.1168846317737342</v>
      </c>
      <c r="AP430" s="491"/>
      <c r="AQ430" s="490"/>
      <c r="AR430" s="490"/>
      <c r="AS430" s="491"/>
      <c r="AT430" s="491"/>
      <c r="AU430" s="491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232</v>
      </c>
      <c r="X431" s="279"/>
      <c r="Y431" s="279"/>
      <c r="Z431" s="280">
        <f t="shared" si="104"/>
        <v>2762.5254185014301</v>
      </c>
      <c r="AA431" s="279"/>
      <c r="AB431" s="279"/>
      <c r="AC431" s="280"/>
      <c r="AD431" s="288"/>
      <c r="AE431" s="287"/>
      <c r="AF431" s="280">
        <f t="shared" si="105"/>
        <v>3259.18</v>
      </c>
      <c r="AG431" s="281"/>
      <c r="AH431" s="282">
        <f t="shared" si="107"/>
        <v>496.65458149856977</v>
      </c>
      <c r="AI431" s="306">
        <f t="shared" si="103"/>
        <v>0.17978280966116392</v>
      </c>
      <c r="AJ431" s="288"/>
      <c r="AK431" s="279"/>
      <c r="AL431" s="280">
        <f>IFERROR(SUMIF($C:$C,$V431,Q:Q),0)</f>
        <v>2830.17</v>
      </c>
      <c r="AM431" s="284"/>
      <c r="AN431" s="282">
        <f t="shared" si="102"/>
        <v>429.00999999999976</v>
      </c>
      <c r="AO431" s="294">
        <f t="shared" si="101"/>
        <v>0.15158453379125628</v>
      </c>
      <c r="AP431" s="491"/>
      <c r="AQ431" s="490"/>
      <c r="AR431" s="490"/>
      <c r="AS431" s="491"/>
      <c r="AT431" s="491"/>
      <c r="AU431" s="491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5"/>
        <v>0</v>
      </c>
      <c r="AG432" s="281"/>
      <c r="AH432" s="282">
        <f t="shared" si="107"/>
        <v>0</v>
      </c>
      <c r="AI432" s="283">
        <f t="shared" si="103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90"/>
      <c r="AS432" s="491"/>
      <c r="AT432" s="491"/>
      <c r="AU432" s="491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0.35577339274738112</v>
      </c>
      <c r="Y433" s="297"/>
      <c r="Z433" s="299">
        <f>SUM(Z420:Z432)</f>
        <v>158216.94531449553</v>
      </c>
      <c r="AA433" s="298"/>
      <c r="AB433" s="297"/>
      <c r="AC433" s="299"/>
      <c r="AD433" s="300">
        <f>AF433/AF407</f>
        <v>0.45822860839650092</v>
      </c>
      <c r="AE433" s="307"/>
      <c r="AF433" s="299">
        <f>SUM(AF420:AF432)</f>
        <v>150613.53</v>
      </c>
      <c r="AG433" s="308"/>
      <c r="AH433" s="302">
        <f t="shared" si="107"/>
        <v>-7603.4153144955344</v>
      </c>
      <c r="AI433" s="298">
        <f>AH433/Z433</f>
        <v>-4.8056896177472365E-2</v>
      </c>
      <c r="AJ433" s="300">
        <f>IF($AL$407=0,0,AL433/$AL$407)</f>
        <v>0.34321804747990725</v>
      </c>
      <c r="AK433" s="297"/>
      <c r="AL433" s="299">
        <f>SUM(AL420:AL432)</f>
        <v>155154.09000000003</v>
      </c>
      <c r="AM433" s="309"/>
      <c r="AN433" s="302">
        <f t="shared" ref="AN433:AN447" si="108">AF433-AL433</f>
        <v>-4540.5600000000268</v>
      </c>
      <c r="AO433" s="277">
        <f>IF(AL433=0,0,AN433/AL433)</f>
        <v>-2.9264842454362797E-2</v>
      </c>
      <c r="AP433" s="246"/>
      <c r="AQ433" s="246"/>
      <c r="AR433" s="490"/>
      <c r="AS433" s="491"/>
      <c r="AT433" s="491"/>
      <c r="AU433" s="491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233</v>
      </c>
      <c r="X434" s="312"/>
      <c r="Y434" s="312"/>
      <c r="Z434" s="313">
        <f t="shared" ref="Z434:Z448" si="109">+SUMIF($C:$C,$V434,F:F)</f>
        <v>6496.8077945038958</v>
      </c>
      <c r="AA434" s="312"/>
      <c r="AB434" s="312"/>
      <c r="AC434" s="313"/>
      <c r="AD434" s="314"/>
      <c r="AE434" s="315"/>
      <c r="AF434" s="313">
        <f t="shared" ref="AF434:AF451" si="110">+SUMIF($C:$C,$V434,L:L)</f>
        <v>6318.68</v>
      </c>
      <c r="AG434" s="314"/>
      <c r="AH434" s="316">
        <f t="shared" si="107"/>
        <v>-178.12779450389553</v>
      </c>
      <c r="AI434" s="317">
        <f t="shared" ref="AI434:AI451" si="111">IF(Z434=0,0,AH434/Z434)</f>
        <v>-2.7417741164297071E-2</v>
      </c>
      <c r="AJ434" s="314"/>
      <c r="AK434" s="312"/>
      <c r="AL434" s="313">
        <f t="shared" ref="AL434:AL448" si="112">+SUMIF($C:$C,$V434,Q:Q)</f>
        <v>6169.43</v>
      </c>
      <c r="AM434" s="318"/>
      <c r="AN434" s="316">
        <f t="shared" si="108"/>
        <v>149.25</v>
      </c>
      <c r="AO434" s="285">
        <f t="shared" ref="AO434:AO447" si="113">IF(AL434=0,0,AN434/AL434)</f>
        <v>2.4191862133130612E-2</v>
      </c>
      <c r="AP434" s="246"/>
      <c r="AQ434" s="246">
        <f>6268+770-720</f>
        <v>6318</v>
      </c>
      <c r="AR434" s="246"/>
      <c r="AS434" s="500"/>
      <c r="AT434" s="491"/>
      <c r="AU434" s="491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9"/>
        <v>3965</v>
      </c>
      <c r="AA435" s="279"/>
      <c r="AB435" s="279"/>
      <c r="AC435" s="280"/>
      <c r="AD435" s="288"/>
      <c r="AE435" s="287"/>
      <c r="AF435" s="280">
        <f t="shared" si="110"/>
        <v>2759.69</v>
      </c>
      <c r="AG435" s="281"/>
      <c r="AH435" s="282">
        <f t="shared" si="107"/>
        <v>-1205.31</v>
      </c>
      <c r="AI435" s="283">
        <f t="shared" si="111"/>
        <v>-0.30398738965952077</v>
      </c>
      <c r="AJ435" s="288"/>
      <c r="AK435" s="279"/>
      <c r="AL435" s="280">
        <f t="shared" si="112"/>
        <v>6843.28999999999</v>
      </c>
      <c r="AM435" s="284"/>
      <c r="AN435" s="282">
        <f t="shared" si="108"/>
        <v>-4083.5999999999899</v>
      </c>
      <c r="AO435" s="289">
        <f t="shared" si="113"/>
        <v>-0.59673051996919546</v>
      </c>
      <c r="AP435" s="246"/>
      <c r="AQ435" s="246">
        <v>2760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234</v>
      </c>
      <c r="X436" s="263"/>
      <c r="Y436" s="263"/>
      <c r="Z436" s="264">
        <f t="shared" si="109"/>
        <v>15303.333333333334</v>
      </c>
      <c r="AA436" s="263"/>
      <c r="AB436" s="263"/>
      <c r="AC436" s="264"/>
      <c r="AD436" s="292"/>
      <c r="AE436" s="291"/>
      <c r="AF436" s="264">
        <f t="shared" si="110"/>
        <v>18839.7</v>
      </c>
      <c r="AG436" s="265"/>
      <c r="AH436" s="266">
        <f t="shared" si="107"/>
        <v>3536.3666666666668</v>
      </c>
      <c r="AI436" s="293">
        <f t="shared" si="111"/>
        <v>0.23108473099542584</v>
      </c>
      <c r="AJ436" s="292"/>
      <c r="AK436" s="263"/>
      <c r="AL436" s="264">
        <f t="shared" si="112"/>
        <v>17555.900000000001</v>
      </c>
      <c r="AM436" s="268"/>
      <c r="AN436" s="266">
        <f t="shared" si="108"/>
        <v>1283.7999999999993</v>
      </c>
      <c r="AO436" s="269">
        <f t="shared" si="113"/>
        <v>7.3126413342522983E-2</v>
      </c>
      <c r="AP436" s="246"/>
      <c r="AQ436" s="246">
        <f>19610-770</f>
        <v>18840</v>
      </c>
      <c r="AR436" s="501" t="s">
        <v>262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236</v>
      </c>
      <c r="X437" s="279"/>
      <c r="Y437" s="279"/>
      <c r="Z437" s="280">
        <f t="shared" si="109"/>
        <v>14093</v>
      </c>
      <c r="AA437" s="279"/>
      <c r="AB437" s="279"/>
      <c r="AC437" s="280"/>
      <c r="AD437" s="288"/>
      <c r="AE437" s="287"/>
      <c r="AF437" s="280">
        <f t="shared" si="110"/>
        <v>13522.42</v>
      </c>
      <c r="AG437" s="281"/>
      <c r="AH437" s="282">
        <f>AF437-Z437</f>
        <v>-570.57999999999993</v>
      </c>
      <c r="AI437" s="283">
        <f t="shared" si="111"/>
        <v>-4.0486766479812669E-2</v>
      </c>
      <c r="AJ437" s="288"/>
      <c r="AK437" s="279"/>
      <c r="AL437" s="280">
        <f t="shared" si="112"/>
        <v>13138.59</v>
      </c>
      <c r="AM437" s="284"/>
      <c r="AN437" s="282">
        <f t="shared" si="108"/>
        <v>383.82999999999993</v>
      </c>
      <c r="AO437" s="289">
        <f t="shared" si="113"/>
        <v>2.9213941526449939E-2</v>
      </c>
      <c r="AP437" s="501"/>
      <c r="AQ437" s="246">
        <f>12004+1519</f>
        <v>13523</v>
      </c>
      <c r="AR437" s="246"/>
      <c r="AS437" s="501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237</v>
      </c>
      <c r="X438" s="279"/>
      <c r="Y438" s="279"/>
      <c r="Z438" s="280">
        <f t="shared" si="109"/>
        <v>1828</v>
      </c>
      <c r="AA438" s="279"/>
      <c r="AB438" s="279"/>
      <c r="AC438" s="280"/>
      <c r="AD438" s="288"/>
      <c r="AE438" s="287"/>
      <c r="AF438" s="280">
        <f t="shared" si="110"/>
        <v>1949.3499999999997</v>
      </c>
      <c r="AG438" s="281"/>
      <c r="AH438" s="282">
        <f t="shared" si="107"/>
        <v>121.34999999999968</v>
      </c>
      <c r="AI438" s="283">
        <f t="shared" si="111"/>
        <v>6.6384026258205511E-2</v>
      </c>
      <c r="AJ438" s="288"/>
      <c r="AK438" s="279"/>
      <c r="AL438" s="280">
        <f t="shared" si="112"/>
        <v>3017.5200000000004</v>
      </c>
      <c r="AM438" s="284"/>
      <c r="AN438" s="282">
        <f t="shared" si="108"/>
        <v>-1068.1700000000008</v>
      </c>
      <c r="AO438" s="289">
        <f t="shared" si="113"/>
        <v>-0.35398936875314846</v>
      </c>
      <c r="AP438" s="501"/>
      <c r="AQ438" s="246">
        <f>2949-1000</f>
        <v>1949</v>
      </c>
      <c r="AR438" s="501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238</v>
      </c>
      <c r="X439" s="279"/>
      <c r="Y439" s="279"/>
      <c r="Z439" s="280">
        <f t="shared" si="109"/>
        <v>10966.000000000002</v>
      </c>
      <c r="AA439" s="279"/>
      <c r="AB439" s="279"/>
      <c r="AC439" s="280"/>
      <c r="AD439" s="288"/>
      <c r="AE439" s="287"/>
      <c r="AF439" s="280">
        <f t="shared" si="110"/>
        <v>13832.08</v>
      </c>
      <c r="AG439" s="281"/>
      <c r="AH439" s="282">
        <f t="shared" si="107"/>
        <v>2866.0799999999981</v>
      </c>
      <c r="AI439" s="283">
        <f t="shared" si="111"/>
        <v>0.26136056903155186</v>
      </c>
      <c r="AJ439" s="288"/>
      <c r="AK439" s="279"/>
      <c r="AL439" s="280">
        <f t="shared" si="112"/>
        <v>11743.380000000001</v>
      </c>
      <c r="AM439" s="284"/>
      <c r="AN439" s="282">
        <f t="shared" si="108"/>
        <v>2088.6999999999989</v>
      </c>
      <c r="AO439" s="289">
        <f t="shared" si="113"/>
        <v>0.17786191028477311</v>
      </c>
      <c r="AP439" s="246"/>
      <c r="AQ439" s="246">
        <f>12179+2253-599</f>
        <v>13833</v>
      </c>
      <c r="AR439" s="246" t="s">
        <v>263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9"/>
        <v>0</v>
      </c>
      <c r="AA440" s="320"/>
      <c r="AB440" s="320"/>
      <c r="AC440" s="321"/>
      <c r="AD440" s="322"/>
      <c r="AE440" s="323"/>
      <c r="AF440" s="321">
        <f t="shared" si="110"/>
        <v>0</v>
      </c>
      <c r="AG440" s="324"/>
      <c r="AH440" s="325">
        <f t="shared" si="107"/>
        <v>0</v>
      </c>
      <c r="AI440" s="326">
        <f t="shared" si="111"/>
        <v>0</v>
      </c>
      <c r="AJ440" s="322"/>
      <c r="AK440" s="320"/>
      <c r="AL440" s="321">
        <f t="shared" si="112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9"/>
        <v>1378.4470233876682</v>
      </c>
      <c r="AA441" s="279"/>
      <c r="AB441" s="287"/>
      <c r="AC441" s="280"/>
      <c r="AD441" s="288"/>
      <c r="AE441" s="287"/>
      <c r="AF441" s="280">
        <f t="shared" si="110"/>
        <v>765.73</v>
      </c>
      <c r="AG441" s="281"/>
      <c r="AH441" s="282">
        <f t="shared" si="107"/>
        <v>-612.71702338766818</v>
      </c>
      <c r="AI441" s="283">
        <f t="shared" si="111"/>
        <v>-0.44449805686536742</v>
      </c>
      <c r="AJ441" s="288"/>
      <c r="AK441" s="279"/>
      <c r="AL441" s="280">
        <f t="shared" si="112"/>
        <v>1161.21</v>
      </c>
      <c r="AM441" s="284"/>
      <c r="AN441" s="282">
        <f t="shared" si="108"/>
        <v>-395.48</v>
      </c>
      <c r="AO441" s="289">
        <f t="shared" si="113"/>
        <v>-0.34057577871358324</v>
      </c>
      <c r="AP441" s="246"/>
      <c r="AQ441" s="246">
        <v>766</v>
      </c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9"/>
        <v>1003</v>
      </c>
      <c r="AA442" s="279"/>
      <c r="AB442" s="279"/>
      <c r="AC442" s="280"/>
      <c r="AD442" s="288"/>
      <c r="AE442" s="287"/>
      <c r="AF442" s="280">
        <f t="shared" si="110"/>
        <v>1326.8400000000001</v>
      </c>
      <c r="AG442" s="281"/>
      <c r="AH442" s="282">
        <f t="shared" si="107"/>
        <v>323.84000000000015</v>
      </c>
      <c r="AI442" s="306">
        <f t="shared" si="111"/>
        <v>0.32287138584247271</v>
      </c>
      <c r="AJ442" s="288"/>
      <c r="AK442" s="279"/>
      <c r="AL442" s="280">
        <f t="shared" si="112"/>
        <v>747.98</v>
      </c>
      <c r="AM442" s="284"/>
      <c r="AN442" s="282">
        <f t="shared" si="108"/>
        <v>578.86000000000013</v>
      </c>
      <c r="AO442" s="289">
        <f t="shared" si="113"/>
        <v>0.77389769779940654</v>
      </c>
      <c r="AP442" s="246"/>
      <c r="AQ442" s="246">
        <f>2827-1500</f>
        <v>1327</v>
      </c>
      <c r="AR442" s="246" t="s">
        <v>264</v>
      </c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8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9"/>
        <v>1750</v>
      </c>
      <c r="AA443" s="279"/>
      <c r="AB443" s="279"/>
      <c r="AC443" s="280"/>
      <c r="AD443" s="288"/>
      <c r="AE443" s="287"/>
      <c r="AF443" s="280">
        <f t="shared" si="110"/>
        <v>1117.32</v>
      </c>
      <c r="AG443" s="281"/>
      <c r="AH443" s="282">
        <f t="shared" si="107"/>
        <v>-632.68000000000006</v>
      </c>
      <c r="AI443" s="283">
        <f t="shared" si="111"/>
        <v>-0.36153142857142861</v>
      </c>
      <c r="AJ443" s="288"/>
      <c r="AK443" s="279"/>
      <c r="AL443" s="280">
        <f t="shared" si="112"/>
        <v>2650.53</v>
      </c>
      <c r="AM443" s="284"/>
      <c r="AN443" s="282">
        <f t="shared" si="108"/>
        <v>-1533.2100000000003</v>
      </c>
      <c r="AO443" s="289">
        <f t="shared" si="113"/>
        <v>-0.57845412049665546</v>
      </c>
      <c r="AP443" s="246"/>
      <c r="AQ443" s="246">
        <v>1117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239</v>
      </c>
      <c r="X444" s="279"/>
      <c r="Y444" s="279"/>
      <c r="Z444" s="280">
        <f t="shared" si="109"/>
        <v>512</v>
      </c>
      <c r="AA444" s="279"/>
      <c r="AB444" s="279"/>
      <c r="AC444" s="280"/>
      <c r="AD444" s="288"/>
      <c r="AE444" s="287"/>
      <c r="AF444" s="280">
        <f t="shared" si="110"/>
        <v>816.29</v>
      </c>
      <c r="AG444" s="281"/>
      <c r="AH444" s="282">
        <f t="shared" si="107"/>
        <v>304.28999999999996</v>
      </c>
      <c r="AI444" s="306">
        <f t="shared" si="111"/>
        <v>0.59431640624999993</v>
      </c>
      <c r="AJ444" s="288"/>
      <c r="AK444" s="279"/>
      <c r="AL444" s="280">
        <f t="shared" si="112"/>
        <v>574.98</v>
      </c>
      <c r="AM444" s="284"/>
      <c r="AN444" s="282">
        <f t="shared" si="108"/>
        <v>241.30999999999995</v>
      </c>
      <c r="AO444" s="289">
        <f t="shared" si="113"/>
        <v>0.41968416292740607</v>
      </c>
      <c r="AP444" s="246"/>
      <c r="AQ444" s="246">
        <v>816</v>
      </c>
      <c r="AR444" s="246" t="s">
        <v>265</v>
      </c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240</v>
      </c>
      <c r="X445" s="279"/>
      <c r="Y445" s="279"/>
      <c r="Z445" s="280">
        <f t="shared" si="109"/>
        <v>875</v>
      </c>
      <c r="AA445" s="279"/>
      <c r="AB445" s="279"/>
      <c r="AC445" s="280"/>
      <c r="AD445" s="288"/>
      <c r="AE445" s="287"/>
      <c r="AF445" s="280">
        <f t="shared" si="110"/>
        <v>866.07999999999993</v>
      </c>
      <c r="AG445" s="281"/>
      <c r="AH445" s="282">
        <f t="shared" si="107"/>
        <v>-8.9200000000000728</v>
      </c>
      <c r="AI445" s="283">
        <f t="shared" si="111"/>
        <v>-1.0194285714285798E-2</v>
      </c>
      <c r="AJ445" s="288"/>
      <c r="AK445" s="279"/>
      <c r="AL445" s="280">
        <f t="shared" si="112"/>
        <v>-442.88999999999993</v>
      </c>
      <c r="AM445" s="284"/>
      <c r="AN445" s="282">
        <f t="shared" si="108"/>
        <v>1308.9699999999998</v>
      </c>
      <c r="AO445" s="289">
        <f t="shared" si="113"/>
        <v>-2.95551942920364</v>
      </c>
      <c r="AP445" s="246"/>
      <c r="AQ445" s="246">
        <v>866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241</v>
      </c>
      <c r="X446" s="279"/>
      <c r="Y446" s="287"/>
      <c r="Z446" s="280">
        <f t="shared" si="109"/>
        <v>1858</v>
      </c>
      <c r="AA446" s="279"/>
      <c r="AB446" s="287"/>
      <c r="AC446" s="280"/>
      <c r="AD446" s="288"/>
      <c r="AE446" s="287"/>
      <c r="AF446" s="280">
        <f t="shared" si="110"/>
        <v>1446.0000000000002</v>
      </c>
      <c r="AG446" s="281"/>
      <c r="AH446" s="282">
        <f t="shared" si="107"/>
        <v>-411.99999999999977</v>
      </c>
      <c r="AI446" s="306">
        <f t="shared" si="111"/>
        <v>-0.22174381054897727</v>
      </c>
      <c r="AJ446" s="288"/>
      <c r="AK446" s="279"/>
      <c r="AL446" s="280">
        <f t="shared" si="112"/>
        <v>2212</v>
      </c>
      <c r="AM446" s="284"/>
      <c r="AN446" s="282">
        <f t="shared" si="108"/>
        <v>-765.99999999999977</v>
      </c>
      <c r="AO446" s="289">
        <f t="shared" si="113"/>
        <v>-0.34629294755877021</v>
      </c>
      <c r="AP446" s="246"/>
      <c r="AQ446" s="246">
        <v>1446</v>
      </c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242</v>
      </c>
      <c r="X447" s="279"/>
      <c r="Y447" s="287"/>
      <c r="Z447" s="280">
        <f t="shared" si="109"/>
        <v>2609.9010666666663</v>
      </c>
      <c r="AA447" s="279"/>
      <c r="AB447" s="287"/>
      <c r="AC447" s="280"/>
      <c r="AD447" s="288"/>
      <c r="AE447" s="287"/>
      <c r="AF447" s="280">
        <f t="shared" si="110"/>
        <v>943.81</v>
      </c>
      <c r="AG447" s="281"/>
      <c r="AH447" s="282">
        <f t="shared" si="107"/>
        <v>-1666.0910666666664</v>
      </c>
      <c r="AI447" s="283">
        <f t="shared" si="111"/>
        <v>-0.63837326554089557</v>
      </c>
      <c r="AJ447" s="288"/>
      <c r="AK447" s="279"/>
      <c r="AL447" s="280">
        <f t="shared" si="112"/>
        <v>1938.32</v>
      </c>
      <c r="AM447" s="284"/>
      <c r="AN447" s="282">
        <f t="shared" si="108"/>
        <v>-994.51</v>
      </c>
      <c r="AO447" s="289">
        <f t="shared" si="113"/>
        <v>-0.51307833587849272</v>
      </c>
      <c r="AP447" s="246"/>
      <c r="AQ447" s="246">
        <f>2944-2000</f>
        <v>944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243</v>
      </c>
      <c r="X448" s="279"/>
      <c r="Y448" s="287">
        <f>Z448/Z406</f>
        <v>1.5100000000000001E-3</v>
      </c>
      <c r="Z448" s="280">
        <f t="shared" si="109"/>
        <v>6182.4022638598908</v>
      </c>
      <c r="AA448" s="279"/>
      <c r="AB448" s="287"/>
      <c r="AC448" s="280"/>
      <c r="AD448" s="288"/>
      <c r="AE448" s="287"/>
      <c r="AF448" s="280">
        <f t="shared" si="110"/>
        <v>5470.3199999999988</v>
      </c>
      <c r="AG448" s="281"/>
      <c r="AH448" s="282">
        <f t="shared" si="107"/>
        <v>-712.08226385989201</v>
      </c>
      <c r="AI448" s="283">
        <f t="shared" si="111"/>
        <v>-0.11517889543074054</v>
      </c>
      <c r="AJ448" s="288"/>
      <c r="AK448" s="279"/>
      <c r="AL448" s="280">
        <f t="shared" si="112"/>
        <v>6937.65</v>
      </c>
      <c r="AM448" s="284"/>
      <c r="AN448" s="282">
        <f>AF448-AL448</f>
        <v>-1467.3300000000008</v>
      </c>
      <c r="AO448" s="289">
        <f>IF(AL448=0,0,AN448/AL448)</f>
        <v>-0.21150245400099471</v>
      </c>
      <c r="AP448" s="246"/>
      <c r="AQ448" s="246">
        <v>5470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9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10"/>
        <v>0</v>
      </c>
      <c r="AG449" s="281"/>
      <c r="AH449" s="282">
        <f t="shared" si="107"/>
        <v>0</v>
      </c>
      <c r="AI449" s="283">
        <f t="shared" si="111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10"/>
        <v>0</v>
      </c>
      <c r="AG450" s="281"/>
      <c r="AH450" s="282">
        <f t="shared" si="107"/>
        <v>0</v>
      </c>
      <c r="AI450" s="283">
        <f t="shared" si="111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10"/>
        <v>0</v>
      </c>
      <c r="AG451" s="281"/>
      <c r="AH451" s="282">
        <f t="shared" si="107"/>
        <v>0</v>
      </c>
      <c r="AI451" s="283">
        <f t="shared" si="111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0.15475360117522646</v>
      </c>
      <c r="Y452" s="297"/>
      <c r="Z452" s="299">
        <f>+SUM(Z434:Z451)</f>
        <v>68820.89148175146</v>
      </c>
      <c r="AA452" s="298"/>
      <c r="AB452" s="297"/>
      <c r="AC452" s="299"/>
      <c r="AD452" s="300">
        <f>AF452/AF407</f>
        <v>0.21289077212920618</v>
      </c>
      <c r="AE452" s="297"/>
      <c r="AF452" s="299">
        <f>+SUM(AF434:AF451)</f>
        <v>69974.31</v>
      </c>
      <c r="AG452" s="308"/>
      <c r="AH452" s="302">
        <f>+SUM(AH434:AH451)</f>
        <v>1153.418518248543</v>
      </c>
      <c r="AI452" s="298">
        <f>AH452/Z452</f>
        <v>1.6759714868767477E-2</v>
      </c>
      <c r="AJ452" s="300">
        <f>IF($AL$407=0,0,AL452/$AL$407)</f>
        <v>0.16424456380945501</v>
      </c>
      <c r="AK452" s="298"/>
      <c r="AL452" s="299">
        <f>+SUM(AL434:AL451)</f>
        <v>74247.89</v>
      </c>
      <c r="AM452" s="309"/>
      <c r="AN452" s="302">
        <f>+SUM(AN434:AN451)</f>
        <v>-4273.5799999999927</v>
      </c>
      <c r="AO452" s="331">
        <f>IF(AL452=0,0,AN452/AL452)</f>
        <v>-5.7558268659217017E-2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4">AF453-Z453</f>
        <v>0</v>
      </c>
      <c r="AI453" s="283">
        <f t="shared" ref="AI453:AI461" si="115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6">IF(AL453=0,0,AN453/AL453)</f>
        <v>0</v>
      </c>
      <c r="AP453" s="246"/>
      <c r="AQ453" s="502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5872.14</v>
      </c>
      <c r="AA454" s="279"/>
      <c r="AB454" s="287"/>
      <c r="AC454" s="280"/>
      <c r="AD454" s="288"/>
      <c r="AE454" s="287"/>
      <c r="AF454" s="280">
        <v>5872.14</v>
      </c>
      <c r="AG454" s="281"/>
      <c r="AH454" s="282">
        <f t="shared" si="114"/>
        <v>0</v>
      </c>
      <c r="AI454" s="283">
        <f t="shared" si="115"/>
        <v>0</v>
      </c>
      <c r="AJ454" s="288"/>
      <c r="AK454" s="279"/>
      <c r="AL454" s="280">
        <v>5619.66</v>
      </c>
      <c r="AM454" s="284"/>
      <c r="AN454" s="282">
        <f t="shared" ref="AN454:AN461" si="117">AF454-AL454</f>
        <v>252.48000000000047</v>
      </c>
      <c r="AO454" s="289">
        <f t="shared" si="116"/>
        <v>4.492798496706215E-2</v>
      </c>
      <c r="AP454" s="246"/>
      <c r="AQ454" s="502">
        <v>5872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2516.63</v>
      </c>
      <c r="AA455" s="263"/>
      <c r="AB455" s="291"/>
      <c r="AC455" s="264"/>
      <c r="AD455" s="292"/>
      <c r="AE455" s="291"/>
      <c r="AF455" s="264">
        <v>2516.63</v>
      </c>
      <c r="AG455" s="265"/>
      <c r="AH455" s="266">
        <f t="shared" si="114"/>
        <v>0</v>
      </c>
      <c r="AI455" s="293">
        <f t="shared" si="115"/>
        <v>0</v>
      </c>
      <c r="AJ455" s="292"/>
      <c r="AK455" s="263"/>
      <c r="AL455" s="264">
        <v>2408.4299999999998</v>
      </c>
      <c r="AM455" s="268"/>
      <c r="AN455" s="266">
        <f t="shared" si="117"/>
        <v>108.20000000000027</v>
      </c>
      <c r="AO455" s="269">
        <f t="shared" si="116"/>
        <v>4.4925532400775722E-2</v>
      </c>
      <c r="AP455" s="246"/>
      <c r="AQ455" s="502">
        <v>2517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8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4"/>
        <v>0</v>
      </c>
      <c r="AI456" s="283">
        <f t="shared" si="115"/>
        <v>0</v>
      </c>
      <c r="AJ456" s="288"/>
      <c r="AK456" s="279"/>
      <c r="AL456" s="280">
        <v>0</v>
      </c>
      <c r="AM456" s="284"/>
      <c r="AN456" s="282">
        <f t="shared" si="117"/>
        <v>0</v>
      </c>
      <c r="AO456" s="289">
        <f t="shared" si="116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4349.75</v>
      </c>
      <c r="AA457" s="263"/>
      <c r="AB457" s="291"/>
      <c r="AC457" s="264"/>
      <c r="AD457" s="292"/>
      <c r="AE457" s="291"/>
      <c r="AF457" s="264">
        <v>4349.75</v>
      </c>
      <c r="AG457" s="265"/>
      <c r="AH457" s="266">
        <f t="shared" si="114"/>
        <v>0</v>
      </c>
      <c r="AI457" s="293">
        <f t="shared" si="115"/>
        <v>0</v>
      </c>
      <c r="AJ457" s="292"/>
      <c r="AK457" s="263"/>
      <c r="AL457" s="264">
        <v>4772</v>
      </c>
      <c r="AM457" s="268"/>
      <c r="AN457" s="266">
        <f t="shared" si="117"/>
        <v>-422.25</v>
      </c>
      <c r="AO457" s="269">
        <f t="shared" si="116"/>
        <v>-8.8484911986588435E-2</v>
      </c>
      <c r="AP457" s="246"/>
      <c r="AQ457" s="502">
        <v>4350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4600</v>
      </c>
      <c r="AA458" s="332"/>
      <c r="AB458" s="333"/>
      <c r="AC458" s="280"/>
      <c r="AD458" s="288"/>
      <c r="AE458" s="287"/>
      <c r="AF458" s="280">
        <v>4297.29</v>
      </c>
      <c r="AG458" s="281"/>
      <c r="AH458" s="282">
        <f t="shared" si="114"/>
        <v>-302.71000000000004</v>
      </c>
      <c r="AI458" s="283">
        <f t="shared" si="115"/>
        <v>-6.5806521739130444E-2</v>
      </c>
      <c r="AJ458" s="288"/>
      <c r="AK458" s="279"/>
      <c r="AL458" s="280">
        <v>3908</v>
      </c>
      <c r="AM458" s="284"/>
      <c r="AN458" s="282">
        <f t="shared" si="117"/>
        <v>389.28999999999996</v>
      </c>
      <c r="AO458" s="289">
        <f t="shared" si="116"/>
        <v>9.96136131013306E-2</v>
      </c>
      <c r="AP458" s="246"/>
      <c r="AQ458" s="246">
        <f>3797+500</f>
        <v>4297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6643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4"/>
        <v>-335.67000000000007</v>
      </c>
      <c r="AI459" s="283">
        <f t="shared" si="115"/>
        <v>-5.0529881077826293E-2</v>
      </c>
      <c r="AJ459" s="288"/>
      <c r="AK459" s="279"/>
      <c r="AL459" s="280">
        <v>6307.33</v>
      </c>
      <c r="AM459" s="284"/>
      <c r="AN459" s="282">
        <f t="shared" si="117"/>
        <v>0</v>
      </c>
      <c r="AO459" s="289">
        <f t="shared" si="116"/>
        <v>0</v>
      </c>
      <c r="AP459" s="246"/>
      <c r="AQ459" s="502">
        <v>6308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244</v>
      </c>
      <c r="X460" s="263"/>
      <c r="Y460" s="291"/>
      <c r="Z460" s="264">
        <v>500</v>
      </c>
      <c r="AA460" s="263"/>
      <c r="AB460" s="291"/>
      <c r="AC460" s="264"/>
      <c r="AD460" s="292"/>
      <c r="AE460" s="291"/>
      <c r="AF460" s="264">
        <v>250</v>
      </c>
      <c r="AG460" s="265"/>
      <c r="AH460" s="266">
        <f t="shared" si="114"/>
        <v>-250</v>
      </c>
      <c r="AI460" s="293">
        <f t="shared" si="115"/>
        <v>-0.5</v>
      </c>
      <c r="AJ460" s="292"/>
      <c r="AK460" s="263"/>
      <c r="AL460" s="264">
        <v>500</v>
      </c>
      <c r="AM460" s="268"/>
      <c r="AN460" s="266">
        <f t="shared" si="117"/>
        <v>-250</v>
      </c>
      <c r="AO460" s="269">
        <f t="shared" si="116"/>
        <v>-0.5</v>
      </c>
      <c r="AP460" s="246"/>
      <c r="AQ460" s="246">
        <v>250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275</v>
      </c>
      <c r="AA461" s="279"/>
      <c r="AB461" s="287"/>
      <c r="AC461" s="280"/>
      <c r="AD461" s="288"/>
      <c r="AE461" s="287"/>
      <c r="AF461" s="280">
        <v>173.96</v>
      </c>
      <c r="AG461" s="281"/>
      <c r="AH461" s="282">
        <f t="shared" si="114"/>
        <v>-101.03999999999999</v>
      </c>
      <c r="AI461" s="335">
        <f t="shared" si="115"/>
        <v>-0.36741818181818181</v>
      </c>
      <c r="AJ461" s="279"/>
      <c r="AK461" s="279"/>
      <c r="AL461" s="280">
        <v>255.96</v>
      </c>
      <c r="AM461" s="284"/>
      <c r="AN461" s="282">
        <f t="shared" si="117"/>
        <v>-82</v>
      </c>
      <c r="AO461" s="289">
        <f t="shared" si="116"/>
        <v>-0.32036255664947649</v>
      </c>
      <c r="AP461" s="246"/>
      <c r="AQ461" s="246">
        <v>174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8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0.16810070942477448</v>
      </c>
      <c r="Y466" s="297"/>
      <c r="Z466" s="299">
        <f>SUM(Z453:Z465)</f>
        <v>74756.51999999999</v>
      </c>
      <c r="AA466" s="298"/>
      <c r="AB466" s="297"/>
      <c r="AC466" s="299"/>
      <c r="AD466" s="300">
        <f>AF466/AF407</f>
        <v>0.22443000690871215</v>
      </c>
      <c r="AE466" s="297"/>
      <c r="AF466" s="299">
        <f>SUM(AF453:AF465)</f>
        <v>73767.100000000006</v>
      </c>
      <c r="AG466" s="308"/>
      <c r="AH466" s="302">
        <f>SUM(AH453:AH465)</f>
        <v>-989.42000000000007</v>
      </c>
      <c r="AI466" s="298">
        <f>IF(Z466=0,0,AH466/Z466)</f>
        <v>-1.3235233528794549E-2</v>
      </c>
      <c r="AJ466" s="300">
        <f>IF($AL$407=0,0,AL466/$AL$407)</f>
        <v>0.16319047086350272</v>
      </c>
      <c r="AK466" s="298"/>
      <c r="AL466" s="299">
        <f>SUM(AL453:AL465)</f>
        <v>73771.38</v>
      </c>
      <c r="AM466" s="309"/>
      <c r="AN466" s="302">
        <f>SUM(AN453:AN465)</f>
        <v>-4.2799999999992906</v>
      </c>
      <c r="AO466" s="331">
        <f t="shared" ref="AO466:AO483" si="118">IF(AL466=0,0,AN466/AL466)</f>
        <v>-5.8017079252133959E-5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9">AF467-Z467</f>
        <v>0</v>
      </c>
      <c r="AI467" s="283"/>
      <c r="AJ467" s="288"/>
      <c r="AK467" s="279"/>
      <c r="AL467" s="336"/>
      <c r="AM467" s="337"/>
      <c r="AN467" s="282">
        <f t="shared" ref="AN467:AN483" si="120">AF467-AL467</f>
        <v>0</v>
      </c>
      <c r="AO467" s="338">
        <f t="shared" si="118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0.96514369285609913</v>
      </c>
      <c r="Y468" s="297"/>
      <c r="Z468" s="299">
        <f>Z419+Z433+Z452+Z466</f>
        <v>429211.65546989255</v>
      </c>
      <c r="AA468" s="298"/>
      <c r="AB468" s="297"/>
      <c r="AC468" s="299"/>
      <c r="AD468" s="300">
        <f>AF468/AF407</f>
        <v>1.2400314110919819</v>
      </c>
      <c r="AE468" s="297"/>
      <c r="AF468" s="299">
        <f>AF419+AF433+AF452+AF466</f>
        <v>407581.51</v>
      </c>
      <c r="AG468" s="308"/>
      <c r="AH468" s="302">
        <f t="shared" si="119"/>
        <v>-21630.145469892537</v>
      </c>
      <c r="AI468" s="298">
        <f>AH468/Z468</f>
        <v>-5.0395056131950278E-2</v>
      </c>
      <c r="AJ468" s="300">
        <f>IF($AL$407=0,0,AL468/$AL$407)</f>
        <v>0.89263637182318567</v>
      </c>
      <c r="AK468" s="298"/>
      <c r="AL468" s="299">
        <f>AL419+AL433+AL452+AL466</f>
        <v>403522.44000000006</v>
      </c>
      <c r="AM468" s="309"/>
      <c r="AN468" s="302">
        <f t="shared" si="120"/>
        <v>4059.0699999999488</v>
      </c>
      <c r="AO468" s="277">
        <f t="shared" si="118"/>
        <v>1.0059093615710562E-2</v>
      </c>
      <c r="AP468" s="310">
        <f>AF468+AF491+AF492+AF493+AF494+AF495+AF496</f>
        <v>421635.94</v>
      </c>
      <c r="AQ468" s="246" t="s">
        <v>226</v>
      </c>
      <c r="AR468" s="246">
        <f>367490+48668</f>
        <v>416158</v>
      </c>
      <c r="AS468" s="310">
        <f>AP468-AR468</f>
        <v>5477.9400000000023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900</v>
      </c>
      <c r="AA469" s="339"/>
      <c r="AB469" s="340"/>
      <c r="AC469" s="313"/>
      <c r="AD469" s="341"/>
      <c r="AE469" s="340"/>
      <c r="AF469" s="280">
        <v>882.81</v>
      </c>
      <c r="AG469" s="342"/>
      <c r="AH469" s="282">
        <f t="shared" si="119"/>
        <v>-17.190000000000055</v>
      </c>
      <c r="AI469" s="335">
        <f>IF(AH469=0,0,AH469/Z469)</f>
        <v>-1.9100000000000061E-2</v>
      </c>
      <c r="AJ469" s="341"/>
      <c r="AK469" s="339"/>
      <c r="AL469" s="343">
        <v>4195.6899999999996</v>
      </c>
      <c r="AM469" s="344"/>
      <c r="AN469" s="282">
        <f t="shared" si="120"/>
        <v>-3312.8799999999997</v>
      </c>
      <c r="AO469" s="289">
        <f t="shared" si="118"/>
        <v>-0.78959122337446286</v>
      </c>
      <c r="AP469" s="246"/>
      <c r="AQ469" s="246">
        <v>883</v>
      </c>
      <c r="AR469" s="246" t="s">
        <v>259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 t="shared" ref="Z470:Z476" si="121">+SUMIF($C:$C,$V470,F:F)</f>
        <v>36609.110153846166</v>
      </c>
      <c r="AA470" s="332"/>
      <c r="AB470" s="333"/>
      <c r="AC470" s="280"/>
      <c r="AD470" s="345"/>
      <c r="AE470" s="333"/>
      <c r="AF470" s="280">
        <f t="shared" ref="AF470:AF476" si="122">+SUMIF($C:$C,$V470,L:L)</f>
        <v>37435.699999999997</v>
      </c>
      <c r="AG470" s="346"/>
      <c r="AH470" s="282">
        <f t="shared" si="119"/>
        <v>826.58984615383088</v>
      </c>
      <c r="AI470" s="306">
        <f>IF(Z470=0,0,AH470/Z470)</f>
        <v>2.2578801906961647E-2</v>
      </c>
      <c r="AJ470" s="345"/>
      <c r="AK470" s="332"/>
      <c r="AL470" s="347">
        <f t="shared" ref="AL470:AL479" si="123">+SUMIF($C:$C,$V470,Q:Q)</f>
        <v>32547.599999999999</v>
      </c>
      <c r="AM470" s="348"/>
      <c r="AN470" s="282">
        <f t="shared" si="120"/>
        <v>4888.0999999999985</v>
      </c>
      <c r="AO470" s="289">
        <f t="shared" si="118"/>
        <v>0.15018311642025828</v>
      </c>
      <c r="AP470" s="246"/>
      <c r="AQ470" s="246">
        <v>37436</v>
      </c>
      <c r="AR470" s="246">
        <v>40800</v>
      </c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218</v>
      </c>
      <c r="W471" s="279"/>
      <c r="X471" s="279"/>
      <c r="Y471" s="279"/>
      <c r="Z471" s="280">
        <f t="shared" si="121"/>
        <v>32032.971384615397</v>
      </c>
      <c r="AA471" s="332"/>
      <c r="AB471" s="333"/>
      <c r="AC471" s="280"/>
      <c r="AD471" s="345"/>
      <c r="AE471" s="333"/>
      <c r="AF471" s="280">
        <f t="shared" si="122"/>
        <v>27489.53</v>
      </c>
      <c r="AG471" s="346"/>
      <c r="AH471" s="282">
        <f t="shared" si="119"/>
        <v>-4543.4413846153984</v>
      </c>
      <c r="AI471" s="306">
        <f t="shared" ref="AI471:AI480" si="124">IF(AH471=0,0,AH471/Z471)</f>
        <v>-0.14183640131484945</v>
      </c>
      <c r="AJ471" s="345"/>
      <c r="AK471" s="332"/>
      <c r="AL471" s="347">
        <f>+SUMIF($C:$C,$V471,Q:Q)</f>
        <v>28947.02</v>
      </c>
      <c r="AM471" s="348"/>
      <c r="AN471" s="282">
        <f t="shared" si="120"/>
        <v>-1457.4900000000016</v>
      </c>
      <c r="AO471" s="289">
        <f t="shared" si="118"/>
        <v>-5.0350260579500122E-2</v>
      </c>
      <c r="AP471" s="246"/>
      <c r="AQ471" s="246">
        <f>73235.36+6657.76-27907.58-24496</f>
        <v>27489.539999999994</v>
      </c>
      <c r="AR471" s="246">
        <v>34145</v>
      </c>
      <c r="AS471" s="246" t="s">
        <v>266</v>
      </c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 t="shared" si="121"/>
        <v>0</v>
      </c>
      <c r="AA472" s="332"/>
      <c r="AB472" s="333"/>
      <c r="AC472" s="280"/>
      <c r="AD472" s="345"/>
      <c r="AE472" s="333"/>
      <c r="AF472" s="280">
        <f t="shared" si="122"/>
        <v>0</v>
      </c>
      <c r="AG472" s="346"/>
      <c r="AH472" s="282">
        <f t="shared" si="119"/>
        <v>0</v>
      </c>
      <c r="AI472" s="306">
        <f t="shared" si="124"/>
        <v>0</v>
      </c>
      <c r="AJ472" s="345"/>
      <c r="AK472" s="332"/>
      <c r="AL472" s="347">
        <f t="shared" si="123"/>
        <v>0</v>
      </c>
      <c r="AM472" s="348"/>
      <c r="AN472" s="282">
        <f t="shared" si="120"/>
        <v>0</v>
      </c>
      <c r="AO472" s="289">
        <f t="shared" si="118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 t="shared" si="121"/>
        <v>0</v>
      </c>
      <c r="AA473" s="332"/>
      <c r="AB473" s="333"/>
      <c r="AC473" s="280"/>
      <c r="AD473" s="345"/>
      <c r="AE473" s="333"/>
      <c r="AF473" s="280">
        <f t="shared" si="122"/>
        <v>0</v>
      </c>
      <c r="AG473" s="346"/>
      <c r="AH473" s="282">
        <f t="shared" si="119"/>
        <v>0</v>
      </c>
      <c r="AI473" s="306">
        <f t="shared" si="124"/>
        <v>0</v>
      </c>
      <c r="AJ473" s="345"/>
      <c r="AK473" s="332"/>
      <c r="AL473" s="347">
        <f t="shared" si="123"/>
        <v>0</v>
      </c>
      <c r="AM473" s="348"/>
      <c r="AN473" s="282">
        <f t="shared" si="120"/>
        <v>0</v>
      </c>
      <c r="AO473" s="289">
        <f t="shared" si="118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222</v>
      </c>
      <c r="W474" s="279"/>
      <c r="X474" s="279"/>
      <c r="Y474" s="279"/>
      <c r="Z474" s="280">
        <f t="shared" si="121"/>
        <v>2625</v>
      </c>
      <c r="AA474" s="332"/>
      <c r="AB474" s="333"/>
      <c r="AC474" s="280"/>
      <c r="AD474" s="345"/>
      <c r="AE474" s="333"/>
      <c r="AF474" s="280">
        <f t="shared" si="122"/>
        <v>3375</v>
      </c>
      <c r="AG474" s="346"/>
      <c r="AH474" s="282">
        <f t="shared" si="119"/>
        <v>750</v>
      </c>
      <c r="AI474" s="306">
        <f t="shared" si="124"/>
        <v>0.2857142857142857</v>
      </c>
      <c r="AJ474" s="345"/>
      <c r="AK474" s="332"/>
      <c r="AL474" s="347">
        <f t="shared" si="123"/>
        <v>2250</v>
      </c>
      <c r="AM474" s="348"/>
      <c r="AN474" s="282">
        <f t="shared" si="120"/>
        <v>1125</v>
      </c>
      <c r="AO474" s="289">
        <f t="shared" si="118"/>
        <v>0.5</v>
      </c>
      <c r="AP474" s="246"/>
      <c r="AQ474" s="246">
        <v>3375</v>
      </c>
      <c r="AR474" s="246"/>
      <c r="AS474" s="246" t="s">
        <v>267</v>
      </c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223</v>
      </c>
      <c r="W475" s="279"/>
      <c r="X475" s="279"/>
      <c r="Y475" s="279"/>
      <c r="Z475" s="280">
        <f t="shared" si="121"/>
        <v>1822.0588235294119</v>
      </c>
      <c r="AA475" s="332"/>
      <c r="AB475" s="333"/>
      <c r="AC475" s="280"/>
      <c r="AD475" s="345"/>
      <c r="AE475" s="333"/>
      <c r="AF475" s="280">
        <f t="shared" si="122"/>
        <v>0</v>
      </c>
      <c r="AG475" s="346"/>
      <c r="AH475" s="282">
        <f t="shared" si="119"/>
        <v>-1822.0588235294119</v>
      </c>
      <c r="AI475" s="306">
        <f t="shared" si="124"/>
        <v>-1</v>
      </c>
      <c r="AJ475" s="345"/>
      <c r="AK475" s="332"/>
      <c r="AL475" s="347">
        <f t="shared" si="123"/>
        <v>4750</v>
      </c>
      <c r="AM475" s="348"/>
      <c r="AN475" s="282">
        <f t="shared" si="120"/>
        <v>-4750</v>
      </c>
      <c r="AO475" s="289">
        <f t="shared" si="118"/>
        <v>-1</v>
      </c>
      <c r="AP475" s="246"/>
      <c r="AQ475" s="246">
        <v>0</v>
      </c>
      <c r="AR475" s="246">
        <v>5000</v>
      </c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 t="shared" si="121"/>
        <v>0</v>
      </c>
      <c r="AA476" s="332"/>
      <c r="AB476" s="333"/>
      <c r="AC476" s="280"/>
      <c r="AD476" s="345"/>
      <c r="AE476" s="333"/>
      <c r="AF476" s="280">
        <f t="shared" si="122"/>
        <v>0</v>
      </c>
      <c r="AG476" s="346"/>
      <c r="AH476" s="282">
        <f t="shared" si="119"/>
        <v>0</v>
      </c>
      <c r="AI476" s="306">
        <f t="shared" si="124"/>
        <v>0</v>
      </c>
      <c r="AJ476" s="345"/>
      <c r="AK476" s="332"/>
      <c r="AL476" s="347">
        <f t="shared" si="123"/>
        <v>0</v>
      </c>
      <c r="AM476" s="348"/>
      <c r="AN476" s="282">
        <f t="shared" si="120"/>
        <v>0</v>
      </c>
      <c r="AO476" s="289">
        <f t="shared" si="118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19219.782830769236</v>
      </c>
      <c r="AA477" s="332"/>
      <c r="AB477" s="333"/>
      <c r="AC477" s="280"/>
      <c r="AD477" s="345"/>
      <c r="AE477" s="333"/>
      <c r="AF477" s="280">
        <v>14882.07</v>
      </c>
      <c r="AG477" s="346"/>
      <c r="AH477" s="282">
        <f t="shared" si="119"/>
        <v>-4337.7128307692365</v>
      </c>
      <c r="AI477" s="306">
        <f t="shared" si="124"/>
        <v>-0.22569000227333097</v>
      </c>
      <c r="AJ477" s="345"/>
      <c r="AK477" s="332"/>
      <c r="AL477" s="347">
        <v>20175.2</v>
      </c>
      <c r="AM477" s="348"/>
      <c r="AN477" s="282">
        <f t="shared" si="120"/>
        <v>-5293.130000000001</v>
      </c>
      <c r="AO477" s="289">
        <f t="shared" si="118"/>
        <v>-0.26235824180181611</v>
      </c>
      <c r="AP477" s="246"/>
      <c r="AQ477" s="246">
        <v>14882</v>
      </c>
      <c r="AR477" s="246">
        <v>16958</v>
      </c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9"/>
        <v>0</v>
      </c>
      <c r="AI478" s="283">
        <f t="shared" si="124"/>
        <v>0</v>
      </c>
      <c r="AJ478" s="288"/>
      <c r="AK478" s="279"/>
      <c r="AL478" s="280">
        <f t="shared" si="123"/>
        <v>0</v>
      </c>
      <c r="AM478" s="348"/>
      <c r="AN478" s="282">
        <f t="shared" si="120"/>
        <v>0</v>
      </c>
      <c r="AO478" s="289">
        <f t="shared" si="118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9"/>
        <v>0</v>
      </c>
      <c r="AI479" s="283">
        <f t="shared" si="124"/>
        <v>0</v>
      </c>
      <c r="AJ479" s="288"/>
      <c r="AK479" s="279"/>
      <c r="AL479" s="280">
        <f t="shared" si="123"/>
        <v>0</v>
      </c>
      <c r="AM479" s="348"/>
      <c r="AN479" s="282">
        <f t="shared" si="120"/>
        <v>0</v>
      </c>
      <c r="AO479" s="289">
        <f t="shared" si="118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23579.85</v>
      </c>
      <c r="AA480" s="332"/>
      <c r="AB480" s="333"/>
      <c r="AC480" s="280"/>
      <c r="AD480" s="345"/>
      <c r="AE480" s="333"/>
      <c r="AF480" s="280">
        <f>+SUMIF($C:$C,$V480,L:L)</f>
        <v>20230</v>
      </c>
      <c r="AG480" s="346"/>
      <c r="AH480" s="282">
        <f t="shared" si="119"/>
        <v>-3349.8499999999985</v>
      </c>
      <c r="AI480" s="306">
        <f t="shared" si="124"/>
        <v>-0.1420640928589452</v>
      </c>
      <c r="AJ480" s="345"/>
      <c r="AK480" s="332"/>
      <c r="AL480" s="347">
        <v>23800</v>
      </c>
      <c r="AM480" s="348"/>
      <c r="AN480" s="282">
        <f t="shared" si="120"/>
        <v>-3570</v>
      </c>
      <c r="AO480" s="289">
        <f t="shared" si="118"/>
        <v>-0.15</v>
      </c>
      <c r="AP480" s="246"/>
      <c r="AQ480" s="246">
        <v>20230</v>
      </c>
      <c r="AR480" s="246">
        <v>23241</v>
      </c>
      <c r="AS480" s="246" t="s">
        <v>268</v>
      </c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0.26261623235741949</v>
      </c>
      <c r="Y481" s="330"/>
      <c r="Z481" s="299">
        <f>SUM(Z469:Z480)</f>
        <v>116788.77319276021</v>
      </c>
      <c r="AA481" s="298"/>
      <c r="AB481" s="330"/>
      <c r="AC481" s="299"/>
      <c r="AD481" s="298">
        <f>AF481/+AF407</f>
        <v>0.31730883087236572</v>
      </c>
      <c r="AE481" s="330"/>
      <c r="AF481" s="299">
        <f>SUM(AF469:AF480)</f>
        <v>104295.10999999999</v>
      </c>
      <c r="AG481" s="308"/>
      <c r="AH481" s="302">
        <f t="shared" si="119"/>
        <v>-12493.663192760228</v>
      </c>
      <c r="AI481" s="298">
        <f>AH481/Z481</f>
        <v>-0.10697657703912516</v>
      </c>
      <c r="AJ481" s="349"/>
      <c r="AK481" s="350"/>
      <c r="AL481" s="299">
        <f>SUM(AL469:AL480)</f>
        <v>116665.51</v>
      </c>
      <c r="AM481" s="351"/>
      <c r="AN481" s="302">
        <f t="shared" si="120"/>
        <v>-12370.400000000009</v>
      </c>
      <c r="AO481" s="331">
        <f t="shared" si="118"/>
        <v>-0.10603305124196526</v>
      </c>
      <c r="AP481" s="246"/>
      <c r="AQ481" s="246" t="s">
        <v>226</v>
      </c>
      <c r="AR481" s="246">
        <v>125000</v>
      </c>
      <c r="AS481" s="310">
        <f>AF481-AR481</f>
        <v>-20704.890000000014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20"/>
        <v>0</v>
      </c>
      <c r="AO482" s="364">
        <f t="shared" si="118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3.2310680056134043E-2</v>
      </c>
      <c r="Z483" s="369">
        <f>Z407-Z468+Z481</f>
        <v>132289.81558006341</v>
      </c>
      <c r="AA483" s="367"/>
      <c r="AB483" s="368"/>
      <c r="AC483" s="369"/>
      <c r="AD483" s="367" t="s">
        <v>180</v>
      </c>
      <c r="AE483" s="368">
        <f>AF483/AF406</f>
        <v>7.0948987752553587E-3</v>
      </c>
      <c r="AF483" s="370">
        <f>AF407-AF468+AF481</f>
        <v>25400.039999999979</v>
      </c>
      <c r="AG483" s="371"/>
      <c r="AH483" s="370">
        <f>AF483-Z483</f>
        <v>-106889.77558006343</v>
      </c>
      <c r="AI483" s="503">
        <f>AH483/Z483</f>
        <v>-0.80799701104256538</v>
      </c>
      <c r="AJ483" s="373" t="s">
        <v>180</v>
      </c>
      <c r="AK483" s="368">
        <f>IF($AL$406=0,0,AL483/$AL$406)</f>
        <v>4.318109408097684E-2</v>
      </c>
      <c r="AL483" s="370">
        <f>AL407-AL468+AL481</f>
        <v>165199.97999999957</v>
      </c>
      <c r="AM483" s="374"/>
      <c r="AN483" s="370">
        <f t="shared" si="120"/>
        <v>-139799.93999999959</v>
      </c>
      <c r="AO483" s="375">
        <f t="shared" si="118"/>
        <v>-0.84624671262066709</v>
      </c>
      <c r="AP483" s="246"/>
      <c r="AQ483" s="246"/>
      <c r="AR483" s="310">
        <f>AR407-AR468+AR481</f>
        <v>44753</v>
      </c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5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Juin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125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5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4.0606821079145324E-2</v>
      </c>
      <c r="Z488" s="449">
        <f>Z489+Z415</f>
        <v>166256.75666745802</v>
      </c>
      <c r="AA488" s="446"/>
      <c r="AB488" s="447"/>
      <c r="AC488" s="448"/>
      <c r="AD488" s="446" t="s">
        <v>180</v>
      </c>
      <c r="AE488" s="447">
        <f>AF488/AF406</f>
        <v>1.8404303242624521E-2</v>
      </c>
      <c r="AF488" s="449">
        <f>AF489+AF415</f>
        <v>65888.189999999973</v>
      </c>
      <c r="AG488" s="450"/>
      <c r="AH488" s="450">
        <f t="shared" ref="AH488" si="126">AF488-Z488</f>
        <v>-100368.56666745804</v>
      </c>
      <c r="AI488" s="451">
        <f>AH488/Z488</f>
        <v>-0.60369616657572822</v>
      </c>
      <c r="AJ488" s="446" t="s">
        <v>180</v>
      </c>
      <c r="AK488" s="447">
        <f>IF($AL$406=0,0,AL488/$AL$406)</f>
        <v>4.6069943605013701E-2</v>
      </c>
      <c r="AL488" s="449">
        <f>AL489+AL415</f>
        <v>176251.98999999958</v>
      </c>
      <c r="AM488" s="452"/>
      <c r="AN488" s="449">
        <f t="shared" ref="AN488" si="127">AF488-AL488</f>
        <v>-110363.79999999961</v>
      </c>
      <c r="AO488" s="453">
        <f t="shared" ref="AO488" si="128">IF(AL488=0,0,AN488/AL488)</f>
        <v>-0.62617051869882356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thickTop="1" thickBot="1">
      <c r="A489" t="str">
        <f t="shared" si="125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3.2310680056134043E-2</v>
      </c>
      <c r="Z489" s="381">
        <f>Z483</f>
        <v>132289.81558006341</v>
      </c>
      <c r="AA489" s="379"/>
      <c r="AB489" s="380"/>
      <c r="AC489" s="381"/>
      <c r="AD489" s="379" t="s">
        <v>180</v>
      </c>
      <c r="AE489" s="380">
        <f>AF489/AF406</f>
        <v>7.0948987752553587E-3</v>
      </c>
      <c r="AF489" s="381">
        <f>AF483</f>
        <v>25400.039999999979</v>
      </c>
      <c r="AG489" s="382"/>
      <c r="AH489" s="370">
        <f>AF489-Z489</f>
        <v>-106889.77558006343</v>
      </c>
      <c r="AI489" s="503">
        <f>AH489/Z489</f>
        <v>-0.80799701104256538</v>
      </c>
      <c r="AJ489" s="379" t="s">
        <v>180</v>
      </c>
      <c r="AK489" s="380">
        <f>IF($AL$406=0,0,AL489/$AL$406)</f>
        <v>4.318109408097684E-2</v>
      </c>
      <c r="AL489" s="383">
        <f>AL483</f>
        <v>165199.97999999957</v>
      </c>
      <c r="AM489" s="384"/>
      <c r="AN489" s="385">
        <f>AF489-AL489</f>
        <v>-139799.93999999959</v>
      </c>
      <c r="AO489" s="386">
        <f>IF(AL489=0,0,AN489/AL489)</f>
        <v>-0.84624671262066709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5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5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20970</v>
      </c>
      <c r="AA491" s="279"/>
      <c r="AB491" s="287"/>
      <c r="AC491" s="280"/>
      <c r="AD491" s="279"/>
      <c r="AE491" s="287"/>
      <c r="AF491" s="280">
        <v>20970</v>
      </c>
      <c r="AG491" s="279"/>
      <c r="AH491" s="282">
        <f t="shared" ref="AH491:AH498" si="129">AF491-Z491</f>
        <v>0</v>
      </c>
      <c r="AI491" s="306">
        <f t="shared" ref="AI491:AI497" si="130">IF(Z491=0,0,AH491/Z491)</f>
        <v>0</v>
      </c>
      <c r="AJ491" s="279"/>
      <c r="AK491" s="279"/>
      <c r="AL491" s="280">
        <v>19520</v>
      </c>
      <c r="AM491" s="284"/>
      <c r="AN491" s="282">
        <f t="shared" ref="AN491:AN498" si="131">AF491-AL491</f>
        <v>1450</v>
      </c>
      <c r="AO491" s="289">
        <f t="shared" ref="AO491:AO498" si="132">IF(AL491=0,0,AN491/AL491)</f>
        <v>7.4282786885245908E-2</v>
      </c>
      <c r="AP491" s="246"/>
      <c r="AQ491" s="502">
        <v>20970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125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9"/>
        <v>0</v>
      </c>
      <c r="AI492" s="306">
        <f t="shared" si="130"/>
        <v>0</v>
      </c>
      <c r="AJ492" s="10"/>
      <c r="AK492" s="10"/>
      <c r="AL492" s="280">
        <v>0</v>
      </c>
      <c r="AM492" s="393"/>
      <c r="AN492" s="282">
        <f t="shared" si="131"/>
        <v>0</v>
      </c>
      <c r="AO492" s="289">
        <f t="shared" si="132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125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9"/>
        <v>0</v>
      </c>
      <c r="AI493" s="306">
        <f t="shared" si="130"/>
        <v>0</v>
      </c>
      <c r="AJ493" s="10"/>
      <c r="AK493" s="10"/>
      <c r="AL493" s="280">
        <v>0</v>
      </c>
      <c r="AM493" s="393"/>
      <c r="AN493" s="282">
        <f t="shared" si="131"/>
        <v>0</v>
      </c>
      <c r="AO493" s="289">
        <f t="shared" si="132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125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9"/>
        <v>0</v>
      </c>
      <c r="AI494" s="306">
        <f t="shared" si="130"/>
        <v>0</v>
      </c>
      <c r="AJ494" s="10"/>
      <c r="AK494" s="10"/>
      <c r="AL494" s="280">
        <v>0</v>
      </c>
      <c r="AM494" s="393"/>
      <c r="AN494" s="282">
        <f t="shared" si="131"/>
        <v>0</v>
      </c>
      <c r="AO494" s="289">
        <f t="shared" si="132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>
      <c r="A495" t="str">
        <f t="shared" si="125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9"/>
        <v>0</v>
      </c>
      <c r="AI495" s="283">
        <f t="shared" si="130"/>
        <v>0</v>
      </c>
      <c r="AJ495" s="288"/>
      <c r="AK495" s="279"/>
      <c r="AL495" s="280">
        <v>0</v>
      </c>
      <c r="AM495" s="393"/>
      <c r="AN495" s="282">
        <f t="shared" si="131"/>
        <v>0</v>
      </c>
      <c r="AO495" s="289">
        <f t="shared" si="132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0.25">
      <c r="A496" t="str">
        <f t="shared" si="125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247</v>
      </c>
      <c r="W496" s="13"/>
      <c r="X496" s="13"/>
      <c r="Y496" s="13"/>
      <c r="Z496" s="282">
        <v>-8893.4426229508208</v>
      </c>
      <c r="AA496" s="279"/>
      <c r="AB496" s="279"/>
      <c r="AC496" s="282"/>
      <c r="AD496" s="288"/>
      <c r="AE496" s="287"/>
      <c r="AF496" s="280">
        <v>-6915.57</v>
      </c>
      <c r="AG496" s="281"/>
      <c r="AH496" s="282">
        <f t="shared" si="129"/>
        <v>1977.8726229508211</v>
      </c>
      <c r="AI496" s="283">
        <f t="shared" si="130"/>
        <v>-0.22239673732718906</v>
      </c>
      <c r="AJ496" s="288"/>
      <c r="AK496" s="279"/>
      <c r="AL496" s="280">
        <v>0</v>
      </c>
      <c r="AM496" s="393"/>
      <c r="AN496" s="282">
        <f t="shared" si="131"/>
        <v>-6915.57</v>
      </c>
      <c r="AO496" s="289">
        <f t="shared" si="132"/>
        <v>0</v>
      </c>
      <c r="AP496" s="246"/>
      <c r="AQ496" s="246">
        <v>-6916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thickBot="1">
      <c r="A497" t="str">
        <f t="shared" si="125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9"/>
        <v>0</v>
      </c>
      <c r="AI497" s="283">
        <f t="shared" si="130"/>
        <v>0</v>
      </c>
      <c r="AJ497" s="288"/>
      <c r="AK497" s="279"/>
      <c r="AL497" s="280">
        <v>0</v>
      </c>
      <c r="AM497" s="393"/>
      <c r="AN497" s="282">
        <f t="shared" si="131"/>
        <v>0</v>
      </c>
      <c r="AO497" s="289">
        <f t="shared" si="132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5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2.936108200976572E-2</v>
      </c>
      <c r="Z498" s="369">
        <f>Z489-Z491-Z492-Z493-Z497-Z496-Z494-Z495</f>
        <v>120213.25820301424</v>
      </c>
      <c r="AA498" s="367"/>
      <c r="AB498" s="368"/>
      <c r="AC498" s="369"/>
      <c r="AD498" s="367" t="s">
        <v>180</v>
      </c>
      <c r="AE498" s="368">
        <f>AF498/AF406</f>
        <v>3.1691270759229067E-3</v>
      </c>
      <c r="AF498" s="370">
        <f>AF489-AF491-AF492-AF493-AF497-AF496-AF494-AF495</f>
        <v>11345.609999999979</v>
      </c>
      <c r="AG498" s="371"/>
      <c r="AH498" s="370">
        <f t="shared" si="129"/>
        <v>-108867.64820301425</v>
      </c>
      <c r="AI498" s="503">
        <f>AH498/Z498</f>
        <v>-0.90562097584245072</v>
      </c>
      <c r="AJ498" s="373" t="s">
        <v>180</v>
      </c>
      <c r="AK498" s="368">
        <f>IF($AL$406=0,0,AL498/$AL$406)</f>
        <v>3.8078823751036911E-2</v>
      </c>
      <c r="AL498" s="370">
        <f>AL489-AL491-AL492-AL493-AL497-AL496-AL494-AL495</f>
        <v>145679.97999999957</v>
      </c>
      <c r="AM498" s="374"/>
      <c r="AN498" s="370">
        <f t="shared" si="131"/>
        <v>-134334.36999999959</v>
      </c>
      <c r="AO498" s="394">
        <f t="shared" si="132"/>
        <v>-0.92211963510703376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248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2949.86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249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8395.7499999999782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504">
        <f>AF500/AF498</f>
        <v>0.26000012339574563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259</v>
      </c>
      <c r="AE505" s="246"/>
      <c r="AF505" s="246">
        <v>44752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-33406.390000000021</v>
      </c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R238:S238"/>
    <mergeCell ref="R170:S170"/>
    <mergeCell ref="D238:F238"/>
    <mergeCell ref="G238:I238"/>
    <mergeCell ref="J238:L238"/>
    <mergeCell ref="M238:N238"/>
    <mergeCell ref="O238:Q238"/>
    <mergeCell ref="D293:F293"/>
    <mergeCell ref="G293:I293"/>
    <mergeCell ref="J293:L293"/>
    <mergeCell ref="M293:N293"/>
    <mergeCell ref="O293:Q293"/>
    <mergeCell ref="R3:S3"/>
    <mergeCell ref="D3:F3"/>
    <mergeCell ref="G3:I3"/>
    <mergeCell ref="J3:L3"/>
    <mergeCell ref="M3:N3"/>
    <mergeCell ref="O3:Q3"/>
    <mergeCell ref="R91:S91"/>
    <mergeCell ref="D170:F170"/>
    <mergeCell ref="D91:F91"/>
    <mergeCell ref="G91:I91"/>
    <mergeCell ref="J91:L91"/>
    <mergeCell ref="M91:N91"/>
    <mergeCell ref="O91:Q91"/>
    <mergeCell ref="G170:I170"/>
    <mergeCell ref="J170:L170"/>
    <mergeCell ref="M170:N170"/>
    <mergeCell ref="O170:Q170"/>
  </mergeCells>
  <conditionalFormatting sqref="D31:D32">
    <cfRule type="expression" dxfId="634" priority="6" stopIfTrue="1">
      <formula>"esterreur(reference)"</formula>
    </cfRule>
  </conditionalFormatting>
  <conditionalFormatting sqref="D112:D113">
    <cfRule type="expression" dxfId="633" priority="1" stopIfTrue="1">
      <formula>"esterreur(reference)"</formula>
    </cfRule>
  </conditionalFormatting>
  <conditionalFormatting sqref="F5">
    <cfRule type="expression" dxfId="632" priority="67" stopIfTrue="1">
      <formula>"esterreur(reference)"</formula>
    </cfRule>
  </conditionalFormatting>
  <conditionalFormatting sqref="F184">
    <cfRule type="expression" dxfId="631" priority="77" stopIfTrue="1">
      <formula>"esterreur(reference)"</formula>
    </cfRule>
  </conditionalFormatting>
  <conditionalFormatting sqref="G31:G32">
    <cfRule type="expression" dxfId="630" priority="5" stopIfTrue="1">
      <formula>"esterreur(reference)"</formula>
    </cfRule>
  </conditionalFormatting>
  <conditionalFormatting sqref="G112:G113">
    <cfRule type="expression" dxfId="629" priority="2" stopIfTrue="1">
      <formula>"esterreur(reference)"</formula>
    </cfRule>
  </conditionalFormatting>
  <conditionalFormatting sqref="H136:H152">
    <cfRule type="expression" dxfId="628" priority="31" stopIfTrue="1">
      <formula>"esterreur(reference)"</formula>
    </cfRule>
  </conditionalFormatting>
  <conditionalFormatting sqref="H360">
    <cfRule type="expression" dxfId="627" priority="110" stopIfTrue="1">
      <formula>"esterreur(reference)"</formula>
    </cfRule>
  </conditionalFormatting>
  <conditionalFormatting sqref="H197:L197">
    <cfRule type="expression" dxfId="626" priority="112" stopIfTrue="1">
      <formula>"esterreur(reference)"</formula>
    </cfRule>
  </conditionalFormatting>
  <conditionalFormatting sqref="H396:L399">
    <cfRule type="expression" dxfId="625" priority="108" stopIfTrue="1">
      <formula>"esterreur(reference)"</formula>
    </cfRule>
  </conditionalFormatting>
  <conditionalFormatting sqref="I377:L377 H378:H395">
    <cfRule type="expression" dxfId="624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623" priority="102" stopIfTrue="1">
      <formula>"esterreur(reference)"</formula>
    </cfRule>
  </conditionalFormatting>
  <conditionalFormatting sqref="J55:K71">
    <cfRule type="expression" dxfId="622" priority="113" stopIfTrue="1">
      <formula>"esterreur(reference)"</formula>
    </cfRule>
  </conditionalFormatting>
  <conditionalFormatting sqref="J102:L104">
    <cfRule type="expression" dxfId="621" priority="98" stopIfTrue="1">
      <formula>"esterreur(reference)"</formula>
    </cfRule>
  </conditionalFormatting>
  <conditionalFormatting sqref="J149:L152">
    <cfRule type="expression" dxfId="620" priority="30" stopIfTrue="1">
      <formula>"esterreur(reference)"</formula>
    </cfRule>
  </conditionalFormatting>
  <conditionalFormatting sqref="J295:L303">
    <cfRule type="expression" dxfId="619" priority="94" stopIfTrue="1">
      <formula>"esterreur(reference)"</formula>
    </cfRule>
  </conditionalFormatting>
  <conditionalFormatting sqref="J307:L308">
    <cfRule type="expression" dxfId="618" priority="84" stopIfTrue="1">
      <formula>"esterreur(reference)"</formula>
    </cfRule>
  </conditionalFormatting>
  <conditionalFormatting sqref="J360:L360">
    <cfRule type="expression" dxfId="617" priority="76" stopIfTrue="1">
      <formula>"esterreur(reference)"</formula>
    </cfRule>
  </conditionalFormatting>
  <conditionalFormatting sqref="J365:L376">
    <cfRule type="expression" dxfId="616" priority="81" stopIfTrue="1">
      <formula>"esterreur(reference)"</formula>
    </cfRule>
  </conditionalFormatting>
  <conditionalFormatting sqref="J378:L394">
    <cfRule type="expression" dxfId="615" priority="80" stopIfTrue="1">
      <formula>"esterreur(reference)"</formula>
    </cfRule>
  </conditionalFormatting>
  <conditionalFormatting sqref="J312:M312">
    <cfRule type="expression" dxfId="614" priority="82" stopIfTrue="1">
      <formula>"esterreur(reference)"</formula>
    </cfRule>
  </conditionalFormatting>
  <conditionalFormatting sqref="J112:Q121">
    <cfRule type="expression" dxfId="613" priority="3" stopIfTrue="1">
      <formula>"esterreur(reference)"</formula>
    </cfRule>
  </conditionalFormatting>
  <conditionalFormatting sqref="J123:Q134">
    <cfRule type="expression" dxfId="612" priority="57" stopIfTrue="1">
      <formula>"esterreur(reference)"</formula>
    </cfRule>
  </conditionalFormatting>
  <conditionalFormatting sqref="K5">
    <cfRule type="expression" dxfId="611" priority="91" stopIfTrue="1">
      <formula>"esterreur(reference)"</formula>
    </cfRule>
  </conditionalFormatting>
  <conditionalFormatting sqref="K175">
    <cfRule type="expression" dxfId="610" priority="88" stopIfTrue="1">
      <formula>"esterreur(reference)"</formula>
    </cfRule>
  </conditionalFormatting>
  <conditionalFormatting sqref="K183:K184">
    <cfRule type="expression" dxfId="609" priority="90" stopIfTrue="1">
      <formula>"esterreur(reference)"</formula>
    </cfRule>
  </conditionalFormatting>
  <conditionalFormatting sqref="K287">
    <cfRule type="expression" dxfId="608" priority="74" stopIfTrue="1">
      <formula>"esterreur(reference)"</formula>
    </cfRule>
  </conditionalFormatting>
  <conditionalFormatting sqref="K395">
    <cfRule type="expression" dxfId="607" priority="111" stopIfTrue="1">
      <formula>"esterreur(reference)"</formula>
    </cfRule>
  </conditionalFormatting>
  <conditionalFormatting sqref="K93:L96">
    <cfRule type="expression" dxfId="606" priority="79" stopIfTrue="1">
      <formula>"esterreur(reference)"</formula>
    </cfRule>
  </conditionalFormatting>
  <conditionalFormatting sqref="K99:L100">
    <cfRule type="expression" dxfId="605" priority="99" stopIfTrue="1">
      <formula>"esterreur(reference)"</formula>
    </cfRule>
  </conditionalFormatting>
  <conditionalFormatting sqref="K171:L173">
    <cfRule type="expression" dxfId="604" priority="89" stopIfTrue="1">
      <formula>"esterreur(reference)"</formula>
    </cfRule>
  </conditionalFormatting>
  <conditionalFormatting sqref="K176:L182">
    <cfRule type="expression" dxfId="603" priority="87" stopIfTrue="1">
      <formula>"esterreur(reference)"</formula>
    </cfRule>
  </conditionalFormatting>
  <conditionalFormatting sqref="K185:L196">
    <cfRule type="expression" dxfId="602" priority="83" stopIfTrue="1">
      <formula>"esterreur(reference)"</formula>
    </cfRule>
  </conditionalFormatting>
  <conditionalFormatting sqref="K239:L241">
    <cfRule type="expression" dxfId="601" priority="78" stopIfTrue="1">
      <formula>"esterreur(reference)"</formula>
    </cfRule>
  </conditionalFormatting>
  <conditionalFormatting sqref="K244:L244">
    <cfRule type="expression" dxfId="600" priority="86" stopIfTrue="1">
      <formula>"esterreur(reference)"</formula>
    </cfRule>
  </conditionalFormatting>
  <conditionalFormatting sqref="K247:L247">
    <cfRule type="expression" dxfId="599" priority="85" stopIfTrue="1">
      <formula>"esterreur(reference)"</formula>
    </cfRule>
  </conditionalFormatting>
  <conditionalFormatting sqref="L16:L24">
    <cfRule type="expression" dxfId="598" priority="101" stopIfTrue="1">
      <formula>"esterreur(reference)"</formula>
    </cfRule>
  </conditionalFormatting>
  <conditionalFormatting sqref="L42:L48">
    <cfRule type="expression" dxfId="597" priority="100" stopIfTrue="1">
      <formula>"esterreur(reference)"</formula>
    </cfRule>
  </conditionalFormatting>
  <conditionalFormatting sqref="L55:L66">
    <cfRule type="expression" dxfId="596" priority="68" stopIfTrue="1">
      <formula>"esterreur(reference)"</formula>
    </cfRule>
  </conditionalFormatting>
  <conditionalFormatting sqref="L68:L71">
    <cfRule type="expression" dxfId="595" priority="32" stopIfTrue="1">
      <formula>"esterreur(reference)"</formula>
    </cfRule>
  </conditionalFormatting>
  <conditionalFormatting sqref="L75:L82">
    <cfRule type="expression" dxfId="594" priority="69" stopIfTrue="1">
      <formula>"esterreur(reference)"</formula>
    </cfRule>
  </conditionalFormatting>
  <conditionalFormatting sqref="L136:L147">
    <cfRule type="expression" dxfId="593" priority="73" stopIfTrue="1">
      <formula>"esterreur(reference)"</formula>
    </cfRule>
  </conditionalFormatting>
  <conditionalFormatting sqref="L174:L175">
    <cfRule type="expression" dxfId="592" priority="97" stopIfTrue="1">
      <formula>"esterreur(reference)"</formula>
    </cfRule>
  </conditionalFormatting>
  <conditionalFormatting sqref="L198:L209">
    <cfRule type="expression" dxfId="591" priority="96" stopIfTrue="1">
      <formula>"esterreur(reference)"</formula>
    </cfRule>
  </conditionalFormatting>
  <conditionalFormatting sqref="L211:L228">
    <cfRule type="expression" dxfId="590" priority="72" stopIfTrue="1">
      <formula>"esterreur(reference)"</formula>
    </cfRule>
  </conditionalFormatting>
  <conditionalFormatting sqref="L254:L265">
    <cfRule type="expression" dxfId="589" priority="95" stopIfTrue="1">
      <formula>"esterreur(reference)"</formula>
    </cfRule>
  </conditionalFormatting>
  <conditionalFormatting sqref="L267:L284">
    <cfRule type="expression" dxfId="588" priority="71" stopIfTrue="1">
      <formula>"esterreur(reference)"</formula>
    </cfRule>
  </conditionalFormatting>
  <conditionalFormatting sqref="L318:L329">
    <cfRule type="expression" dxfId="587" priority="93" stopIfTrue="1">
      <formula>"esterreur(reference)"</formula>
    </cfRule>
  </conditionalFormatting>
  <conditionalFormatting sqref="L331">
    <cfRule type="expression" dxfId="586" priority="70" stopIfTrue="1">
      <formula>"esterreur(reference)"</formula>
    </cfRule>
  </conditionalFormatting>
  <conditionalFormatting sqref="L334:L343 L345:L348">
    <cfRule type="expression" dxfId="585" priority="92" stopIfTrue="1">
      <formula>"esterreur(reference)"</formula>
    </cfRule>
  </conditionalFormatting>
  <conditionalFormatting sqref="L356:L357 H357:I357 K357 J357:J358 H359:L359">
    <cfRule type="expression" dxfId="584" priority="107" stopIfTrue="1">
      <formula>"esterreur(reference)"</formula>
    </cfRule>
  </conditionalFormatting>
  <conditionalFormatting sqref="L5:Q14">
    <cfRule type="expression" dxfId="583" priority="62" stopIfTrue="1">
      <formula>"esterreur(reference)"</formula>
    </cfRule>
  </conditionalFormatting>
  <conditionalFormatting sqref="L156:Q162">
    <cfRule type="expression" dxfId="582" priority="28" stopIfTrue="1">
      <formula>"esterreur(reference)"</formula>
    </cfRule>
  </conditionalFormatting>
  <conditionalFormatting sqref="M95:M97">
    <cfRule type="expression" dxfId="581" priority="103" stopIfTrue="1">
      <formula>"esterreur(reference)"</formula>
    </cfRule>
  </conditionalFormatting>
  <conditionalFormatting sqref="O13:O14 O16 O18:O24 O83:Q85">
    <cfRule type="expression" dxfId="580" priority="66" stopIfTrue="1">
      <formula>"esterreur(reference)"</formula>
    </cfRule>
  </conditionalFormatting>
  <conditionalFormatting sqref="O172:O196 Q183 O198:P229 O232:Q232 O233:P233">
    <cfRule type="expression" dxfId="579" priority="55" stopIfTrue="1">
      <formula>"esterreur(reference)"</formula>
    </cfRule>
  </conditionalFormatting>
  <conditionalFormatting sqref="O318:P348 O349:Q349 O352:Q352 O353:P353">
    <cfRule type="expression" dxfId="578" priority="39" stopIfTrue="1">
      <formula>"esterreur(reference)"</formula>
    </cfRule>
  </conditionalFormatting>
  <conditionalFormatting sqref="O25:Q72">
    <cfRule type="expression" dxfId="577" priority="4" stopIfTrue="1">
      <formula>"esterreur(reference)"</formula>
    </cfRule>
  </conditionalFormatting>
  <conditionalFormatting sqref="O97:Q98 O122:Q122 O156:P157 O164:Q164 O165:P165">
    <cfRule type="expression" dxfId="576" priority="61" stopIfTrue="1">
      <formula>"esterreur(reference)"</formula>
    </cfRule>
  </conditionalFormatting>
  <conditionalFormatting sqref="O101:Q111">
    <cfRule type="expression" dxfId="575" priority="59" stopIfTrue="1">
      <formula>"esterreur(reference)"</formula>
    </cfRule>
  </conditionalFormatting>
  <conditionalFormatting sqref="O135:Q153">
    <cfRule type="expression" dxfId="574" priority="29" stopIfTrue="1">
      <formula>"esterreur(reference)"</formula>
    </cfRule>
  </conditionalFormatting>
  <conditionalFormatting sqref="O197:Q197">
    <cfRule type="expression" dxfId="573" priority="56" stopIfTrue="1">
      <formula>"esterreur(reference)"</formula>
    </cfRule>
  </conditionalFormatting>
  <conditionalFormatting sqref="O243:Q243 O252:Q253 O254:P284 O285:Q285 O288:Q288 O289:P289">
    <cfRule type="expression" dxfId="572" priority="46" stopIfTrue="1">
      <formula>"esterreur(reference)"</formula>
    </cfRule>
  </conditionalFormatting>
  <conditionalFormatting sqref="O295:Q317">
    <cfRule type="expression" dxfId="571" priority="37" stopIfTrue="1">
      <formula>"esterreur(reference)"</formula>
    </cfRule>
  </conditionalFormatting>
  <conditionalFormatting sqref="O359:Q394">
    <cfRule type="expression" dxfId="570" priority="33" stopIfTrue="1">
      <formula>"esterreur(reference)"</formula>
    </cfRule>
  </conditionalFormatting>
  <conditionalFormatting sqref="O396:Q399">
    <cfRule type="expression" dxfId="569" priority="34" stopIfTrue="1">
      <formula>"esterreur(reference)"</formula>
    </cfRule>
  </conditionalFormatting>
  <conditionalFormatting sqref="P5">
    <cfRule type="expression" dxfId="568" priority="63" stopIfTrue="1">
      <formula>"esterreur(reference)"</formula>
    </cfRule>
  </conditionalFormatting>
  <conditionalFormatting sqref="P175">
    <cfRule type="expression" dxfId="567" priority="50" stopIfTrue="1">
      <formula>"esterreur(reference)"</formula>
    </cfRule>
  </conditionalFormatting>
  <conditionalFormatting sqref="P183:P184">
    <cfRule type="expression" dxfId="566" priority="52" stopIfTrue="1">
      <formula>"esterreur(reference)"</formula>
    </cfRule>
  </conditionalFormatting>
  <conditionalFormatting sqref="P287">
    <cfRule type="expression" dxfId="565" priority="41" stopIfTrue="1">
      <formula>"esterreur(reference)"</formula>
    </cfRule>
  </conditionalFormatting>
  <conditionalFormatting sqref="P395">
    <cfRule type="expression" dxfId="564" priority="35" stopIfTrue="1">
      <formula>"esterreur(reference)"</formula>
    </cfRule>
  </conditionalFormatting>
  <conditionalFormatting sqref="P93:Q96">
    <cfRule type="expression" dxfId="563" priority="58" stopIfTrue="1">
      <formula>"esterreur(reference)"</formula>
    </cfRule>
  </conditionalFormatting>
  <conditionalFormatting sqref="P99:Q100">
    <cfRule type="expression" dxfId="562" priority="60" stopIfTrue="1">
      <formula>"esterreur(reference)"</formula>
    </cfRule>
  </conditionalFormatting>
  <conditionalFormatting sqref="P172:Q173">
    <cfRule type="expression" dxfId="561" priority="51" stopIfTrue="1">
      <formula>"esterreur(reference)"</formula>
    </cfRule>
  </conditionalFormatting>
  <conditionalFormatting sqref="P176:Q182">
    <cfRule type="expression" dxfId="560" priority="49" stopIfTrue="1">
      <formula>"esterreur(reference)"</formula>
    </cfRule>
  </conditionalFormatting>
  <conditionalFormatting sqref="P185:Q196">
    <cfRule type="expression" dxfId="559" priority="48" stopIfTrue="1">
      <formula>"esterreur(reference)"</formula>
    </cfRule>
  </conditionalFormatting>
  <conditionalFormatting sqref="P241:Q241">
    <cfRule type="expression" dxfId="558" priority="42" stopIfTrue="1">
      <formula>"esterreur(reference)"</formula>
    </cfRule>
  </conditionalFormatting>
  <conditionalFormatting sqref="P244:Q244">
    <cfRule type="expression" dxfId="557" priority="44" stopIfTrue="1">
      <formula>"esterreur(reference)"</formula>
    </cfRule>
  </conditionalFormatting>
  <conditionalFormatting sqref="P247:Q247">
    <cfRule type="expression" dxfId="556" priority="43" stopIfTrue="1">
      <formula>"esterreur(reference)"</formula>
    </cfRule>
  </conditionalFormatting>
  <conditionalFormatting sqref="Q16:Q24">
    <cfRule type="expression" dxfId="555" priority="65" stopIfTrue="1">
      <formula>"esterreur(reference)"</formula>
    </cfRule>
  </conditionalFormatting>
  <conditionalFormatting sqref="Q75:Q82">
    <cfRule type="expression" dxfId="554" priority="64" stopIfTrue="1">
      <formula>"esterreur(reference)"</formula>
    </cfRule>
  </conditionalFormatting>
  <conditionalFormatting sqref="Q174:Q175">
    <cfRule type="expression" dxfId="553" priority="54" stopIfTrue="1">
      <formula>"esterreur(reference)"</formula>
    </cfRule>
  </conditionalFormatting>
  <conditionalFormatting sqref="Q198:Q209">
    <cfRule type="expression" dxfId="552" priority="53" stopIfTrue="1">
      <formula>"esterreur(reference)"</formula>
    </cfRule>
  </conditionalFormatting>
  <conditionalFormatting sqref="Q211:Q228">
    <cfRule type="expression" dxfId="551" priority="47" stopIfTrue="1">
      <formula>"esterreur(reference)"</formula>
    </cfRule>
  </conditionalFormatting>
  <conditionalFormatting sqref="Q254:Q265">
    <cfRule type="expression" dxfId="550" priority="45" stopIfTrue="1">
      <formula>"esterreur(reference)"</formula>
    </cfRule>
  </conditionalFormatting>
  <conditionalFormatting sqref="Q267:Q284">
    <cfRule type="expression" dxfId="549" priority="40" stopIfTrue="1">
      <formula>"esterreur(reference)"</formula>
    </cfRule>
  </conditionalFormatting>
  <conditionalFormatting sqref="Q318:Q329">
    <cfRule type="expression" dxfId="548" priority="38" stopIfTrue="1">
      <formula>"esterreur(reference)"</formula>
    </cfRule>
  </conditionalFormatting>
  <conditionalFormatting sqref="Q331:Q348">
    <cfRule type="expression" dxfId="547" priority="36" stopIfTrue="1">
      <formula>"esterreur(reference)"</formula>
    </cfRule>
  </conditionalFormatting>
  <conditionalFormatting sqref="R312">
    <cfRule type="expression" dxfId="546" priority="104" stopIfTrue="1">
      <formula>"esterreur(reference)"</formula>
    </cfRule>
  </conditionalFormatting>
  <conditionalFormatting sqref="S186">
    <cfRule type="expression" dxfId="545" priority="75" stopIfTrue="1">
      <formula>"esterreur(reference)"</formula>
    </cfRule>
  </conditionalFormatting>
  <conditionalFormatting sqref="Z425:Z427">
    <cfRule type="cellIs" dxfId="544" priority="24" operator="greaterThan">
      <formula>0</formula>
    </cfRule>
  </conditionalFormatting>
  <conditionalFormatting sqref="Z432">
    <cfRule type="cellIs" dxfId="543" priority="21" operator="greaterThan">
      <formula>0</formula>
    </cfRule>
  </conditionalFormatting>
  <conditionalFormatting sqref="Z449:Z451">
    <cfRule type="cellIs" dxfId="542" priority="17" operator="greaterThan">
      <formula>0</formula>
    </cfRule>
  </conditionalFormatting>
  <conditionalFormatting sqref="Z463:Z465">
    <cfRule type="cellIs" dxfId="541" priority="13" operator="greaterThan">
      <formula>0</formula>
    </cfRule>
  </conditionalFormatting>
  <conditionalFormatting sqref="Z478:Z479">
    <cfRule type="cellIs" dxfId="540" priority="10" operator="greaterThan">
      <formula>0</formula>
    </cfRule>
  </conditionalFormatting>
  <conditionalFormatting sqref="Z495:Z497">
    <cfRule type="cellIs" dxfId="539" priority="7" operator="greaterThan">
      <formula>0</formula>
    </cfRule>
  </conditionalFormatting>
  <conditionalFormatting sqref="AC425:AC427">
    <cfRule type="cellIs" dxfId="538" priority="25" operator="greaterThan">
      <formula>0</formula>
    </cfRule>
  </conditionalFormatting>
  <conditionalFormatting sqref="AC432">
    <cfRule type="cellIs" dxfId="537" priority="22" operator="greaterThan">
      <formula>0</formula>
    </cfRule>
  </conditionalFormatting>
  <conditionalFormatting sqref="AC449:AC451">
    <cfRule type="cellIs" dxfId="536" priority="18" operator="greaterThan">
      <formula>0</formula>
    </cfRule>
  </conditionalFormatting>
  <conditionalFormatting sqref="AC463:AC465">
    <cfRule type="cellIs" dxfId="535" priority="14" operator="greaterThan">
      <formula>0</formula>
    </cfRule>
  </conditionalFormatting>
  <conditionalFormatting sqref="AC478:AC479">
    <cfRule type="cellIs" dxfId="534" priority="11" operator="greaterThan">
      <formula>0</formula>
    </cfRule>
  </conditionalFormatting>
  <conditionalFormatting sqref="AC495:AC497">
    <cfRule type="cellIs" dxfId="533" priority="8" operator="greaterThan">
      <formula>0</formula>
    </cfRule>
  </conditionalFormatting>
  <conditionalFormatting sqref="AG409:AI418">
    <cfRule type="cellIs" dxfId="532" priority="27" operator="greaterThan">
      <formula>0</formula>
    </cfRule>
  </conditionalFormatting>
  <conditionalFormatting sqref="AH449:AH452">
    <cfRule type="cellIs" dxfId="531" priority="19" operator="greaterThan">
      <formula>0</formula>
    </cfRule>
  </conditionalFormatting>
  <conditionalFormatting sqref="AH461:AH466">
    <cfRule type="cellIs" dxfId="530" priority="15" operator="greaterThan">
      <formula>0</formula>
    </cfRule>
  </conditionalFormatting>
  <conditionalFormatting sqref="AH420:AI448">
    <cfRule type="cellIs" dxfId="529" priority="23" operator="greaterThan">
      <formula>0</formula>
    </cfRule>
  </conditionalFormatting>
  <conditionalFormatting sqref="AH453:AI460 AH467:AI468">
    <cfRule type="cellIs" dxfId="528" priority="105" operator="greaterThan">
      <formula>0</formula>
    </cfRule>
  </conditionalFormatting>
  <conditionalFormatting sqref="AH469:AI477 AH480:AI480">
    <cfRule type="cellIs" dxfId="527" priority="106" operator="lessThan">
      <formula>0</formula>
    </cfRule>
  </conditionalFormatting>
  <conditionalFormatting sqref="AH478:AI479">
    <cfRule type="cellIs" dxfId="526" priority="12" operator="greaterThan">
      <formula>0</formula>
    </cfRule>
  </conditionalFormatting>
  <conditionalFormatting sqref="AH491:AI497">
    <cfRule type="cellIs" dxfId="525" priority="9" operator="greaterThan">
      <formula>0</formula>
    </cfRule>
  </conditionalFormatting>
  <conditionalFormatting sqref="AI449:AI451">
    <cfRule type="cellIs" dxfId="524" priority="20" operator="greaterThan">
      <formula>0</formula>
    </cfRule>
  </conditionalFormatting>
  <conditionalFormatting sqref="AI463:AI465">
    <cfRule type="cellIs" dxfId="523" priority="16" operator="greaterThan">
      <formula>0</formula>
    </cfRule>
  </conditionalFormatting>
  <conditionalFormatting sqref="AO409:AO418">
    <cfRule type="cellIs" dxfId="522" priority="26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2024-07-11T17:08:40Z</cp:lastPrinted>
  <dcterms:created xsi:type="dcterms:W3CDTF">2021-02-12T03:12:48Z</dcterms:created>
  <dcterms:modified xsi:type="dcterms:W3CDTF">2024-07-11T17:08:45Z</dcterms:modified>
</cp:coreProperties>
</file>